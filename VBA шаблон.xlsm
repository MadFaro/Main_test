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X:\Отчетность сервисных групп\Отчеты групп\Нагрузка ЦОВ\Входящие направления\"/>
    </mc:Choice>
  </mc:AlternateContent>
  <bookViews>
    <workbookView xWindow="480" yWindow="2235" windowWidth="13020" windowHeight="7290" tabRatio="691"/>
  </bookViews>
  <sheets>
    <sheet name="Парамметры расчета" sheetId="51" r:id="rId1"/>
    <sheet name="Исход" sheetId="7" r:id="rId2"/>
    <sheet name="Расчеты" sheetId="44" r:id="rId3"/>
    <sheet name="Расчет графиков" sheetId="32" r:id="rId4"/>
    <sheet name="Формула" sheetId="16" state="hidden" r:id="rId5"/>
    <sheet name="Распределение по графикам" sheetId="49" r:id="rId6"/>
    <sheet name="Свод по нагрузке" sheetId="33" r:id="rId7"/>
    <sheet name="Инструкция" sheetId="50" state="hidden" r:id="rId8"/>
    <sheet name="дата" sheetId="47" state="hidden" r:id="rId9"/>
  </sheets>
  <functionGroups builtInGroupCount="18"/>
  <definedNames>
    <definedName name="_xlnm._FilterDatabase" localSheetId="1" hidden="1">Исход!$A$1:$O$2</definedName>
    <definedName name="_xlnm._FilterDatabase" localSheetId="3" hidden="1">'Расчет графиков'!$D$51:$G$53</definedName>
    <definedName name="solver_adj" localSheetId="3" hidden="1">'Расчет графиков'!$H$1:$AX$1</definedName>
    <definedName name="solver_adj" localSheetId="6" hidden="1">'Свод по нагрузке'!$A$57:$A$63</definedName>
    <definedName name="solver_cvg" localSheetId="3" hidden="1">0.0001</definedName>
    <definedName name="solver_cvg" localSheetId="2" hidden="1">0.0001</definedName>
    <definedName name="solver_cvg" localSheetId="6" hidden="1">0.0001</definedName>
    <definedName name="solver_drv" localSheetId="3" hidden="1">1</definedName>
    <definedName name="solver_drv" localSheetId="2" hidden="1">1</definedName>
    <definedName name="solver_drv" localSheetId="6" hidden="1">2</definedName>
    <definedName name="solver_eng" localSheetId="0" hidden="1">1</definedName>
    <definedName name="solver_eng" localSheetId="3" hidden="1">2</definedName>
    <definedName name="solver_eng" localSheetId="2" hidden="1">2</definedName>
    <definedName name="solver_eng" localSheetId="6" hidden="1">2</definedName>
    <definedName name="solver_est" localSheetId="3" hidden="1">1</definedName>
    <definedName name="solver_est" localSheetId="2" hidden="1">1</definedName>
    <definedName name="solver_est" localSheetId="6" hidden="1">1</definedName>
    <definedName name="solver_itr" localSheetId="3" hidden="1">2147483647</definedName>
    <definedName name="solver_itr" localSheetId="2" hidden="1">2147483647</definedName>
    <definedName name="solver_itr" localSheetId="6" hidden="1">2147483647</definedName>
    <definedName name="solver_lhs1" localSheetId="3" hidden="1">'Расчет графиков'!$D$16:$D$45</definedName>
    <definedName name="solver_lhs1" localSheetId="2" hidden="1">Расчеты!#REF!</definedName>
    <definedName name="solver_lhs1" localSheetId="6" hidden="1">'Свод по нагрузке'!$A$57:$A$63</definedName>
    <definedName name="solver_lhs10" localSheetId="3" hidden="1">'Расчет графиков'!$Z$1</definedName>
    <definedName name="solver_lhs2" localSheetId="3" hidden="1">'Расчет графиков'!$H$1:$AX$1</definedName>
    <definedName name="solver_lhs2" localSheetId="2" hidden="1">Расчеты!#REF!</definedName>
    <definedName name="solver_lhs2" localSheetId="6" hidden="1">'Свод по нагрузке'!$B$54:$H$54</definedName>
    <definedName name="solver_lhs3" localSheetId="3" hidden="1">'Расчет графиков'!$F$51</definedName>
    <definedName name="solver_lhs3" localSheetId="2" hidden="1">Расчеты!#REF!</definedName>
    <definedName name="solver_lhs4" localSheetId="3" hidden="1">'Расчет графиков'!$F$51</definedName>
    <definedName name="solver_lhs5" localSheetId="3" hidden="1">'Расчет графиков'!$H$1:$AX$1</definedName>
    <definedName name="solver_lhs6" localSheetId="3" hidden="1">'Расчет графиков'!$F$52</definedName>
    <definedName name="solver_lhs7" localSheetId="3" hidden="1">'Расчет графиков'!$H$1:$AX$1</definedName>
    <definedName name="solver_lhs8" localSheetId="3" hidden="1">'Расчет графиков'!$F$53</definedName>
    <definedName name="solver_lhs9" localSheetId="3" hidden="1">'Расчет графиков'!$H$1:$AX$1</definedName>
    <definedName name="solver_mip" localSheetId="3" hidden="1">2147483647</definedName>
    <definedName name="solver_mip" localSheetId="2" hidden="1">2147483647</definedName>
    <definedName name="solver_mip" localSheetId="6" hidden="1">2147483647</definedName>
    <definedName name="solver_mni" localSheetId="3" hidden="1">30</definedName>
    <definedName name="solver_mni" localSheetId="2" hidden="1">30</definedName>
    <definedName name="solver_mni" localSheetId="6" hidden="1">30</definedName>
    <definedName name="solver_mrt" localSheetId="3" hidden="1">0.075</definedName>
    <definedName name="solver_mrt" localSheetId="2" hidden="1">0.075</definedName>
    <definedName name="solver_mrt" localSheetId="6" hidden="1">0.075</definedName>
    <definedName name="solver_msl" localSheetId="3" hidden="1">2</definedName>
    <definedName name="solver_msl" localSheetId="2" hidden="1">2</definedName>
    <definedName name="solver_msl" localSheetId="6" hidden="1">2</definedName>
    <definedName name="solver_neg" localSheetId="0" hidden="1">1</definedName>
    <definedName name="solver_neg" localSheetId="3" hidden="1">1</definedName>
    <definedName name="solver_neg" localSheetId="2" hidden="1">1</definedName>
    <definedName name="solver_neg" localSheetId="6" hidden="1">1</definedName>
    <definedName name="solver_nod" localSheetId="3" hidden="1">2147483647</definedName>
    <definedName name="solver_nod" localSheetId="2" hidden="1">2147483647</definedName>
    <definedName name="solver_nod" localSheetId="6" hidden="1">2147483647</definedName>
    <definedName name="solver_num" localSheetId="0" hidden="1">0</definedName>
    <definedName name="solver_num" localSheetId="3" hidden="1">2</definedName>
    <definedName name="solver_num" localSheetId="2" hidden="1">0</definedName>
    <definedName name="solver_num" localSheetId="6" hidden="1">2</definedName>
    <definedName name="solver_nwt" localSheetId="3" hidden="1">1</definedName>
    <definedName name="solver_nwt" localSheetId="2" hidden="1">1</definedName>
    <definedName name="solver_nwt" localSheetId="6" hidden="1">1</definedName>
    <definedName name="solver_opt" localSheetId="3" hidden="1">'Расчет графиков'!$E$51</definedName>
    <definedName name="solver_opt" localSheetId="6" hidden="1">'Свод по нагрузке'!$I$55</definedName>
    <definedName name="solver_pre" localSheetId="3" hidden="1">0.000001</definedName>
    <definedName name="solver_pre" localSheetId="2" hidden="1">0.000001</definedName>
    <definedName name="solver_pre" localSheetId="6" hidden="1">0.000001</definedName>
    <definedName name="solver_rbv" localSheetId="3" hidden="1">1</definedName>
    <definedName name="solver_rbv" localSheetId="2" hidden="1">1</definedName>
    <definedName name="solver_rbv" localSheetId="6" hidden="1">2</definedName>
    <definedName name="solver_rel1" localSheetId="3" hidden="1">1</definedName>
    <definedName name="solver_rel1" localSheetId="2" hidden="1">1</definedName>
    <definedName name="solver_rel1" localSheetId="6" hidden="1">4</definedName>
    <definedName name="solver_rel10" localSheetId="3" hidden="1">1</definedName>
    <definedName name="solver_rel2" localSheetId="3" hidden="1">4</definedName>
    <definedName name="solver_rel2" localSheetId="2" hidden="1">1</definedName>
    <definedName name="solver_rel2" localSheetId="6" hidden="1">1</definedName>
    <definedName name="solver_rel3" localSheetId="3" hidden="1">1</definedName>
    <definedName name="solver_rel3" localSheetId="2" hidden="1">1</definedName>
    <definedName name="solver_rel4" localSheetId="3" hidden="1">3</definedName>
    <definedName name="solver_rel5" localSheetId="3" hidden="1">4</definedName>
    <definedName name="solver_rel6" localSheetId="3" hidden="1">2</definedName>
    <definedName name="solver_rel7" localSheetId="3" hidden="1">4</definedName>
    <definedName name="solver_rel8" localSheetId="3" hidden="1">2</definedName>
    <definedName name="solver_rel9" localSheetId="3" hidden="1">4</definedName>
    <definedName name="solver_rhs1" localSheetId="3" hidden="1">'Расчет графиков'!$E$16:$E$45</definedName>
    <definedName name="solver_rhs1" localSheetId="2" hidden="1">Расчеты!#REF!</definedName>
    <definedName name="solver_rhs1" localSheetId="6" hidden="1">целое</definedName>
    <definedName name="solver_rhs10" localSheetId="3" hidden="1">1</definedName>
    <definedName name="solver_rhs2" localSheetId="3" hidden="1">целое</definedName>
    <definedName name="solver_rhs2" localSheetId="2" hidden="1">Расчеты!#REF!</definedName>
    <definedName name="solver_rhs2" localSheetId="6" hidden="1">'Свод по нагрузке'!$B$55:$H$55</definedName>
    <definedName name="solver_rhs3" localSheetId="3" hidden="1">10</definedName>
    <definedName name="solver_rhs3" localSheetId="2" hidden="1">Расчеты!#REF!</definedName>
    <definedName name="solver_rhs4" localSheetId="3" hidden="1">6</definedName>
    <definedName name="solver_rhs5" localSheetId="3" hidden="1">целое</definedName>
    <definedName name="solver_rhs6" localSheetId="3" hidden="1">0</definedName>
    <definedName name="solver_rhs7" localSheetId="3" hidden="1">целое</definedName>
    <definedName name="solver_rhs8" localSheetId="3" hidden="1">0</definedName>
    <definedName name="solver_rhs9" localSheetId="3" hidden="1">целое</definedName>
    <definedName name="solver_rlx" localSheetId="3" hidden="1">2</definedName>
    <definedName name="solver_rlx" localSheetId="2" hidden="1">2</definedName>
    <definedName name="solver_rlx" localSheetId="6" hidden="1">2</definedName>
    <definedName name="solver_rsd" localSheetId="3" hidden="1">0</definedName>
    <definedName name="solver_rsd" localSheetId="2" hidden="1">0</definedName>
    <definedName name="solver_rsd" localSheetId="6" hidden="1">0</definedName>
    <definedName name="solver_scl" localSheetId="3" hidden="1">1</definedName>
    <definedName name="solver_scl" localSheetId="2" hidden="1">1</definedName>
    <definedName name="solver_scl" localSheetId="6" hidden="1">2</definedName>
    <definedName name="solver_sho" localSheetId="3" hidden="1">2</definedName>
    <definedName name="solver_sho" localSheetId="2" hidden="1">2</definedName>
    <definedName name="solver_sho" localSheetId="6" hidden="1">2</definedName>
    <definedName name="solver_ssz" localSheetId="3" hidden="1">100</definedName>
    <definedName name="solver_ssz" localSheetId="2" hidden="1">100</definedName>
    <definedName name="solver_ssz" localSheetId="6" hidden="1">100</definedName>
    <definedName name="solver_tim" localSheetId="3" hidden="1">2147483647</definedName>
    <definedName name="solver_tim" localSheetId="2" hidden="1">2147483647</definedName>
    <definedName name="solver_tim" localSheetId="6" hidden="1">2147483647</definedName>
    <definedName name="solver_tol" localSheetId="3" hidden="1">0.01</definedName>
    <definedName name="solver_tol" localSheetId="2" hidden="1">0.05</definedName>
    <definedName name="solver_tol" localSheetId="6" hidden="1">0.01</definedName>
    <definedName name="solver_typ" localSheetId="0" hidden="1">1</definedName>
    <definedName name="solver_typ" localSheetId="3" hidden="1">2</definedName>
    <definedName name="solver_typ" localSheetId="2" hidden="1">2</definedName>
    <definedName name="solver_typ" localSheetId="6" hidden="1">2</definedName>
    <definedName name="solver_val" localSheetId="0" hidden="1">0</definedName>
    <definedName name="solver_val" localSheetId="3" hidden="1">0</definedName>
    <definedName name="solver_val" localSheetId="2" hidden="1">0</definedName>
    <definedName name="solver_val" localSheetId="6" hidden="1">0</definedName>
    <definedName name="solver_ver" localSheetId="0" hidden="1">3</definedName>
    <definedName name="solver_ver" localSheetId="3" hidden="1">3</definedName>
    <definedName name="solver_ver" localSheetId="2" hidden="1">3</definedName>
    <definedName name="solver_ver" localSheetId="6" hidden="1">3</definedName>
  </definedNames>
  <calcPr calcId="152511" calcMode="manual"/>
</workbook>
</file>

<file path=xl/calcChain.xml><?xml version="1.0" encoding="utf-8"?>
<calcChain xmlns="http://schemas.openxmlformats.org/spreadsheetml/2006/main">
  <c r="U48" i="44" l="1"/>
  <c r="V48" i="44"/>
  <c r="W48" i="44"/>
  <c r="X48" i="44"/>
  <c r="Y48" i="44"/>
  <c r="Z48" i="44"/>
  <c r="AA48" i="44"/>
  <c r="AB48" i="44"/>
  <c r="AC48" i="44"/>
  <c r="AD48" i="44"/>
  <c r="AE48" i="44"/>
  <c r="AF48" i="44"/>
  <c r="AG48" i="44"/>
  <c r="U49" i="44"/>
  <c r="V49" i="44"/>
  <c r="W49" i="44"/>
  <c r="X49" i="44"/>
  <c r="Y49" i="44"/>
  <c r="Z49" i="44"/>
  <c r="AA49" i="44"/>
  <c r="AB49" i="44"/>
  <c r="AC49" i="44"/>
  <c r="AD49" i="44"/>
  <c r="AE49" i="44"/>
  <c r="AF49" i="44"/>
  <c r="AG49" i="44"/>
  <c r="U50" i="44"/>
  <c r="V50" i="44"/>
  <c r="W50" i="44"/>
  <c r="X50" i="44"/>
  <c r="Y50" i="44"/>
  <c r="Z50" i="44"/>
  <c r="AA50" i="44"/>
  <c r="AB50" i="44"/>
  <c r="AC50" i="44"/>
  <c r="AD50" i="44"/>
  <c r="AE50" i="44"/>
  <c r="AF50" i="44"/>
  <c r="AG50" i="44"/>
  <c r="U51" i="44"/>
  <c r="V51" i="44"/>
  <c r="W51" i="44"/>
  <c r="X51" i="44"/>
  <c r="Y51" i="44"/>
  <c r="Z51" i="44"/>
  <c r="AA51" i="44"/>
  <c r="AB51" i="44"/>
  <c r="AC51" i="44"/>
  <c r="AD51" i="44"/>
  <c r="AE51" i="44"/>
  <c r="AF51" i="44"/>
  <c r="AG51" i="44"/>
  <c r="U4" i="44"/>
  <c r="V4" i="44"/>
  <c r="W4" i="44"/>
  <c r="X4" i="44"/>
  <c r="Y4" i="44"/>
  <c r="Z4" i="44"/>
  <c r="AA4" i="44"/>
  <c r="AB4" i="44"/>
  <c r="AC4" i="44"/>
  <c r="AD4" i="44"/>
  <c r="AE4" i="44"/>
  <c r="AF4" i="44"/>
  <c r="AG4" i="44"/>
  <c r="U5" i="44"/>
  <c r="V5" i="44"/>
  <c r="W5" i="44"/>
  <c r="X5" i="44"/>
  <c r="Y5" i="44"/>
  <c r="Z5" i="44"/>
  <c r="AA5" i="44"/>
  <c r="AB5" i="44"/>
  <c r="AC5" i="44"/>
  <c r="AD5" i="44"/>
  <c r="AE5" i="44"/>
  <c r="AF5" i="44"/>
  <c r="AG5" i="44"/>
  <c r="U6" i="44"/>
  <c r="V6" i="44"/>
  <c r="W6" i="44"/>
  <c r="X6" i="44"/>
  <c r="Y6" i="44"/>
  <c r="Z6" i="44"/>
  <c r="AA6" i="44"/>
  <c r="AB6" i="44"/>
  <c r="AC6" i="44"/>
  <c r="AD6" i="44"/>
  <c r="AE6" i="44"/>
  <c r="AF6" i="44"/>
  <c r="AG6" i="44"/>
  <c r="U7" i="44"/>
  <c r="V7" i="44"/>
  <c r="W7" i="44"/>
  <c r="X7" i="44"/>
  <c r="Y7" i="44"/>
  <c r="Z7" i="44"/>
  <c r="AA7" i="44"/>
  <c r="AB7" i="44"/>
  <c r="AC7" i="44"/>
  <c r="AD7" i="44"/>
  <c r="AE7" i="44"/>
  <c r="AF7" i="44"/>
  <c r="AG7" i="44"/>
  <c r="U8" i="44"/>
  <c r="V8" i="44"/>
  <c r="W8" i="44"/>
  <c r="X8" i="44"/>
  <c r="Y8" i="44"/>
  <c r="Z8" i="44"/>
  <c r="AA8" i="44"/>
  <c r="AB8" i="44"/>
  <c r="AC8" i="44"/>
  <c r="AD8" i="44"/>
  <c r="AE8" i="44"/>
  <c r="AF8" i="44"/>
  <c r="AG8" i="44"/>
  <c r="U9" i="44"/>
  <c r="V9" i="44"/>
  <c r="W9" i="44"/>
  <c r="X9" i="44"/>
  <c r="Y9" i="44"/>
  <c r="Z9" i="44"/>
  <c r="AA9" i="44"/>
  <c r="AB9" i="44"/>
  <c r="AC9" i="44"/>
  <c r="AD9" i="44"/>
  <c r="AE9" i="44"/>
  <c r="AF9" i="44"/>
  <c r="AG9" i="44"/>
  <c r="U10" i="44"/>
  <c r="V10" i="44"/>
  <c r="W10" i="44"/>
  <c r="X10" i="44"/>
  <c r="Y10" i="44"/>
  <c r="Z10" i="44"/>
  <c r="AA10" i="44"/>
  <c r="AB10" i="44"/>
  <c r="AC10" i="44"/>
  <c r="AD10" i="44"/>
  <c r="AE10" i="44"/>
  <c r="AF10" i="44"/>
  <c r="AG10" i="44"/>
  <c r="U11" i="44"/>
  <c r="V11" i="44"/>
  <c r="W11" i="44"/>
  <c r="X11" i="44"/>
  <c r="Y11" i="44"/>
  <c r="Z11" i="44"/>
  <c r="AA11" i="44"/>
  <c r="AB11" i="44"/>
  <c r="AC11" i="44"/>
  <c r="AD11" i="44"/>
  <c r="AE11" i="44"/>
  <c r="AF11" i="44"/>
  <c r="AG11" i="44"/>
  <c r="U12" i="44"/>
  <c r="V12" i="44"/>
  <c r="W12" i="44"/>
  <c r="X12" i="44"/>
  <c r="Y12" i="44"/>
  <c r="Z12" i="44"/>
  <c r="AA12" i="44"/>
  <c r="AB12" i="44"/>
  <c r="AC12" i="44"/>
  <c r="AD12" i="44"/>
  <c r="AE12" i="44"/>
  <c r="AF12" i="44"/>
  <c r="AG12" i="44"/>
  <c r="U13" i="44"/>
  <c r="V13" i="44"/>
  <c r="W13" i="44"/>
  <c r="X13" i="44"/>
  <c r="Y13" i="44"/>
  <c r="Z13" i="44"/>
  <c r="AA13" i="44"/>
  <c r="AB13" i="44"/>
  <c r="AC13" i="44"/>
  <c r="AD13" i="44"/>
  <c r="AE13" i="44"/>
  <c r="AF13" i="44"/>
  <c r="AG13" i="44"/>
  <c r="U14" i="44"/>
  <c r="V14" i="44"/>
  <c r="W14" i="44"/>
  <c r="X14" i="44"/>
  <c r="Y14" i="44"/>
  <c r="Z14" i="44"/>
  <c r="AA14" i="44"/>
  <c r="AB14" i="44"/>
  <c r="AC14" i="44"/>
  <c r="AD14" i="44"/>
  <c r="AE14" i="44"/>
  <c r="AF14" i="44"/>
  <c r="AG14" i="44"/>
  <c r="U15" i="44"/>
  <c r="V15" i="44"/>
  <c r="W15" i="44"/>
  <c r="X15" i="44"/>
  <c r="Y15" i="44"/>
  <c r="Z15" i="44"/>
  <c r="AA15" i="44"/>
  <c r="AB15" i="44"/>
  <c r="AC15" i="44"/>
  <c r="AD15" i="44"/>
  <c r="AE15" i="44"/>
  <c r="AF15" i="44"/>
  <c r="AG15" i="44"/>
  <c r="U16" i="44"/>
  <c r="V16" i="44"/>
  <c r="W16" i="44"/>
  <c r="X16" i="44"/>
  <c r="Y16" i="44"/>
  <c r="Z16" i="44"/>
  <c r="AA16" i="44"/>
  <c r="AB16" i="44"/>
  <c r="AC16" i="44"/>
  <c r="AD16" i="44"/>
  <c r="AE16" i="44"/>
  <c r="AF16" i="44"/>
  <c r="AG16" i="44"/>
  <c r="U17" i="44"/>
  <c r="V17" i="44"/>
  <c r="W17" i="44"/>
  <c r="X17" i="44"/>
  <c r="Y17" i="44"/>
  <c r="Z17" i="44"/>
  <c r="AA17" i="44"/>
  <c r="AB17" i="44"/>
  <c r="AC17" i="44"/>
  <c r="AD17" i="44"/>
  <c r="AE17" i="44"/>
  <c r="AF17" i="44"/>
  <c r="AG17" i="44"/>
  <c r="C245" i="44"/>
  <c r="E247" i="44"/>
  <c r="L245" i="44"/>
  <c r="AC245" i="44"/>
  <c r="AD245" i="44"/>
  <c r="AF247" i="44"/>
  <c r="Z247" i="44"/>
  <c r="G245" i="44"/>
  <c r="I247" i="44"/>
  <c r="Y246" i="44"/>
  <c r="W247" i="44"/>
  <c r="U248" i="44"/>
  <c r="Y245" i="44"/>
  <c r="AA247" i="44"/>
  <c r="C246" i="44"/>
  <c r="AC246" i="44"/>
  <c r="AC201" i="44"/>
  <c r="AG203" i="44"/>
  <c r="G206" i="44"/>
  <c r="K208" i="44"/>
  <c r="O210" i="44"/>
  <c r="S212" i="44"/>
  <c r="W214" i="44"/>
  <c r="Y243" i="44"/>
  <c r="W241" i="44"/>
  <c r="U239" i="44"/>
  <c r="S237" i="44"/>
  <c r="Q235" i="44"/>
  <c r="O233" i="44"/>
  <c r="M231" i="44"/>
  <c r="K229" i="44"/>
  <c r="I227" i="44"/>
  <c r="H202" i="44"/>
  <c r="L204" i="44"/>
  <c r="P206" i="44"/>
  <c r="T208" i="44"/>
  <c r="X210" i="44"/>
  <c r="AB212" i="44"/>
  <c r="AF214" i="44"/>
  <c r="P243" i="44"/>
  <c r="N241" i="44"/>
  <c r="L239" i="44"/>
  <c r="J237" i="44"/>
  <c r="H235" i="44"/>
  <c r="F233" i="44"/>
  <c r="D231" i="44"/>
  <c r="AG228" i="44"/>
  <c r="AE226" i="44"/>
  <c r="Q202" i="44"/>
  <c r="U204" i="44"/>
  <c r="Y206" i="44"/>
  <c r="AC208" i="44"/>
  <c r="AG210" i="44"/>
  <c r="G213" i="44"/>
  <c r="C208" i="44"/>
  <c r="G243" i="44"/>
  <c r="E241" i="44"/>
  <c r="C239" i="44"/>
  <c r="AF236" i="44"/>
  <c r="AD234" i="44"/>
  <c r="H201" i="44"/>
  <c r="L203" i="44"/>
  <c r="P205" i="44"/>
  <c r="T207" i="44"/>
  <c r="X209" i="44"/>
  <c r="AB211" i="44"/>
  <c r="AF213" i="44"/>
  <c r="O244" i="44"/>
  <c r="M242" i="44"/>
  <c r="K240" i="44"/>
  <c r="I238" i="44"/>
  <c r="K245" i="44"/>
  <c r="M247" i="44"/>
  <c r="U246" i="44"/>
  <c r="F246" i="44"/>
  <c r="G246" i="44"/>
  <c r="I248" i="44"/>
  <c r="S248" i="44"/>
  <c r="O245" i="44"/>
  <c r="Q247" i="44"/>
  <c r="R247" i="44"/>
  <c r="H245" i="44"/>
  <c r="V248" i="44"/>
  <c r="AG245" i="44"/>
  <c r="D248" i="44"/>
  <c r="K246" i="44"/>
  <c r="V247" i="44"/>
  <c r="G202" i="44"/>
  <c r="K204" i="44"/>
  <c r="O206" i="44"/>
  <c r="S208" i="44"/>
  <c r="W210" i="44"/>
  <c r="AA212" i="44"/>
  <c r="AE214" i="44"/>
  <c r="Q243" i="44"/>
  <c r="O241" i="44"/>
  <c r="M239" i="44"/>
  <c r="K237" i="44"/>
  <c r="I235" i="44"/>
  <c r="G233" i="44"/>
  <c r="E231" i="44"/>
  <c r="C229" i="44"/>
  <c r="AF226" i="44"/>
  <c r="P202" i="44"/>
  <c r="T204" i="44"/>
  <c r="X206" i="44"/>
  <c r="AB208" i="44"/>
  <c r="AF210" i="44"/>
  <c r="F213" i="44"/>
  <c r="C207" i="44"/>
  <c r="H243" i="44"/>
  <c r="F241" i="44"/>
  <c r="D239" i="44"/>
  <c r="AG236" i="44"/>
  <c r="AE234" i="44"/>
  <c r="AC232" i="44"/>
  <c r="AA230" i="44"/>
  <c r="Y228" i="44"/>
  <c r="W226" i="44"/>
  <c r="Y202" i="44"/>
  <c r="AC204" i="44"/>
  <c r="AG206" i="44"/>
  <c r="G209" i="44"/>
  <c r="K211" i="44"/>
  <c r="O213" i="44"/>
  <c r="AF244" i="44"/>
  <c r="AD242" i="44"/>
  <c r="AB240" i="44"/>
  <c r="Z238" i="44"/>
  <c r="X236" i="44"/>
  <c r="V234" i="44"/>
  <c r="P201" i="44"/>
  <c r="T203" i="44"/>
  <c r="X205" i="44"/>
  <c r="AB207" i="44"/>
  <c r="AF209" i="44"/>
  <c r="F212" i="44"/>
  <c r="J214" i="44"/>
  <c r="G244" i="44"/>
  <c r="E242" i="44"/>
  <c r="C240" i="44"/>
  <c r="AF237" i="44"/>
  <c r="AD235" i="44"/>
  <c r="AB233" i="44"/>
  <c r="Z231" i="44"/>
  <c r="X229" i="44"/>
  <c r="V227" i="44"/>
  <c r="Y201" i="44"/>
  <c r="AC203" i="44"/>
  <c r="AG205" i="44"/>
  <c r="G208" i="44"/>
  <c r="J201" i="44"/>
  <c r="N203" i="44"/>
  <c r="R205" i="44"/>
  <c r="V207" i="44"/>
  <c r="Z209" i="44"/>
  <c r="AD211" i="44"/>
  <c r="D214" i="44"/>
  <c r="M244" i="44"/>
  <c r="K242" i="44"/>
  <c r="I240" i="44"/>
  <c r="G238" i="44"/>
  <c r="E236" i="44"/>
  <c r="C234" i="44"/>
  <c r="AF231" i="44"/>
  <c r="AD229" i="44"/>
  <c r="AB227" i="44"/>
  <c r="S201" i="44"/>
  <c r="W203" i="44"/>
  <c r="AA205" i="44"/>
  <c r="AE207" i="44"/>
  <c r="E210" i="44"/>
  <c r="I212" i="44"/>
  <c r="M214" i="44"/>
  <c r="D244" i="44"/>
  <c r="AG241" i="44"/>
  <c r="AE239" i="44"/>
  <c r="AC237" i="44"/>
  <c r="AA235" i="44"/>
  <c r="Y233" i="44"/>
  <c r="W231" i="44"/>
  <c r="U229" i="44"/>
  <c r="S227" i="44"/>
  <c r="T205" i="44"/>
  <c r="F244" i="44"/>
  <c r="AC235" i="44"/>
  <c r="O229" i="44"/>
  <c r="M225" i="44"/>
  <c r="K223" i="44"/>
  <c r="I221" i="44"/>
  <c r="G219" i="44"/>
  <c r="E217" i="44"/>
  <c r="C215" i="44"/>
  <c r="C236" i="44"/>
  <c r="F217" i="44"/>
  <c r="J212" i="44"/>
  <c r="AD239" i="44"/>
  <c r="D232" i="44"/>
  <c r="S245" i="44"/>
  <c r="AC247" i="44"/>
  <c r="N247" i="44"/>
  <c r="N246" i="44"/>
  <c r="O246" i="44"/>
  <c r="Q248" i="44"/>
  <c r="D247" i="44"/>
  <c r="W245" i="44"/>
  <c r="Y247" i="44"/>
  <c r="K248" i="44"/>
  <c r="AF245" i="44"/>
  <c r="T245" i="44"/>
  <c r="J246" i="44"/>
  <c r="L248" i="44"/>
  <c r="S246" i="44"/>
  <c r="AE248" i="44"/>
  <c r="O202" i="44"/>
  <c r="S204" i="44"/>
  <c r="W206" i="44"/>
  <c r="AA208" i="44"/>
  <c r="AE210" i="44"/>
  <c r="E213" i="44"/>
  <c r="C206" i="44"/>
  <c r="I243" i="44"/>
  <c r="G241" i="44"/>
  <c r="E239" i="44"/>
  <c r="C237" i="44"/>
  <c r="AF234" i="44"/>
  <c r="AD232" i="44"/>
  <c r="AB230" i="44"/>
  <c r="Z228" i="44"/>
  <c r="X226" i="44"/>
  <c r="X202" i="44"/>
  <c r="AB204" i="44"/>
  <c r="AF206" i="44"/>
  <c r="F209" i="44"/>
  <c r="J211" i="44"/>
  <c r="N213" i="44"/>
  <c r="AG244" i="44"/>
  <c r="AE242" i="44"/>
  <c r="AC240" i="44"/>
  <c r="AA238" i="44"/>
  <c r="Y236" i="44"/>
  <c r="W234" i="44"/>
  <c r="U232" i="44"/>
  <c r="S230" i="44"/>
  <c r="Q228" i="44"/>
  <c r="O226" i="44"/>
  <c r="AG202" i="44"/>
  <c r="G205" i="44"/>
  <c r="K207" i="44"/>
  <c r="O209" i="44"/>
  <c r="S211" i="44"/>
  <c r="W213" i="44"/>
  <c r="X244" i="44"/>
  <c r="V242" i="44"/>
  <c r="T240" i="44"/>
  <c r="R238" i="44"/>
  <c r="P236" i="44"/>
  <c r="N234" i="44"/>
  <c r="X201" i="44"/>
  <c r="AB203" i="44"/>
  <c r="AF205" i="44"/>
  <c r="F208" i="44"/>
  <c r="J210" i="44"/>
  <c r="N212" i="44"/>
  <c r="R214" i="44"/>
  <c r="AD243" i="44"/>
  <c r="AB241" i="44"/>
  <c r="Z239" i="44"/>
  <c r="X237" i="44"/>
  <c r="V235" i="44"/>
  <c r="T233" i="44"/>
  <c r="R231" i="44"/>
  <c r="P229" i="44"/>
  <c r="N227" i="44"/>
  <c r="AG201" i="44"/>
  <c r="G204" i="44"/>
  <c r="K206" i="44"/>
  <c r="O208" i="44"/>
  <c r="R201" i="44"/>
  <c r="V203" i="44"/>
  <c r="Z205" i="44"/>
  <c r="AD207" i="44"/>
  <c r="D210" i="44"/>
  <c r="H212" i="44"/>
  <c r="L214" i="44"/>
  <c r="E244" i="44"/>
  <c r="C242" i="44"/>
  <c r="AF239" i="44"/>
  <c r="AD237" i="44"/>
  <c r="AB235" i="44"/>
  <c r="Z233" i="44"/>
  <c r="X231" i="44"/>
  <c r="V229" i="44"/>
  <c r="T227" i="44"/>
  <c r="AA201" i="44"/>
  <c r="AE203" i="44"/>
  <c r="E206" i="44"/>
  <c r="I208" i="44"/>
  <c r="M210" i="44"/>
  <c r="Q212" i="44"/>
  <c r="U214" i="44"/>
  <c r="AA243" i="44"/>
  <c r="Y241" i="44"/>
  <c r="W239" i="44"/>
  <c r="U237" i="44"/>
  <c r="S235" i="44"/>
  <c r="Q233" i="44"/>
  <c r="O231" i="44"/>
  <c r="M229" i="44"/>
  <c r="K227" i="44"/>
  <c r="X207" i="44"/>
  <c r="E243" i="44"/>
  <c r="AB234" i="44"/>
  <c r="X228" i="44"/>
  <c r="E225" i="44"/>
  <c r="C223" i="44"/>
  <c r="AF220" i="44"/>
  <c r="AD218" i="44"/>
  <c r="AB216" i="44"/>
  <c r="L217" i="44"/>
  <c r="H230" i="44"/>
  <c r="L215" i="44"/>
  <c r="L213" i="44"/>
  <c r="AC238" i="44"/>
  <c r="N231" i="44"/>
  <c r="AA245" i="44"/>
  <c r="M246" i="44"/>
  <c r="D246" i="44"/>
  <c r="F247" i="44"/>
  <c r="AF248" i="44"/>
  <c r="P248" i="44"/>
  <c r="AE246" i="44"/>
  <c r="AG248" i="44"/>
  <c r="U247" i="44"/>
  <c r="H246" i="44"/>
  <c r="J248" i="44"/>
  <c r="E248" i="44"/>
  <c r="J247" i="44"/>
  <c r="H248" i="44"/>
  <c r="Z246" i="44"/>
  <c r="AB248" i="44"/>
  <c r="AB247" i="44"/>
  <c r="D201" i="44"/>
  <c r="AE202" i="44"/>
  <c r="E205" i="44"/>
  <c r="I207" i="44"/>
  <c r="M209" i="44"/>
  <c r="Q211" i="44"/>
  <c r="U213" i="44"/>
  <c r="Z244" i="44"/>
  <c r="X242" i="44"/>
  <c r="V240" i="44"/>
  <c r="T238" i="44"/>
  <c r="R236" i="44"/>
  <c r="P234" i="44"/>
  <c r="N232" i="44"/>
  <c r="L230" i="44"/>
  <c r="J228" i="44"/>
  <c r="F201" i="44"/>
  <c r="J203" i="44"/>
  <c r="N205" i="44"/>
  <c r="R207" i="44"/>
  <c r="V209" i="44"/>
  <c r="Z211" i="44"/>
  <c r="AD213" i="44"/>
  <c r="Q244" i="44"/>
  <c r="O242" i="44"/>
  <c r="M240" i="44"/>
  <c r="K238" i="44"/>
  <c r="I236" i="44"/>
  <c r="G234" i="44"/>
  <c r="E232" i="44"/>
  <c r="C230" i="44"/>
  <c r="AF227" i="44"/>
  <c r="O201" i="44"/>
  <c r="S203" i="44"/>
  <c r="W205" i="44"/>
  <c r="AA207" i="44"/>
  <c r="AE209" i="44"/>
  <c r="E212" i="44"/>
  <c r="I214" i="44"/>
  <c r="H244" i="44"/>
  <c r="F242" i="44"/>
  <c r="D240" i="44"/>
  <c r="AG237" i="44"/>
  <c r="AE235" i="44"/>
  <c r="AC233" i="44"/>
  <c r="J202" i="44"/>
  <c r="N204" i="44"/>
  <c r="R206" i="44"/>
  <c r="V208" i="44"/>
  <c r="Z210" i="44"/>
  <c r="AD212" i="44"/>
  <c r="C201" i="44"/>
  <c r="N243" i="44"/>
  <c r="L241" i="44"/>
  <c r="J239" i="44"/>
  <c r="H237" i="44"/>
  <c r="F235" i="44"/>
  <c r="D233" i="44"/>
  <c r="AG230" i="44"/>
  <c r="AE228" i="44"/>
  <c r="AC226" i="44"/>
  <c r="S202" i="44"/>
  <c r="W204" i="44"/>
  <c r="AA206" i="44"/>
  <c r="AE208" i="44"/>
  <c r="D202" i="44"/>
  <c r="H204" i="44"/>
  <c r="L206" i="44"/>
  <c r="P208" i="44"/>
  <c r="T210" i="44"/>
  <c r="X212" i="44"/>
  <c r="AB214" i="44"/>
  <c r="T243" i="44"/>
  <c r="R241" i="44"/>
  <c r="P239" i="44"/>
  <c r="N237" i="44"/>
  <c r="L235" i="44"/>
  <c r="J233" i="44"/>
  <c r="H231" i="44"/>
  <c r="F229" i="44"/>
  <c r="D227" i="44"/>
  <c r="M202" i="44"/>
  <c r="Q204" i="44"/>
  <c r="U206" i="44"/>
  <c r="Y208" i="44"/>
  <c r="AC210" i="44"/>
  <c r="AG212" i="44"/>
  <c r="C204" i="44"/>
  <c r="K243" i="44"/>
  <c r="I241" i="44"/>
  <c r="G239" i="44"/>
  <c r="E237" i="44"/>
  <c r="C235" i="44"/>
  <c r="AF232" i="44"/>
  <c r="AD230" i="44"/>
  <c r="AB228" i="44"/>
  <c r="Z226" i="44"/>
  <c r="E211" i="44"/>
  <c r="C241" i="44"/>
  <c r="AB232" i="44"/>
  <c r="M227" i="44"/>
  <c r="T224" i="44"/>
  <c r="R222" i="44"/>
  <c r="P220" i="44"/>
  <c r="N218" i="44"/>
  <c r="L216" i="44"/>
  <c r="C216" i="44"/>
  <c r="N225" i="44"/>
  <c r="X203" i="44"/>
  <c r="C213" i="44"/>
  <c r="AA236" i="44"/>
  <c r="AG229" i="44"/>
  <c r="L246" i="44"/>
  <c r="W248" i="44"/>
  <c r="E245" i="44"/>
  <c r="F245" i="44"/>
  <c r="H247" i="44"/>
  <c r="X245" i="44"/>
  <c r="E246" i="44"/>
  <c r="P246" i="44"/>
  <c r="R248" i="44"/>
  <c r="N248" i="44"/>
  <c r="C248" i="44"/>
  <c r="X248" i="44"/>
  <c r="C247" i="44"/>
  <c r="J245" i="44"/>
  <c r="AC248" i="44"/>
  <c r="E201" i="44"/>
  <c r="I203" i="44"/>
  <c r="M205" i="44"/>
  <c r="Q207" i="44"/>
  <c r="U209" i="44"/>
  <c r="Y211" i="44"/>
  <c r="AC213" i="44"/>
  <c r="R244" i="44"/>
  <c r="P242" i="44"/>
  <c r="N240" i="44"/>
  <c r="L238" i="44"/>
  <c r="J236" i="44"/>
  <c r="H234" i="44"/>
  <c r="F232" i="44"/>
  <c r="D230" i="44"/>
  <c r="AG227" i="44"/>
  <c r="N201" i="44"/>
  <c r="R203" i="44"/>
  <c r="V205" i="44"/>
  <c r="Z207" i="44"/>
  <c r="AD209" i="44"/>
  <c r="D212" i="44"/>
  <c r="H214" i="44"/>
  <c r="I244" i="44"/>
  <c r="G242" i="44"/>
  <c r="E240" i="44"/>
  <c r="C238" i="44"/>
  <c r="AF235" i="44"/>
  <c r="AD233" i="44"/>
  <c r="AB231" i="44"/>
  <c r="Z229" i="44"/>
  <c r="X227" i="44"/>
  <c r="W201" i="44"/>
  <c r="AA203" i="44"/>
  <c r="AE205" i="44"/>
  <c r="E208" i="44"/>
  <c r="I210" i="44"/>
  <c r="M212" i="44"/>
  <c r="Q214" i="44"/>
  <c r="AE243" i="44"/>
  <c r="AC241" i="44"/>
  <c r="AA239" i="44"/>
  <c r="Y237" i="44"/>
  <c r="W235" i="44"/>
  <c r="U233" i="44"/>
  <c r="R202" i="44"/>
  <c r="V204" i="44"/>
  <c r="Z206" i="44"/>
  <c r="AD208" i="44"/>
  <c r="D211" i="44"/>
  <c r="H213" i="44"/>
  <c r="C209" i="44"/>
  <c r="F243" i="44"/>
  <c r="D241" i="44"/>
  <c r="AG238" i="44"/>
  <c r="AE236" i="44"/>
  <c r="AC234" i="44"/>
  <c r="AA232" i="44"/>
  <c r="Y230" i="44"/>
  <c r="W228" i="44"/>
  <c r="U226" i="44"/>
  <c r="AA202" i="44"/>
  <c r="AE204" i="44"/>
  <c r="E207" i="44"/>
  <c r="I209" i="44"/>
  <c r="L202" i="44"/>
  <c r="P204" i="44"/>
  <c r="T206" i="44"/>
  <c r="X208" i="44"/>
  <c r="AB210" i="44"/>
  <c r="AF212" i="44"/>
  <c r="C203" i="44"/>
  <c r="L243" i="44"/>
  <c r="J241" i="44"/>
  <c r="H239" i="44"/>
  <c r="F237" i="44"/>
  <c r="D235" i="44"/>
  <c r="AG232" i="44"/>
  <c r="AE230" i="44"/>
  <c r="AC228" i="44"/>
  <c r="AA226" i="44"/>
  <c r="U202" i="44"/>
  <c r="Y204" i="44"/>
  <c r="AC206" i="44"/>
  <c r="AG208" i="44"/>
  <c r="G211" i="44"/>
  <c r="K213" i="44"/>
  <c r="C212" i="44"/>
  <c r="C243" i="44"/>
  <c r="AF240" i="44"/>
  <c r="AD238" i="44"/>
  <c r="AB236" i="44"/>
  <c r="Z234" i="44"/>
  <c r="X232" i="44"/>
  <c r="V230" i="44"/>
  <c r="T228" i="44"/>
  <c r="R226" i="44"/>
  <c r="G212" i="44"/>
  <c r="AG239" i="44"/>
  <c r="G232" i="44"/>
  <c r="V226" i="44"/>
  <c r="L224" i="44"/>
  <c r="J222" i="44"/>
  <c r="H220" i="44"/>
  <c r="F218" i="44"/>
  <c r="D216" i="44"/>
  <c r="R215" i="44"/>
  <c r="T223" i="44"/>
  <c r="AB205" i="44"/>
  <c r="C244" i="44"/>
  <c r="Z235" i="44"/>
  <c r="T246" i="44"/>
  <c r="AE247" i="44"/>
  <c r="M245" i="44"/>
  <c r="N245" i="44"/>
  <c r="P247" i="44"/>
  <c r="I246" i="44"/>
  <c r="O248" i="44"/>
  <c r="X246" i="44"/>
  <c r="Z248" i="44"/>
  <c r="AB245" i="44"/>
  <c r="AA248" i="44"/>
  <c r="I245" i="44"/>
  <c r="K247" i="44"/>
  <c r="R245" i="44"/>
  <c r="F248" i="44"/>
  <c r="M201" i="44"/>
  <c r="Q203" i="44"/>
  <c r="U205" i="44"/>
  <c r="Y207" i="44"/>
  <c r="AC209" i="44"/>
  <c r="AG211" i="44"/>
  <c r="G214" i="44"/>
  <c r="J244" i="44"/>
  <c r="H242" i="44"/>
  <c r="F240" i="44"/>
  <c r="D238" i="44"/>
  <c r="AG235" i="44"/>
  <c r="AE233" i="44"/>
  <c r="AC231" i="44"/>
  <c r="AA229" i="44"/>
  <c r="Y227" i="44"/>
  <c r="V201" i="44"/>
  <c r="Z203" i="44"/>
  <c r="AD205" i="44"/>
  <c r="D208" i="44"/>
  <c r="H210" i="44"/>
  <c r="L212" i="44"/>
  <c r="P214" i="44"/>
  <c r="AF243" i="44"/>
  <c r="AD241" i="44"/>
  <c r="AB239" i="44"/>
  <c r="Z237" i="44"/>
  <c r="X235" i="44"/>
  <c r="V233" i="44"/>
  <c r="T231" i="44"/>
  <c r="R229" i="44"/>
  <c r="P227" i="44"/>
  <c r="AE201" i="44"/>
  <c r="E204" i="44"/>
  <c r="I206" i="44"/>
  <c r="M208" i="44"/>
  <c r="Q210" i="44"/>
  <c r="U212" i="44"/>
  <c r="Y214" i="44"/>
  <c r="W243" i="44"/>
  <c r="U241" i="44"/>
  <c r="S239" i="44"/>
  <c r="Q237" i="44"/>
  <c r="O235" i="44"/>
  <c r="M233" i="44"/>
  <c r="Z202" i="44"/>
  <c r="AD204" i="44"/>
  <c r="D207" i="44"/>
  <c r="H209" i="44"/>
  <c r="L211" i="44"/>
  <c r="P213" i="44"/>
  <c r="AE244" i="44"/>
  <c r="AC242" i="44"/>
  <c r="AA240" i="44"/>
  <c r="Y238" i="44"/>
  <c r="W236" i="44"/>
  <c r="U234" i="44"/>
  <c r="S232" i="44"/>
  <c r="Q230" i="44"/>
  <c r="O228" i="44"/>
  <c r="M226" i="44"/>
  <c r="E203" i="44"/>
  <c r="I205" i="44"/>
  <c r="M207" i="44"/>
  <c r="Q209" i="44"/>
  <c r="T202" i="44"/>
  <c r="X204" i="44"/>
  <c r="AB206" i="44"/>
  <c r="AF208" i="44"/>
  <c r="F211" i="44"/>
  <c r="J213" i="44"/>
  <c r="C211" i="44"/>
  <c r="D243" i="44"/>
  <c r="AG240" i="44"/>
  <c r="AE238" i="44"/>
  <c r="AC236" i="44"/>
  <c r="AA234" i="44"/>
  <c r="Y232" i="44"/>
  <c r="W230" i="44"/>
  <c r="U228" i="44"/>
  <c r="S226" i="44"/>
  <c r="AC202" i="44"/>
  <c r="AG204" i="44"/>
  <c r="G207" i="44"/>
  <c r="K209" i="44"/>
  <c r="O211" i="44"/>
  <c r="S213" i="44"/>
  <c r="AB244" i="44"/>
  <c r="Z242" i="44"/>
  <c r="X240" i="44"/>
  <c r="V238" i="44"/>
  <c r="T236" i="44"/>
  <c r="R234" i="44"/>
  <c r="P232" i="44"/>
  <c r="N230" i="44"/>
  <c r="L228" i="44"/>
  <c r="J226" i="44"/>
  <c r="I213" i="44"/>
  <c r="AF238" i="44"/>
  <c r="Q231" i="44"/>
  <c r="F226" i="44"/>
  <c r="D224" i="44"/>
  <c r="AG221" i="44"/>
  <c r="AE219" i="44"/>
  <c r="AC217" i="44"/>
  <c r="AA215" i="44"/>
  <c r="Y215" i="44"/>
  <c r="Z221" i="44"/>
  <c r="AF207" i="44"/>
  <c r="AG242" i="44"/>
  <c r="Y234" i="44"/>
  <c r="AB246" i="44"/>
  <c r="D245" i="44"/>
  <c r="U245" i="44"/>
  <c r="V245" i="44"/>
  <c r="X247" i="44"/>
  <c r="AG246" i="44"/>
  <c r="G247" i="44"/>
  <c r="AF246" i="44"/>
  <c r="P245" i="44"/>
  <c r="G248" i="44"/>
  <c r="T247" i="44"/>
  <c r="Q245" i="44"/>
  <c r="S247" i="44"/>
  <c r="Z245" i="44"/>
  <c r="AD248" i="44"/>
  <c r="U201" i="44"/>
  <c r="Y203" i="44"/>
  <c r="AC205" i="44"/>
  <c r="AG207" i="44"/>
  <c r="G210" i="44"/>
  <c r="K212" i="44"/>
  <c r="O214" i="44"/>
  <c r="AG243" i="44"/>
  <c r="AE241" i="44"/>
  <c r="AC239" i="44"/>
  <c r="AA237" i="44"/>
  <c r="Y235" i="44"/>
  <c r="W233" i="44"/>
  <c r="U231" i="44"/>
  <c r="S229" i="44"/>
  <c r="Q227" i="44"/>
  <c r="AD201" i="44"/>
  <c r="D204" i="44"/>
  <c r="H206" i="44"/>
  <c r="L208" i="44"/>
  <c r="P210" i="44"/>
  <c r="T212" i="44"/>
  <c r="X214" i="44"/>
  <c r="X243" i="44"/>
  <c r="V241" i="44"/>
  <c r="T239" i="44"/>
  <c r="R237" i="44"/>
  <c r="P235" i="44"/>
  <c r="N233" i="44"/>
  <c r="L231" i="44"/>
  <c r="J229" i="44"/>
  <c r="H227" i="44"/>
  <c r="I202" i="44"/>
  <c r="M204" i="44"/>
  <c r="Q206" i="44"/>
  <c r="U208" i="44"/>
  <c r="Y210" i="44"/>
  <c r="AC212" i="44"/>
  <c r="AG214" i="44"/>
  <c r="O243" i="44"/>
  <c r="M241" i="44"/>
  <c r="K239" i="44"/>
  <c r="I237" i="44"/>
  <c r="G235" i="44"/>
  <c r="E233" i="44"/>
  <c r="D203" i="44"/>
  <c r="H205" i="44"/>
  <c r="L207" i="44"/>
  <c r="P209" i="44"/>
  <c r="T211" i="44"/>
  <c r="X213" i="44"/>
  <c r="W244" i="44"/>
  <c r="U242" i="44"/>
  <c r="S240" i="44"/>
  <c r="Q238" i="44"/>
  <c r="O236" i="44"/>
  <c r="M234" i="44"/>
  <c r="K232" i="44"/>
  <c r="I230" i="44"/>
  <c r="G228" i="44"/>
  <c r="I201" i="44"/>
  <c r="M203" i="44"/>
  <c r="Q205" i="44"/>
  <c r="U207" i="44"/>
  <c r="Y209" i="44"/>
  <c r="AB202" i="44"/>
  <c r="AF204" i="44"/>
  <c r="F207" i="44"/>
  <c r="J209" i="44"/>
  <c r="N211" i="44"/>
  <c r="R213" i="44"/>
  <c r="AC244" i="44"/>
  <c r="AA242" i="44"/>
  <c r="Y240" i="44"/>
  <c r="W238" i="44"/>
  <c r="U236" i="44"/>
  <c r="S234" i="44"/>
  <c r="Q232" i="44"/>
  <c r="O230" i="44"/>
  <c r="M228" i="44"/>
  <c r="K226" i="44"/>
  <c r="G203" i="44"/>
  <c r="K205" i="44"/>
  <c r="O207" i="44"/>
  <c r="S209" i="44"/>
  <c r="W211" i="44"/>
  <c r="AA213" i="44"/>
  <c r="T244" i="44"/>
  <c r="R242" i="44"/>
  <c r="P240" i="44"/>
  <c r="N238" i="44"/>
  <c r="L236" i="44"/>
  <c r="J234" i="44"/>
  <c r="H232" i="44"/>
  <c r="F230" i="44"/>
  <c r="D228" i="44"/>
  <c r="L201" i="44"/>
  <c r="K214" i="44"/>
  <c r="AE237" i="44"/>
  <c r="Z230" i="44"/>
  <c r="AC225" i="44"/>
  <c r="AA223" i="44"/>
  <c r="Y221" i="44"/>
  <c r="W219" i="44"/>
  <c r="U217" i="44"/>
  <c r="S215" i="44"/>
  <c r="AD210" i="44"/>
  <c r="Q220" i="44"/>
  <c r="F210" i="44"/>
  <c r="AF241" i="44"/>
  <c r="X233" i="44"/>
  <c r="AE227" i="44"/>
  <c r="V246" i="44"/>
  <c r="Q246" i="44"/>
  <c r="AE206" i="44"/>
  <c r="Z236" i="44"/>
  <c r="J207" i="44"/>
  <c r="Q236" i="44"/>
  <c r="S207" i="44"/>
  <c r="H236" i="44"/>
  <c r="Z214" i="44"/>
  <c r="L233" i="44"/>
  <c r="K202" i="44"/>
  <c r="Z201" i="44"/>
  <c r="L210" i="44"/>
  <c r="Z241" i="44"/>
  <c r="R233" i="44"/>
  <c r="E202" i="44"/>
  <c r="U210" i="44"/>
  <c r="Q241" i="44"/>
  <c r="I233" i="44"/>
  <c r="AB209" i="44"/>
  <c r="AB224" i="44"/>
  <c r="T216" i="44"/>
  <c r="N214" i="44"/>
  <c r="T226" i="44"/>
  <c r="K224" i="44"/>
  <c r="I222" i="44"/>
  <c r="G220" i="44"/>
  <c r="E218" i="44"/>
  <c r="I215" i="44"/>
  <c r="AD217" i="44"/>
  <c r="O212" i="44"/>
  <c r="Y239" i="44"/>
  <c r="AG231" i="44"/>
  <c r="Q226" i="44"/>
  <c r="J224" i="44"/>
  <c r="H222" i="44"/>
  <c r="F220" i="44"/>
  <c r="D218" i="44"/>
  <c r="AG215" i="44"/>
  <c r="AF219" i="44"/>
  <c r="P211" i="44"/>
  <c r="W240" i="44"/>
  <c r="T232" i="44"/>
  <c r="E227" i="44"/>
  <c r="Q224" i="44"/>
  <c r="O222" i="44"/>
  <c r="M220" i="44"/>
  <c r="K218" i="44"/>
  <c r="I216" i="44"/>
  <c r="V215" i="44"/>
  <c r="L223" i="44"/>
  <c r="V206" i="44"/>
  <c r="U243" i="44"/>
  <c r="M235" i="44"/>
  <c r="D229" i="44"/>
  <c r="I225" i="44"/>
  <c r="G223" i="44"/>
  <c r="E221" i="44"/>
  <c r="C219" i="44"/>
  <c r="AF216" i="44"/>
  <c r="D237" i="44"/>
  <c r="V202" i="44"/>
  <c r="AD214" i="44"/>
  <c r="L237" i="44"/>
  <c r="M230" i="44"/>
  <c r="X225" i="44"/>
  <c r="V223" i="44"/>
  <c r="T221" i="44"/>
  <c r="R219" i="44"/>
  <c r="P217" i="44"/>
  <c r="T209" i="44"/>
  <c r="H219" i="44"/>
  <c r="AC211" i="44"/>
  <c r="J240" i="44"/>
  <c r="L232" i="44"/>
  <c r="AB226" i="44"/>
  <c r="L222" i="44"/>
  <c r="H218" i="44"/>
  <c r="Y226" i="44"/>
  <c r="V217" i="44"/>
  <c r="AF202" i="44"/>
  <c r="S243" i="44"/>
  <c r="AA224" i="44"/>
  <c r="Z224" i="44"/>
  <c r="P228" i="44"/>
  <c r="V225" i="44"/>
  <c r="U221" i="44"/>
  <c r="E222" i="44"/>
  <c r="H228" i="44"/>
  <c r="AB215" i="44"/>
  <c r="AD246" i="44"/>
  <c r="AD247" i="44"/>
  <c r="E209" i="44"/>
  <c r="X234" i="44"/>
  <c r="N209" i="44"/>
  <c r="O234" i="44"/>
  <c r="W209" i="44"/>
  <c r="F234" i="44"/>
  <c r="V243" i="44"/>
  <c r="C232" i="44"/>
  <c r="U203" i="44"/>
  <c r="F203" i="44"/>
  <c r="V211" i="44"/>
  <c r="Q240" i="44"/>
  <c r="I232" i="44"/>
  <c r="O203" i="44"/>
  <c r="AE211" i="44"/>
  <c r="H240" i="44"/>
  <c r="AE231" i="44"/>
  <c r="C210" i="44"/>
  <c r="S223" i="44"/>
  <c r="K215" i="44"/>
  <c r="AE240" i="44"/>
  <c r="E226" i="44"/>
  <c r="C224" i="44"/>
  <c r="AF221" i="44"/>
  <c r="AD219" i="44"/>
  <c r="AB217" i="44"/>
  <c r="D213" i="44"/>
  <c r="E216" i="44"/>
  <c r="Q213" i="44"/>
  <c r="X238" i="44"/>
  <c r="K231" i="44"/>
  <c r="D226" i="44"/>
  <c r="AG223" i="44"/>
  <c r="AE221" i="44"/>
  <c r="AC219" i="44"/>
  <c r="AA217" i="44"/>
  <c r="Q215" i="44"/>
  <c r="G218" i="44"/>
  <c r="R212" i="44"/>
  <c r="V239" i="44"/>
  <c r="AD231" i="44"/>
  <c r="N226" i="44"/>
  <c r="I224" i="44"/>
  <c r="G222" i="44"/>
  <c r="E220" i="44"/>
  <c r="C218" i="44"/>
  <c r="AF215" i="44"/>
  <c r="E215" i="44"/>
  <c r="R221" i="44"/>
  <c r="Z208" i="44"/>
  <c r="T242" i="44"/>
  <c r="L234" i="44"/>
  <c r="N228" i="44"/>
  <c r="AF224" i="44"/>
  <c r="AD222" i="44"/>
  <c r="AB220" i="44"/>
  <c r="Z218" i="44"/>
  <c r="X216" i="44"/>
  <c r="AC230" i="44"/>
  <c r="Z204" i="44"/>
  <c r="S244" i="44"/>
  <c r="K236" i="44"/>
  <c r="W229" i="44"/>
  <c r="P225" i="44"/>
  <c r="N223" i="44"/>
  <c r="L221" i="44"/>
  <c r="J219" i="44"/>
  <c r="H217" i="44"/>
  <c r="C205" i="44"/>
  <c r="N217" i="44"/>
  <c r="AE212" i="44"/>
  <c r="I239" i="44"/>
  <c r="V231" i="44"/>
  <c r="H226" i="44"/>
  <c r="F224" i="44"/>
  <c r="D222" i="44"/>
  <c r="AG219" i="44"/>
  <c r="AE217" i="44"/>
  <c r="AC215" i="44"/>
  <c r="M224" i="44"/>
  <c r="G217" i="44"/>
  <c r="E235" i="44"/>
  <c r="AG247" i="44"/>
  <c r="H208" i="44"/>
  <c r="C227" i="44"/>
  <c r="Z215" i="44"/>
  <c r="AC227" i="44"/>
  <c r="U224" i="44"/>
  <c r="AA218" i="44"/>
  <c r="Y225" i="44"/>
  <c r="Z212" i="44"/>
  <c r="C220" i="44"/>
  <c r="L242" i="44"/>
  <c r="V216" i="44"/>
  <c r="W246" i="44"/>
  <c r="R246" i="44"/>
  <c r="I211" i="44"/>
  <c r="V232" i="44"/>
  <c r="R211" i="44"/>
  <c r="M232" i="44"/>
  <c r="AA211" i="44"/>
  <c r="AF201" i="44"/>
  <c r="T241" i="44"/>
  <c r="J231" i="44"/>
  <c r="O204" i="44"/>
  <c r="AD203" i="44"/>
  <c r="P212" i="44"/>
  <c r="X239" i="44"/>
  <c r="P231" i="44"/>
  <c r="I204" i="44"/>
  <c r="Y212" i="44"/>
  <c r="O239" i="44"/>
  <c r="G231" i="44"/>
  <c r="D242" i="44"/>
  <c r="Z222" i="44"/>
  <c r="S216" i="44"/>
  <c r="AB237" i="44"/>
  <c r="AB225" i="44"/>
  <c r="Z223" i="44"/>
  <c r="X221" i="44"/>
  <c r="V219" i="44"/>
  <c r="T217" i="44"/>
  <c r="H241" i="44"/>
  <c r="AB201" i="44"/>
  <c r="S214" i="44"/>
  <c r="W237" i="44"/>
  <c r="U230" i="44"/>
  <c r="AA225" i="44"/>
  <c r="Y223" i="44"/>
  <c r="W221" i="44"/>
  <c r="U219" i="44"/>
  <c r="S217" i="44"/>
  <c r="AF211" i="44"/>
  <c r="M216" i="44"/>
  <c r="T213" i="44"/>
  <c r="U238" i="44"/>
  <c r="I231" i="44"/>
  <c r="C226" i="44"/>
  <c r="AF223" i="44"/>
  <c r="AD221" i="44"/>
  <c r="AB219" i="44"/>
  <c r="Z217" i="44"/>
  <c r="X215" i="44"/>
  <c r="P207" i="44"/>
  <c r="I220" i="44"/>
  <c r="S210" i="44"/>
  <c r="S241" i="44"/>
  <c r="K233" i="44"/>
  <c r="W227" i="44"/>
  <c r="X224" i="44"/>
  <c r="V222" i="44"/>
  <c r="T220" i="44"/>
  <c r="R218" i="44"/>
  <c r="H216" i="44"/>
  <c r="AD225" i="44"/>
  <c r="AD206" i="44"/>
  <c r="R243" i="44"/>
  <c r="J235" i="44"/>
  <c r="AF228" i="44"/>
  <c r="H225" i="44"/>
  <c r="F223" i="44"/>
  <c r="D221" i="44"/>
  <c r="AG218" i="44"/>
  <c r="AE216" i="44"/>
  <c r="E238" i="44"/>
  <c r="T215" i="44"/>
  <c r="AG213" i="44"/>
  <c r="H238" i="44"/>
  <c r="AF230" i="44"/>
  <c r="AE225" i="44"/>
  <c r="AC223" i="44"/>
  <c r="AA221" i="44"/>
  <c r="Y219" i="44"/>
  <c r="W217" i="44"/>
  <c r="U215" i="44"/>
  <c r="D223" i="44"/>
  <c r="J221" i="44"/>
  <c r="M223" i="44"/>
  <c r="P219" i="44"/>
  <c r="G225" i="44"/>
  <c r="AD216" i="44"/>
  <c r="U240" i="44"/>
  <c r="F227" i="44"/>
  <c r="L227" i="44"/>
  <c r="T201" i="44"/>
  <c r="K210" i="44"/>
  <c r="V220" i="44"/>
  <c r="R208" i="44"/>
  <c r="AC220" i="44"/>
  <c r="AA214" i="44"/>
  <c r="S219" i="44"/>
  <c r="N239" i="44"/>
  <c r="AD215" i="44"/>
  <c r="AB222" i="44"/>
  <c r="Y248" i="44"/>
  <c r="T248" i="44"/>
  <c r="M213" i="44"/>
  <c r="T230" i="44"/>
  <c r="V213" i="44"/>
  <c r="K230" i="44"/>
  <c r="AE213" i="44"/>
  <c r="F204" i="44"/>
  <c r="R239" i="44"/>
  <c r="AF229" i="44"/>
  <c r="Y205" i="44"/>
  <c r="J205" i="44"/>
  <c r="Z213" i="44"/>
  <c r="O238" i="44"/>
  <c r="G230" i="44"/>
  <c r="S205" i="44"/>
  <c r="E214" i="44"/>
  <c r="F238" i="44"/>
  <c r="AC229" i="44"/>
  <c r="AD236" i="44"/>
  <c r="Q221" i="44"/>
  <c r="J243" i="44"/>
  <c r="Z232" i="44"/>
  <c r="T225" i="44"/>
  <c r="R223" i="44"/>
  <c r="P221" i="44"/>
  <c r="N219" i="44"/>
  <c r="D217" i="44"/>
  <c r="AF233" i="44"/>
  <c r="AF203" i="44"/>
  <c r="AD244" i="44"/>
  <c r="V236" i="44"/>
  <c r="AE229" i="44"/>
  <c r="S225" i="44"/>
  <c r="Q223" i="44"/>
  <c r="O221" i="44"/>
  <c r="M219" i="44"/>
  <c r="K217" i="44"/>
  <c r="G240" i="44"/>
  <c r="F202" i="44"/>
  <c r="V214" i="44"/>
  <c r="T237" i="44"/>
  <c r="R230" i="44"/>
  <c r="Z225" i="44"/>
  <c r="X223" i="44"/>
  <c r="V221" i="44"/>
  <c r="T219" i="44"/>
  <c r="R217" i="44"/>
  <c r="P215" i="44"/>
  <c r="I242" i="44"/>
  <c r="W218" i="44"/>
  <c r="U211" i="44"/>
  <c r="R240" i="44"/>
  <c r="R232" i="44"/>
  <c r="AG226" i="44"/>
  <c r="P224" i="44"/>
  <c r="N222" i="44"/>
  <c r="L220" i="44"/>
  <c r="J218" i="44"/>
  <c r="W215" i="44"/>
  <c r="AB223" i="44"/>
  <c r="D209" i="44"/>
  <c r="Q242" i="44"/>
  <c r="I234" i="44"/>
  <c r="K228" i="44"/>
  <c r="AE224" i="44"/>
  <c r="AC222" i="44"/>
  <c r="AA220" i="44"/>
  <c r="Y218" i="44"/>
  <c r="W216" i="44"/>
  <c r="J232" i="44"/>
  <c r="AD202" i="44"/>
  <c r="C202" i="44"/>
  <c r="G237" i="44"/>
  <c r="J230" i="44"/>
  <c r="W225" i="44"/>
  <c r="U223" i="44"/>
  <c r="S221" i="44"/>
  <c r="Q219" i="44"/>
  <c r="O217" i="44"/>
  <c r="M215" i="44"/>
  <c r="K221" i="44"/>
  <c r="L205" i="44"/>
  <c r="AD228" i="44"/>
  <c r="F214" i="44"/>
  <c r="K203" i="44"/>
  <c r="N235" i="44"/>
  <c r="T235" i="44"/>
  <c r="V218" i="44"/>
  <c r="W220" i="44"/>
  <c r="S233" i="44"/>
  <c r="R216" i="44"/>
  <c r="AE222" i="44"/>
  <c r="O237" i="44"/>
  <c r="H203" i="44"/>
  <c r="I226" i="44"/>
  <c r="K222" i="44"/>
  <c r="Z220" i="44"/>
  <c r="M248" i="44"/>
  <c r="L247" i="44"/>
  <c r="C214" i="44"/>
  <c r="R228" i="44"/>
  <c r="Y244" i="44"/>
  <c r="I228" i="44"/>
  <c r="P244" i="44"/>
  <c r="J206" i="44"/>
  <c r="P237" i="44"/>
  <c r="H229" i="44"/>
  <c r="S206" i="44"/>
  <c r="D206" i="44"/>
  <c r="T214" i="44"/>
  <c r="V237" i="44"/>
  <c r="N229" i="44"/>
  <c r="M206" i="44"/>
  <c r="AC214" i="44"/>
  <c r="M237" i="44"/>
  <c r="E229" i="44"/>
  <c r="AA233" i="44"/>
  <c r="X220" i="44"/>
  <c r="O227" i="44"/>
  <c r="X230" i="44"/>
  <c r="L225" i="44"/>
  <c r="J223" i="44"/>
  <c r="H221" i="44"/>
  <c r="F219" i="44"/>
  <c r="AA216" i="44"/>
  <c r="AA228" i="44"/>
  <c r="F206" i="44"/>
  <c r="AC243" i="44"/>
  <c r="U235" i="44"/>
  <c r="I229" i="44"/>
  <c r="K225" i="44"/>
  <c r="I223" i="44"/>
  <c r="G221" i="44"/>
  <c r="E219" i="44"/>
  <c r="C217" i="44"/>
  <c r="AE232" i="44"/>
  <c r="J204" i="44"/>
  <c r="AA244" i="44"/>
  <c r="S236" i="44"/>
  <c r="AB229" i="44"/>
  <c r="R225" i="44"/>
  <c r="P223" i="44"/>
  <c r="N221" i="44"/>
  <c r="L219" i="44"/>
  <c r="J217" i="44"/>
  <c r="H215" i="44"/>
  <c r="AG234" i="44"/>
  <c r="AC216" i="44"/>
  <c r="W212" i="44"/>
  <c r="Q239" i="44"/>
  <c r="AA231" i="44"/>
  <c r="L226" i="44"/>
  <c r="H224" i="44"/>
  <c r="F222" i="44"/>
  <c r="D220" i="44"/>
  <c r="AG217" i="44"/>
  <c r="G215" i="44"/>
  <c r="AA222" i="44"/>
  <c r="V210" i="44"/>
  <c r="P241" i="44"/>
  <c r="H233" i="44"/>
  <c r="U227" i="44"/>
  <c r="W224" i="44"/>
  <c r="U222" i="44"/>
  <c r="S220" i="44"/>
  <c r="Q218" i="44"/>
  <c r="O216" i="44"/>
  <c r="G226" i="44"/>
  <c r="D205" i="44"/>
  <c r="N244" i="44"/>
  <c r="F236" i="44"/>
  <c r="T229" i="44"/>
  <c r="O225" i="44"/>
  <c r="I219" i="44"/>
  <c r="E223" i="44"/>
  <c r="W202" i="44"/>
  <c r="K235" i="44"/>
  <c r="U218" i="44"/>
  <c r="T218" i="44"/>
  <c r="AG224" i="44"/>
  <c r="N202" i="44"/>
  <c r="Q217" i="44"/>
  <c r="AF217" i="44"/>
  <c r="AD224" i="44"/>
  <c r="AE245" i="44"/>
  <c r="O247" i="44"/>
  <c r="AF242" i="44"/>
  <c r="P226" i="44"/>
  <c r="W242" i="44"/>
  <c r="G201" i="44"/>
  <c r="N242" i="44"/>
  <c r="N208" i="44"/>
  <c r="G236" i="44"/>
  <c r="AD227" i="44"/>
  <c r="AC207" i="44"/>
  <c r="N207" i="44"/>
  <c r="U244" i="44"/>
  <c r="M236" i="44"/>
  <c r="E228" i="44"/>
  <c r="W207" i="44"/>
  <c r="L244" i="44"/>
  <c r="D236" i="44"/>
  <c r="AA227" i="44"/>
  <c r="E230" i="44"/>
  <c r="O219" i="44"/>
  <c r="AE218" i="44"/>
  <c r="L229" i="44"/>
  <c r="D225" i="44"/>
  <c r="AG222" i="44"/>
  <c r="AE220" i="44"/>
  <c r="AC218" i="44"/>
  <c r="K216" i="44"/>
  <c r="AC224" i="44"/>
  <c r="J208" i="44"/>
  <c r="AB242" i="44"/>
  <c r="T234" i="44"/>
  <c r="S228" i="44"/>
  <c r="C225" i="44"/>
  <c r="AF222" i="44"/>
  <c r="AD220" i="44"/>
  <c r="AB218" i="44"/>
  <c r="Z216" i="44"/>
  <c r="F228" i="44"/>
  <c r="N206" i="44"/>
  <c r="Z243" i="44"/>
  <c r="R235" i="44"/>
  <c r="G229" i="44"/>
  <c r="J225" i="44"/>
  <c r="H223" i="44"/>
  <c r="F221" i="44"/>
  <c r="D219" i="44"/>
  <c r="AG216" i="44"/>
  <c r="P216" i="44"/>
  <c r="Q229" i="44"/>
  <c r="D215" i="44"/>
  <c r="Y213" i="44"/>
  <c r="P238" i="44"/>
  <c r="F231" i="44"/>
  <c r="AG225" i="44"/>
  <c r="AE223" i="44"/>
  <c r="AC221" i="44"/>
  <c r="AA219" i="44"/>
  <c r="Y217" i="44"/>
  <c r="N215" i="44"/>
  <c r="Y220" i="44"/>
  <c r="X211" i="44"/>
  <c r="O240" i="44"/>
  <c r="O232" i="44"/>
  <c r="AD226" i="44"/>
  <c r="O224" i="44"/>
  <c r="M222" i="44"/>
  <c r="K220" i="44"/>
  <c r="I218" i="44"/>
  <c r="G216" i="44"/>
  <c r="E224" i="44"/>
  <c r="H207" i="44"/>
  <c r="M243" i="44"/>
  <c r="AF218" i="44"/>
  <c r="L240" i="44"/>
  <c r="R210" i="44"/>
  <c r="AB243" i="44"/>
  <c r="C228" i="44"/>
  <c r="Y222" i="44"/>
  <c r="AA241" i="44"/>
  <c r="Y242" i="44"/>
  <c r="AE215" i="44"/>
  <c r="W223" i="44"/>
  <c r="Y231" i="44"/>
  <c r="D234" i="44"/>
  <c r="F239" i="44"/>
  <c r="AA246" i="44"/>
  <c r="AA204" i="44"/>
  <c r="AB238" i="44"/>
  <c r="F205" i="44"/>
  <c r="S238" i="44"/>
  <c r="O205" i="44"/>
  <c r="J238" i="44"/>
  <c r="V212" i="44"/>
  <c r="E234" i="44"/>
  <c r="Q201" i="44"/>
  <c r="AG209" i="44"/>
  <c r="R209" i="44"/>
  <c r="S242" i="44"/>
  <c r="K234" i="44"/>
  <c r="K201" i="44"/>
  <c r="AA209" i="44"/>
  <c r="J242" i="44"/>
  <c r="AG233" i="44"/>
  <c r="P203" i="44"/>
  <c r="U225" i="44"/>
  <c r="M217" i="44"/>
  <c r="H211" i="44"/>
  <c r="J227" i="44"/>
  <c r="S224" i="44"/>
  <c r="Q222" i="44"/>
  <c r="O220" i="44"/>
  <c r="M218" i="44"/>
  <c r="J215" i="44"/>
  <c r="X219" i="44"/>
  <c r="M211" i="44"/>
  <c r="Z240" i="44"/>
  <c r="W232" i="44"/>
  <c r="G227" i="44"/>
  <c r="R224" i="44"/>
  <c r="P222" i="44"/>
  <c r="N220" i="44"/>
  <c r="L218" i="44"/>
  <c r="J216" i="44"/>
  <c r="S222" i="44"/>
  <c r="N210" i="44"/>
  <c r="X241" i="44"/>
  <c r="P233" i="44"/>
  <c r="Z227" i="44"/>
  <c r="Y224" i="44"/>
  <c r="W222" i="44"/>
  <c r="U220" i="44"/>
  <c r="S218" i="44"/>
  <c r="Q216" i="44"/>
  <c r="O215" i="44"/>
  <c r="F225" i="44"/>
  <c r="R204" i="44"/>
  <c r="V244" i="44"/>
  <c r="N236" i="44"/>
  <c r="Y229" i="44"/>
  <c r="Q225" i="44"/>
  <c r="O223" i="44"/>
  <c r="M221" i="44"/>
  <c r="K219" i="44"/>
  <c r="I217" i="44"/>
  <c r="K244" i="44"/>
  <c r="U216" i="44"/>
  <c r="AB213" i="44"/>
  <c r="M238" i="44"/>
  <c r="C231" i="44"/>
  <c r="AF225" i="44"/>
  <c r="AD223" i="44"/>
  <c r="AB221" i="44"/>
  <c r="Z219" i="44"/>
  <c r="X217" i="44"/>
  <c r="F215" i="44"/>
  <c r="AG220" i="44"/>
  <c r="AA210" i="44"/>
  <c r="K241" i="44"/>
  <c r="C233" i="44"/>
  <c r="R227" i="44"/>
  <c r="V224" i="44"/>
  <c r="T222" i="44"/>
  <c r="R220" i="44"/>
  <c r="P218" i="44"/>
  <c r="N216" i="44"/>
  <c r="S231" i="44"/>
  <c r="N224" i="44"/>
  <c r="J220" i="44"/>
  <c r="F216" i="44"/>
  <c r="C221" i="44"/>
  <c r="AD240" i="44"/>
  <c r="W208" i="44"/>
  <c r="Q208" i="44"/>
  <c r="V228" i="44"/>
  <c r="C222" i="44"/>
  <c r="X222" i="44"/>
  <c r="Q234" i="44"/>
  <c r="Y216" i="44"/>
  <c r="P230" i="44"/>
  <c r="O218" i="44"/>
  <c r="G224" i="44"/>
  <c r="L209" i="44"/>
  <c r="X218" i="44"/>
  <c r="D2" i="44" l="1"/>
  <c r="E2" i="44"/>
  <c r="F2" i="44"/>
  <c r="G2" i="44"/>
  <c r="H2" i="44"/>
  <c r="I2" i="44"/>
  <c r="J2" i="44"/>
  <c r="K2" i="44"/>
  <c r="L2" i="44"/>
  <c r="M2" i="44"/>
  <c r="N2" i="44"/>
  <c r="O2" i="44"/>
  <c r="P2" i="44"/>
  <c r="Q2" i="44"/>
  <c r="R2" i="44"/>
  <c r="S2" i="44"/>
  <c r="T2" i="44"/>
  <c r="U2" i="44"/>
  <c r="V2" i="44"/>
  <c r="W2" i="44"/>
  <c r="X2" i="44"/>
  <c r="Y2" i="44"/>
  <c r="Z2" i="44"/>
  <c r="AA2" i="44"/>
  <c r="AB2" i="44"/>
  <c r="AC2" i="44"/>
  <c r="AD2" i="44"/>
  <c r="AE2" i="44"/>
  <c r="AF2" i="44"/>
  <c r="AG2" i="44"/>
  <c r="C2" i="44"/>
  <c r="H2" i="51" l="1"/>
  <c r="AI2" i="44" l="1"/>
  <c r="AH2" i="44"/>
  <c r="H23" i="51" l="1"/>
  <c r="M16" i="51" l="1"/>
  <c r="L16" i="51"/>
  <c r="K16" i="51"/>
  <c r="M2" i="51" l="1"/>
  <c r="L2" i="51" l="1"/>
  <c r="K2" i="51"/>
  <c r="X299" i="44" l="1"/>
  <c r="W299" i="44"/>
  <c r="V299" i="44"/>
  <c r="U299" i="44"/>
  <c r="T299" i="44"/>
  <c r="S299" i="44"/>
  <c r="R299" i="44"/>
  <c r="X298" i="44"/>
  <c r="W298" i="44"/>
  <c r="V298" i="44"/>
  <c r="U298" i="44"/>
  <c r="T298" i="44"/>
  <c r="S298" i="44"/>
  <c r="R298" i="44"/>
  <c r="X297" i="44"/>
  <c r="W297" i="44"/>
  <c r="V297" i="44"/>
  <c r="U297" i="44"/>
  <c r="T297" i="44"/>
  <c r="S297" i="44"/>
  <c r="R297" i="44"/>
  <c r="X296" i="44"/>
  <c r="W296" i="44"/>
  <c r="V296" i="44"/>
  <c r="U296" i="44"/>
  <c r="T296" i="44"/>
  <c r="S296" i="44"/>
  <c r="R296" i="44"/>
  <c r="X295" i="44"/>
  <c r="W295" i="44"/>
  <c r="V295" i="44"/>
  <c r="U295" i="44"/>
  <c r="T295" i="44"/>
  <c r="S295" i="44"/>
  <c r="R295" i="44"/>
  <c r="X294" i="44"/>
  <c r="W294" i="44"/>
  <c r="V294" i="44"/>
  <c r="U294" i="44"/>
  <c r="T294" i="44"/>
  <c r="S294" i="44"/>
  <c r="R294" i="44"/>
  <c r="X293" i="44"/>
  <c r="W293" i="44"/>
  <c r="V293" i="44"/>
  <c r="U293" i="44"/>
  <c r="T293" i="44"/>
  <c r="S293" i="44"/>
  <c r="R293" i="44"/>
  <c r="X292" i="44"/>
  <c r="W292" i="44"/>
  <c r="V292" i="44"/>
  <c r="U292" i="44"/>
  <c r="T292" i="44"/>
  <c r="S292" i="44"/>
  <c r="R292" i="44"/>
  <c r="X291" i="44"/>
  <c r="W291" i="44"/>
  <c r="V291" i="44"/>
  <c r="U291" i="44"/>
  <c r="T291" i="44"/>
  <c r="S291" i="44"/>
  <c r="R291" i="44"/>
  <c r="X290" i="44"/>
  <c r="W290" i="44"/>
  <c r="V290" i="44"/>
  <c r="U290" i="44"/>
  <c r="T290" i="44"/>
  <c r="S290" i="44"/>
  <c r="R290" i="44"/>
  <c r="X289" i="44"/>
  <c r="W289" i="44"/>
  <c r="V289" i="44"/>
  <c r="U289" i="44"/>
  <c r="T289" i="44"/>
  <c r="S289" i="44"/>
  <c r="R289" i="44"/>
  <c r="X288" i="44"/>
  <c r="W288" i="44"/>
  <c r="V288" i="44"/>
  <c r="U288" i="44"/>
  <c r="T288" i="44"/>
  <c r="S288" i="44"/>
  <c r="R288" i="44"/>
  <c r="X287" i="44"/>
  <c r="W287" i="44"/>
  <c r="V287" i="44"/>
  <c r="U287" i="44"/>
  <c r="T287" i="44"/>
  <c r="S287" i="44"/>
  <c r="R287" i="44"/>
  <c r="X286" i="44"/>
  <c r="W286" i="44"/>
  <c r="V286" i="44"/>
  <c r="U286" i="44"/>
  <c r="T286" i="44"/>
  <c r="S286" i="44"/>
  <c r="R286" i="44"/>
  <c r="X285" i="44"/>
  <c r="W285" i="44"/>
  <c r="V285" i="44"/>
  <c r="U285" i="44"/>
  <c r="T285" i="44"/>
  <c r="S285" i="44"/>
  <c r="R285" i="44"/>
  <c r="X284" i="44"/>
  <c r="W284" i="44"/>
  <c r="V284" i="44"/>
  <c r="U284" i="44"/>
  <c r="T284" i="44"/>
  <c r="S284" i="44"/>
  <c r="R284" i="44"/>
  <c r="X283" i="44"/>
  <c r="W283" i="44"/>
  <c r="V283" i="44"/>
  <c r="U283" i="44"/>
  <c r="T283" i="44"/>
  <c r="S283" i="44"/>
  <c r="R283" i="44"/>
  <c r="X282" i="44"/>
  <c r="W282" i="44"/>
  <c r="V282" i="44"/>
  <c r="U282" i="44"/>
  <c r="T282" i="44"/>
  <c r="S282" i="44"/>
  <c r="R282" i="44"/>
  <c r="X281" i="44"/>
  <c r="W281" i="44"/>
  <c r="V281" i="44"/>
  <c r="U281" i="44"/>
  <c r="T281" i="44"/>
  <c r="S281" i="44"/>
  <c r="R281" i="44"/>
  <c r="X280" i="44"/>
  <c r="W280" i="44"/>
  <c r="V280" i="44"/>
  <c r="U280" i="44"/>
  <c r="T280" i="44"/>
  <c r="S280" i="44"/>
  <c r="R280" i="44"/>
  <c r="X279" i="44"/>
  <c r="W279" i="44"/>
  <c r="V279" i="44"/>
  <c r="U279" i="44"/>
  <c r="T279" i="44"/>
  <c r="S279" i="44"/>
  <c r="R279" i="44"/>
  <c r="X278" i="44"/>
  <c r="W278" i="44"/>
  <c r="V278" i="44"/>
  <c r="U278" i="44"/>
  <c r="T278" i="44"/>
  <c r="S278" i="44"/>
  <c r="R278" i="44"/>
  <c r="X277" i="44"/>
  <c r="W277" i="44"/>
  <c r="V277" i="44"/>
  <c r="U277" i="44"/>
  <c r="T277" i="44"/>
  <c r="S277" i="44"/>
  <c r="R277" i="44"/>
  <c r="X276" i="44"/>
  <c r="W276" i="44"/>
  <c r="V276" i="44"/>
  <c r="U276" i="44"/>
  <c r="T276" i="44"/>
  <c r="S276" i="44"/>
  <c r="R276" i="44"/>
  <c r="X275" i="44"/>
  <c r="W275" i="44"/>
  <c r="V275" i="44"/>
  <c r="U275" i="44"/>
  <c r="T275" i="44"/>
  <c r="S275" i="44"/>
  <c r="R275" i="44"/>
  <c r="X274" i="44"/>
  <c r="W274" i="44"/>
  <c r="V274" i="44"/>
  <c r="U274" i="44"/>
  <c r="T274" i="44"/>
  <c r="S274" i="44"/>
  <c r="R274" i="44"/>
  <c r="X273" i="44"/>
  <c r="W273" i="44"/>
  <c r="V273" i="44"/>
  <c r="U273" i="44"/>
  <c r="T273" i="44"/>
  <c r="S273" i="44"/>
  <c r="R273" i="44"/>
  <c r="X272" i="44"/>
  <c r="W272" i="44"/>
  <c r="V272" i="44"/>
  <c r="U272" i="44"/>
  <c r="T272" i="44"/>
  <c r="S272" i="44"/>
  <c r="R272" i="44"/>
  <c r="X271" i="44"/>
  <c r="W271" i="44"/>
  <c r="V271" i="44"/>
  <c r="U271" i="44"/>
  <c r="T271" i="44"/>
  <c r="S271" i="44"/>
  <c r="R271" i="44"/>
  <c r="X270" i="44"/>
  <c r="W270" i="44"/>
  <c r="V270" i="44"/>
  <c r="U270" i="44"/>
  <c r="T270" i="44"/>
  <c r="S270" i="44"/>
  <c r="R270" i="44"/>
  <c r="X269" i="44"/>
  <c r="W269" i="44"/>
  <c r="V269" i="44"/>
  <c r="U269" i="44"/>
  <c r="T269" i="44"/>
  <c r="S269" i="44"/>
  <c r="R269" i="44"/>
  <c r="X268" i="44"/>
  <c r="W268" i="44"/>
  <c r="V268" i="44"/>
  <c r="U268" i="44"/>
  <c r="T268" i="44"/>
  <c r="S268" i="44"/>
  <c r="R268" i="44"/>
  <c r="X267" i="44"/>
  <c r="W267" i="44"/>
  <c r="V267" i="44"/>
  <c r="U267" i="44"/>
  <c r="T267" i="44"/>
  <c r="S267" i="44"/>
  <c r="R267" i="44"/>
  <c r="X266" i="44"/>
  <c r="W266" i="44"/>
  <c r="V266" i="44"/>
  <c r="U266" i="44"/>
  <c r="T266" i="44"/>
  <c r="S266" i="44"/>
  <c r="R266" i="44"/>
  <c r="X265" i="44"/>
  <c r="W265" i="44"/>
  <c r="V265" i="44"/>
  <c r="U265" i="44"/>
  <c r="T265" i="44"/>
  <c r="S265" i="44"/>
  <c r="R265" i="44"/>
  <c r="X264" i="44"/>
  <c r="W264" i="44"/>
  <c r="V264" i="44"/>
  <c r="U264" i="44"/>
  <c r="T264" i="44"/>
  <c r="S264" i="44"/>
  <c r="R264" i="44"/>
  <c r="X263" i="44"/>
  <c r="W263" i="44"/>
  <c r="V263" i="44"/>
  <c r="U263" i="44"/>
  <c r="T263" i="44"/>
  <c r="S263" i="44"/>
  <c r="R263" i="44"/>
  <c r="X262" i="44"/>
  <c r="W262" i="44"/>
  <c r="V262" i="44"/>
  <c r="U262" i="44"/>
  <c r="T262" i="44"/>
  <c r="S262" i="44"/>
  <c r="R262" i="44"/>
  <c r="X261" i="44"/>
  <c r="W261" i="44"/>
  <c r="V261" i="44"/>
  <c r="U261" i="44"/>
  <c r="T261" i="44"/>
  <c r="S261" i="44"/>
  <c r="R261" i="44"/>
  <c r="X260" i="44"/>
  <c r="W260" i="44"/>
  <c r="V260" i="44"/>
  <c r="U260" i="44"/>
  <c r="T260" i="44"/>
  <c r="S260" i="44"/>
  <c r="R260" i="44"/>
  <c r="X259" i="44"/>
  <c r="W259" i="44"/>
  <c r="V259" i="44"/>
  <c r="U259" i="44"/>
  <c r="T259" i="44"/>
  <c r="S259" i="44"/>
  <c r="R259" i="44"/>
  <c r="X258" i="44"/>
  <c r="W258" i="44"/>
  <c r="V258" i="44"/>
  <c r="U258" i="44"/>
  <c r="T258" i="44"/>
  <c r="S258" i="44"/>
  <c r="R258" i="44"/>
  <c r="X257" i="44"/>
  <c r="W257" i="44"/>
  <c r="V257" i="44"/>
  <c r="U257" i="44"/>
  <c r="T257" i="44"/>
  <c r="S257" i="44"/>
  <c r="R257" i="44"/>
  <c r="X256" i="44"/>
  <c r="W256" i="44"/>
  <c r="V256" i="44"/>
  <c r="U256" i="44"/>
  <c r="T256" i="44"/>
  <c r="S256" i="44"/>
  <c r="R256" i="44"/>
  <c r="X255" i="44"/>
  <c r="W255" i="44"/>
  <c r="V255" i="44"/>
  <c r="U255" i="44"/>
  <c r="T255" i="44"/>
  <c r="S255" i="44"/>
  <c r="R255" i="44"/>
  <c r="X254" i="44"/>
  <c r="W254" i="44"/>
  <c r="V254" i="44"/>
  <c r="U254" i="44"/>
  <c r="T254" i="44"/>
  <c r="S254" i="44"/>
  <c r="R254" i="44"/>
  <c r="X253" i="44"/>
  <c r="W253" i="44"/>
  <c r="V253" i="44"/>
  <c r="U253" i="44"/>
  <c r="T253" i="44"/>
  <c r="S253" i="44"/>
  <c r="R253" i="44"/>
  <c r="X252" i="44"/>
  <c r="W252" i="44"/>
  <c r="V252" i="44"/>
  <c r="U252" i="44"/>
  <c r="T252" i="44"/>
  <c r="S252" i="44"/>
  <c r="R252" i="44"/>
  <c r="C4" i="44" l="1"/>
  <c r="D4" i="44"/>
  <c r="E4" i="44"/>
  <c r="F4" i="44"/>
  <c r="G4" i="44"/>
  <c r="H4" i="44"/>
  <c r="I4" i="44"/>
  <c r="J4" i="44"/>
  <c r="K4" i="44"/>
  <c r="L4" i="44"/>
  <c r="M4" i="44"/>
  <c r="N4" i="44"/>
  <c r="O4" i="44"/>
  <c r="P4" i="44"/>
  <c r="Q4" i="44"/>
  <c r="R4" i="44"/>
  <c r="S4" i="44"/>
  <c r="T4" i="44"/>
  <c r="C5" i="44"/>
  <c r="D5" i="44"/>
  <c r="E5" i="44"/>
  <c r="F5" i="44"/>
  <c r="G5" i="44"/>
  <c r="H5" i="44"/>
  <c r="I5" i="44"/>
  <c r="J5" i="44"/>
  <c r="K5" i="44"/>
  <c r="L5" i="44"/>
  <c r="M5" i="44"/>
  <c r="N5" i="44"/>
  <c r="O5" i="44"/>
  <c r="P5" i="44"/>
  <c r="Q5" i="44"/>
  <c r="R5" i="44"/>
  <c r="S5" i="44"/>
  <c r="T5" i="44"/>
  <c r="C6" i="44"/>
  <c r="D6" i="44"/>
  <c r="E6" i="44"/>
  <c r="F6" i="44"/>
  <c r="G6" i="44"/>
  <c r="H6" i="44"/>
  <c r="I6" i="44"/>
  <c r="J6" i="44"/>
  <c r="K6" i="44"/>
  <c r="L6" i="44"/>
  <c r="M6" i="44"/>
  <c r="N6" i="44"/>
  <c r="O6" i="44"/>
  <c r="P6" i="44"/>
  <c r="Q6" i="44"/>
  <c r="R6" i="44"/>
  <c r="S6" i="44"/>
  <c r="T6" i="44"/>
  <c r="C7" i="44"/>
  <c r="D7" i="44"/>
  <c r="E7" i="44"/>
  <c r="F7" i="44"/>
  <c r="G7" i="44"/>
  <c r="H7" i="44"/>
  <c r="I7" i="44"/>
  <c r="J7" i="44"/>
  <c r="K7" i="44"/>
  <c r="L7" i="44"/>
  <c r="M7" i="44"/>
  <c r="N7" i="44"/>
  <c r="O7" i="44"/>
  <c r="P7" i="44"/>
  <c r="Q7" i="44"/>
  <c r="R7" i="44"/>
  <c r="S7" i="44"/>
  <c r="T7" i="44"/>
  <c r="C8" i="44"/>
  <c r="D8" i="44"/>
  <c r="E8" i="44"/>
  <c r="F8" i="44"/>
  <c r="G8" i="44"/>
  <c r="H8" i="44"/>
  <c r="I8" i="44"/>
  <c r="J8" i="44"/>
  <c r="K8" i="44"/>
  <c r="L8" i="44"/>
  <c r="M8" i="44"/>
  <c r="N8" i="44"/>
  <c r="O8" i="44"/>
  <c r="P8" i="44"/>
  <c r="Q8" i="44"/>
  <c r="R8" i="44"/>
  <c r="S8" i="44"/>
  <c r="T8" i="44"/>
  <c r="C9" i="44"/>
  <c r="D9" i="44"/>
  <c r="E9" i="44"/>
  <c r="F9" i="44"/>
  <c r="G9" i="44"/>
  <c r="H9" i="44"/>
  <c r="I9" i="44"/>
  <c r="J9" i="44"/>
  <c r="K9" i="44"/>
  <c r="L9" i="44"/>
  <c r="M9" i="44"/>
  <c r="N9" i="44"/>
  <c r="O9" i="44"/>
  <c r="P9" i="44"/>
  <c r="Q9" i="44"/>
  <c r="R9" i="44"/>
  <c r="S9" i="44"/>
  <c r="T9" i="44"/>
  <c r="C10" i="44"/>
  <c r="D10" i="44"/>
  <c r="E10" i="44"/>
  <c r="F10" i="44"/>
  <c r="G10" i="44"/>
  <c r="H10" i="44"/>
  <c r="I10" i="44"/>
  <c r="J10" i="44"/>
  <c r="K10" i="44"/>
  <c r="L10" i="44"/>
  <c r="M10" i="44"/>
  <c r="N10" i="44"/>
  <c r="O10" i="44"/>
  <c r="P10" i="44"/>
  <c r="Q10" i="44"/>
  <c r="R10" i="44"/>
  <c r="S10" i="44"/>
  <c r="T10" i="44"/>
  <c r="C11" i="44"/>
  <c r="D11" i="44"/>
  <c r="E11" i="44"/>
  <c r="F11" i="44"/>
  <c r="G11" i="44"/>
  <c r="H11" i="44"/>
  <c r="I11" i="44"/>
  <c r="J11" i="44"/>
  <c r="K11" i="44"/>
  <c r="L11" i="44"/>
  <c r="M11" i="44"/>
  <c r="N11" i="44"/>
  <c r="O11" i="44"/>
  <c r="P11" i="44"/>
  <c r="Q11" i="44"/>
  <c r="R11" i="44"/>
  <c r="S11" i="44"/>
  <c r="T11" i="44"/>
  <c r="C12" i="44"/>
  <c r="D12" i="44"/>
  <c r="E12" i="44"/>
  <c r="F12" i="44"/>
  <c r="G12" i="44"/>
  <c r="H12" i="44"/>
  <c r="I12" i="44"/>
  <c r="J12" i="44"/>
  <c r="K12" i="44"/>
  <c r="L12" i="44"/>
  <c r="M12" i="44"/>
  <c r="N12" i="44"/>
  <c r="O12" i="44"/>
  <c r="P12" i="44"/>
  <c r="Q12" i="44"/>
  <c r="R12" i="44"/>
  <c r="S12" i="44"/>
  <c r="T12" i="44"/>
  <c r="C13" i="44"/>
  <c r="D13" i="44"/>
  <c r="E13" i="44"/>
  <c r="F13" i="44"/>
  <c r="G13" i="44"/>
  <c r="H13" i="44"/>
  <c r="I13" i="44"/>
  <c r="J13" i="44"/>
  <c r="K13" i="44"/>
  <c r="L13" i="44"/>
  <c r="M13" i="44"/>
  <c r="N13" i="44"/>
  <c r="O13" i="44"/>
  <c r="P13" i="44"/>
  <c r="Q13" i="44"/>
  <c r="R13" i="44"/>
  <c r="S13" i="44"/>
  <c r="T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14" i="44"/>
  <c r="P14" i="44"/>
  <c r="Q14" i="44"/>
  <c r="R14" i="44"/>
  <c r="S14" i="44"/>
  <c r="T14" i="44"/>
  <c r="C15" i="44"/>
  <c r="D15" i="44"/>
  <c r="E15" i="44"/>
  <c r="F15" i="44"/>
  <c r="G15" i="44"/>
  <c r="H15" i="44"/>
  <c r="I15" i="44"/>
  <c r="J15" i="44"/>
  <c r="K15" i="44"/>
  <c r="L15" i="44"/>
  <c r="M15" i="44"/>
  <c r="N15" i="44"/>
  <c r="O15" i="44"/>
  <c r="P15" i="44"/>
  <c r="Q15" i="44"/>
  <c r="R15" i="44"/>
  <c r="S15" i="44"/>
  <c r="T15" i="44"/>
  <c r="C16" i="44"/>
  <c r="D16" i="44"/>
  <c r="E16" i="44"/>
  <c r="F16" i="44"/>
  <c r="G16" i="44"/>
  <c r="H16" i="44"/>
  <c r="I16" i="44"/>
  <c r="J16" i="44"/>
  <c r="K16" i="44"/>
  <c r="L16" i="44"/>
  <c r="M16" i="44"/>
  <c r="N16" i="44"/>
  <c r="O16" i="44"/>
  <c r="P16" i="44"/>
  <c r="Q16" i="44"/>
  <c r="R16" i="44"/>
  <c r="S16" i="44"/>
  <c r="T16" i="44"/>
  <c r="C17" i="44"/>
  <c r="D17" i="44"/>
  <c r="E17" i="44"/>
  <c r="F17" i="44"/>
  <c r="G17" i="44"/>
  <c r="H17" i="44"/>
  <c r="I17" i="44"/>
  <c r="J17" i="44"/>
  <c r="K17" i="44"/>
  <c r="L17" i="44"/>
  <c r="M17" i="44"/>
  <c r="N17" i="44"/>
  <c r="O17" i="44"/>
  <c r="P17" i="44"/>
  <c r="Q17" i="44"/>
  <c r="R17" i="44"/>
  <c r="S17" i="44"/>
  <c r="T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O18" i="44"/>
  <c r="P18" i="44"/>
  <c r="Q18" i="44"/>
  <c r="R18" i="44"/>
  <c r="S18" i="44"/>
  <c r="T18" i="44"/>
  <c r="U18" i="44"/>
  <c r="V18" i="44"/>
  <c r="W18" i="44"/>
  <c r="X18" i="44"/>
  <c r="Y18" i="44"/>
  <c r="Z18" i="44"/>
  <c r="AA18" i="44"/>
  <c r="AB18" i="44"/>
  <c r="AC18" i="44"/>
  <c r="AD18" i="44"/>
  <c r="AE18" i="44"/>
  <c r="AF18" i="44"/>
  <c r="AG18" i="44"/>
  <c r="C19" i="44"/>
  <c r="D19" i="44"/>
  <c r="E19" i="44"/>
  <c r="F19" i="44"/>
  <c r="G19" i="44"/>
  <c r="H19" i="44"/>
  <c r="I19" i="44"/>
  <c r="J19" i="44"/>
  <c r="K19" i="44"/>
  <c r="L19" i="44"/>
  <c r="M19" i="44"/>
  <c r="N19" i="44"/>
  <c r="O19" i="44"/>
  <c r="P19" i="44"/>
  <c r="Q19" i="44"/>
  <c r="R19" i="44"/>
  <c r="S19" i="44"/>
  <c r="T19" i="44"/>
  <c r="U19" i="44"/>
  <c r="V19" i="44"/>
  <c r="W19" i="44"/>
  <c r="X19" i="44"/>
  <c r="Y19" i="44"/>
  <c r="Z19" i="44"/>
  <c r="AA19" i="44"/>
  <c r="AB19" i="44"/>
  <c r="AC19" i="44"/>
  <c r="AD19" i="44"/>
  <c r="AE19" i="44"/>
  <c r="AF19" i="44"/>
  <c r="AG19" i="44"/>
  <c r="C20" i="44"/>
  <c r="D20" i="44"/>
  <c r="E20" i="44"/>
  <c r="F20" i="44"/>
  <c r="G20" i="44"/>
  <c r="H20" i="44"/>
  <c r="I20" i="44"/>
  <c r="J20" i="44"/>
  <c r="K20" i="44"/>
  <c r="L20" i="44"/>
  <c r="M20" i="44"/>
  <c r="N20" i="44"/>
  <c r="O20" i="44"/>
  <c r="P20" i="44"/>
  <c r="Q20" i="44"/>
  <c r="R20" i="44"/>
  <c r="S20" i="44"/>
  <c r="T20" i="44"/>
  <c r="U20" i="44"/>
  <c r="V20" i="44"/>
  <c r="W20" i="44"/>
  <c r="X20" i="44"/>
  <c r="Y20" i="44"/>
  <c r="Z20" i="44"/>
  <c r="AA20" i="44"/>
  <c r="AB20" i="44"/>
  <c r="AC20" i="44"/>
  <c r="AD20" i="44"/>
  <c r="AE20" i="44"/>
  <c r="AF20" i="44"/>
  <c r="AG20" i="44"/>
  <c r="C21" i="44"/>
  <c r="D21" i="44"/>
  <c r="E21" i="44"/>
  <c r="F21" i="44"/>
  <c r="G21" i="44"/>
  <c r="H21" i="44"/>
  <c r="I21" i="44"/>
  <c r="J21" i="44"/>
  <c r="K21" i="44"/>
  <c r="L21" i="44"/>
  <c r="M21" i="44"/>
  <c r="N21" i="44"/>
  <c r="O21" i="44"/>
  <c r="P21" i="44"/>
  <c r="Q21" i="44"/>
  <c r="R21" i="44"/>
  <c r="S21" i="44"/>
  <c r="T21" i="44"/>
  <c r="U21" i="44"/>
  <c r="V21" i="44"/>
  <c r="W21" i="44"/>
  <c r="X21" i="44"/>
  <c r="Y21" i="44"/>
  <c r="Z21" i="44"/>
  <c r="AA21" i="44"/>
  <c r="AB21" i="44"/>
  <c r="AC21" i="44"/>
  <c r="AD21" i="44"/>
  <c r="AE21" i="44"/>
  <c r="AF21" i="44"/>
  <c r="AG21" i="44"/>
  <c r="C22" i="44"/>
  <c r="D22" i="44"/>
  <c r="E22" i="44"/>
  <c r="F22" i="44"/>
  <c r="G22" i="44"/>
  <c r="H22" i="44"/>
  <c r="I22" i="44"/>
  <c r="J22" i="44"/>
  <c r="K22" i="44"/>
  <c r="L22" i="44"/>
  <c r="M22" i="44"/>
  <c r="N22" i="44"/>
  <c r="O22" i="44"/>
  <c r="P22" i="44"/>
  <c r="Q22" i="44"/>
  <c r="R22" i="44"/>
  <c r="S22" i="44"/>
  <c r="T22" i="44"/>
  <c r="U22" i="44"/>
  <c r="V22" i="44"/>
  <c r="W22" i="44"/>
  <c r="X22" i="44"/>
  <c r="Y22" i="44"/>
  <c r="Z22" i="44"/>
  <c r="AA22" i="44"/>
  <c r="AB22" i="44"/>
  <c r="AC22" i="44"/>
  <c r="AD22" i="44"/>
  <c r="AE22" i="44"/>
  <c r="AF22" i="44"/>
  <c r="AG22" i="44"/>
  <c r="C23" i="44"/>
  <c r="D23" i="44"/>
  <c r="E23" i="44"/>
  <c r="F23" i="44"/>
  <c r="G23" i="44"/>
  <c r="H23" i="44"/>
  <c r="I23" i="44"/>
  <c r="J23" i="44"/>
  <c r="K23" i="44"/>
  <c r="L23" i="44"/>
  <c r="M23" i="44"/>
  <c r="N23" i="44"/>
  <c r="O23" i="44"/>
  <c r="P23" i="44"/>
  <c r="Q23" i="44"/>
  <c r="R23" i="44"/>
  <c r="S23" i="44"/>
  <c r="T23" i="44"/>
  <c r="U23" i="44"/>
  <c r="V23" i="44"/>
  <c r="W23" i="44"/>
  <c r="X23" i="44"/>
  <c r="Y23" i="44"/>
  <c r="Z23" i="44"/>
  <c r="AA23" i="44"/>
  <c r="AB23" i="44"/>
  <c r="AC23" i="44"/>
  <c r="AD23" i="44"/>
  <c r="AE23" i="44"/>
  <c r="AF23" i="44"/>
  <c r="AG23" i="44"/>
  <c r="C24" i="44"/>
  <c r="D24" i="44"/>
  <c r="E24" i="44"/>
  <c r="F24" i="44"/>
  <c r="G24" i="44"/>
  <c r="H24" i="44"/>
  <c r="I24" i="44"/>
  <c r="J24" i="44"/>
  <c r="K24" i="44"/>
  <c r="L24" i="44"/>
  <c r="M24" i="44"/>
  <c r="N24" i="44"/>
  <c r="O24" i="44"/>
  <c r="P24" i="44"/>
  <c r="Q24" i="44"/>
  <c r="R24" i="44"/>
  <c r="S24" i="44"/>
  <c r="T24" i="44"/>
  <c r="U24" i="44"/>
  <c r="V24" i="44"/>
  <c r="W24" i="44"/>
  <c r="X24" i="44"/>
  <c r="Y24" i="44"/>
  <c r="Z24" i="44"/>
  <c r="AA24" i="44"/>
  <c r="AB24" i="44"/>
  <c r="AC24" i="44"/>
  <c r="AD24" i="44"/>
  <c r="AE24" i="44"/>
  <c r="AF24" i="44"/>
  <c r="AG24" i="44"/>
  <c r="C25" i="44"/>
  <c r="D25" i="44"/>
  <c r="E25" i="44"/>
  <c r="F25" i="44"/>
  <c r="G25" i="44"/>
  <c r="H25" i="44"/>
  <c r="I25" i="44"/>
  <c r="J25" i="44"/>
  <c r="K25" i="44"/>
  <c r="L25" i="44"/>
  <c r="M25" i="44"/>
  <c r="N25" i="44"/>
  <c r="O25" i="44"/>
  <c r="P25" i="44"/>
  <c r="Q25" i="44"/>
  <c r="R25" i="44"/>
  <c r="S25" i="44"/>
  <c r="T25" i="44"/>
  <c r="U25" i="44"/>
  <c r="V25" i="44"/>
  <c r="W25" i="44"/>
  <c r="X25" i="44"/>
  <c r="Y25" i="44"/>
  <c r="Z25" i="44"/>
  <c r="AA25" i="44"/>
  <c r="AB25" i="44"/>
  <c r="AC25" i="44"/>
  <c r="AD25" i="44"/>
  <c r="AE25" i="44"/>
  <c r="AF25" i="44"/>
  <c r="AG25" i="44"/>
  <c r="C26" i="44"/>
  <c r="D26" i="44"/>
  <c r="E26" i="44"/>
  <c r="F26" i="44"/>
  <c r="G26" i="44"/>
  <c r="H26" i="44"/>
  <c r="I26" i="44"/>
  <c r="J26" i="44"/>
  <c r="K26" i="44"/>
  <c r="L26" i="44"/>
  <c r="M26" i="44"/>
  <c r="N26" i="44"/>
  <c r="O26" i="44"/>
  <c r="P26" i="44"/>
  <c r="Q26" i="44"/>
  <c r="R26" i="44"/>
  <c r="S26" i="44"/>
  <c r="T26" i="44"/>
  <c r="U26" i="44"/>
  <c r="V26" i="44"/>
  <c r="W26" i="44"/>
  <c r="X26" i="44"/>
  <c r="Y26" i="44"/>
  <c r="Z26" i="44"/>
  <c r="AA26" i="44"/>
  <c r="AB26" i="44"/>
  <c r="AC26" i="44"/>
  <c r="AD26" i="44"/>
  <c r="AE26" i="44"/>
  <c r="AF26" i="44"/>
  <c r="AG26" i="44"/>
  <c r="C27" i="44"/>
  <c r="D27" i="44"/>
  <c r="E27" i="44"/>
  <c r="F27" i="44"/>
  <c r="G27" i="44"/>
  <c r="H27" i="44"/>
  <c r="I27" i="44"/>
  <c r="J27" i="44"/>
  <c r="K27" i="44"/>
  <c r="L27" i="44"/>
  <c r="M27" i="44"/>
  <c r="N27" i="44"/>
  <c r="O27" i="44"/>
  <c r="P27" i="44"/>
  <c r="Q27" i="44"/>
  <c r="R27" i="44"/>
  <c r="S27" i="44"/>
  <c r="T27" i="44"/>
  <c r="U27" i="44"/>
  <c r="V27" i="44"/>
  <c r="W27" i="44"/>
  <c r="X27" i="44"/>
  <c r="Y27" i="44"/>
  <c r="Z27" i="44"/>
  <c r="AA27" i="44"/>
  <c r="AB27" i="44"/>
  <c r="AC27" i="44"/>
  <c r="AD27" i="44"/>
  <c r="AE27" i="44"/>
  <c r="AF27" i="44"/>
  <c r="AG27" i="44"/>
  <c r="C28" i="44"/>
  <c r="D28" i="44"/>
  <c r="E28" i="44"/>
  <c r="F28" i="44"/>
  <c r="G28" i="44"/>
  <c r="H28" i="44"/>
  <c r="I28" i="44"/>
  <c r="J28" i="44"/>
  <c r="K28" i="44"/>
  <c r="L28" i="44"/>
  <c r="M28" i="44"/>
  <c r="N28" i="44"/>
  <c r="O28" i="44"/>
  <c r="P28" i="44"/>
  <c r="Q28" i="44"/>
  <c r="R28" i="44"/>
  <c r="S28" i="44"/>
  <c r="T28" i="44"/>
  <c r="U28" i="44"/>
  <c r="V28" i="44"/>
  <c r="W28" i="44"/>
  <c r="X28" i="44"/>
  <c r="Y28" i="44"/>
  <c r="Z28" i="44"/>
  <c r="AA28" i="44"/>
  <c r="AB28" i="44"/>
  <c r="AC28" i="44"/>
  <c r="AD28" i="44"/>
  <c r="AE28" i="44"/>
  <c r="AF28" i="44"/>
  <c r="AG28" i="44"/>
  <c r="C29" i="44"/>
  <c r="D29" i="44"/>
  <c r="E29" i="44"/>
  <c r="F29" i="44"/>
  <c r="G29" i="44"/>
  <c r="H29" i="44"/>
  <c r="I29" i="44"/>
  <c r="J29" i="44"/>
  <c r="K29" i="44"/>
  <c r="L29" i="44"/>
  <c r="M29" i="44"/>
  <c r="N29" i="44"/>
  <c r="O29" i="44"/>
  <c r="P29" i="44"/>
  <c r="Q29" i="44"/>
  <c r="R29" i="44"/>
  <c r="S29" i="44"/>
  <c r="T29" i="44"/>
  <c r="U29" i="44"/>
  <c r="V29" i="44"/>
  <c r="W29" i="44"/>
  <c r="X29" i="44"/>
  <c r="Y29" i="44"/>
  <c r="Z29" i="44"/>
  <c r="AA29" i="44"/>
  <c r="AB29" i="44"/>
  <c r="AC29" i="44"/>
  <c r="AD29" i="44"/>
  <c r="AE29" i="44"/>
  <c r="AF29" i="44"/>
  <c r="AG29" i="44"/>
  <c r="C30" i="44"/>
  <c r="D30" i="44"/>
  <c r="E30" i="44"/>
  <c r="F30" i="44"/>
  <c r="G30" i="44"/>
  <c r="H30" i="44"/>
  <c r="I30" i="44"/>
  <c r="J30" i="44"/>
  <c r="K30" i="44"/>
  <c r="L30" i="44"/>
  <c r="M30" i="44"/>
  <c r="N30" i="44"/>
  <c r="O30" i="44"/>
  <c r="P30" i="44"/>
  <c r="Q30" i="44"/>
  <c r="R30" i="44"/>
  <c r="S30" i="44"/>
  <c r="T30" i="44"/>
  <c r="U30" i="44"/>
  <c r="V30" i="44"/>
  <c r="W30" i="44"/>
  <c r="X30" i="44"/>
  <c r="Y30" i="44"/>
  <c r="Z30" i="44"/>
  <c r="AA30" i="44"/>
  <c r="AB30" i="44"/>
  <c r="AC30" i="44"/>
  <c r="AD30" i="44"/>
  <c r="AE30" i="44"/>
  <c r="AF30" i="44"/>
  <c r="AG30" i="44"/>
  <c r="C31" i="44"/>
  <c r="D31" i="44"/>
  <c r="E31" i="44"/>
  <c r="F31" i="44"/>
  <c r="G31" i="44"/>
  <c r="H31" i="44"/>
  <c r="I31" i="44"/>
  <c r="J31" i="44"/>
  <c r="K31" i="44"/>
  <c r="L31" i="44"/>
  <c r="M31" i="44"/>
  <c r="N31" i="44"/>
  <c r="O31" i="44"/>
  <c r="P31" i="44"/>
  <c r="Q31" i="44"/>
  <c r="R31" i="44"/>
  <c r="S31" i="44"/>
  <c r="T31" i="44"/>
  <c r="U31" i="44"/>
  <c r="V31" i="44"/>
  <c r="W31" i="44"/>
  <c r="X31" i="44"/>
  <c r="Y31" i="44"/>
  <c r="Z31" i="44"/>
  <c r="AA31" i="44"/>
  <c r="AB31" i="44"/>
  <c r="AC31" i="44"/>
  <c r="AD31" i="44"/>
  <c r="AE31" i="44"/>
  <c r="AF31" i="44"/>
  <c r="AG31" i="44"/>
  <c r="C32" i="44"/>
  <c r="D32" i="44"/>
  <c r="E32" i="44"/>
  <c r="F32" i="44"/>
  <c r="G32" i="44"/>
  <c r="H32" i="44"/>
  <c r="I32" i="44"/>
  <c r="J32" i="44"/>
  <c r="K32" i="44"/>
  <c r="L32" i="44"/>
  <c r="M32" i="44"/>
  <c r="N32" i="44"/>
  <c r="O32" i="44"/>
  <c r="P32" i="44"/>
  <c r="Q32" i="44"/>
  <c r="R32" i="44"/>
  <c r="S32" i="44"/>
  <c r="T32" i="44"/>
  <c r="U32" i="44"/>
  <c r="V32" i="44"/>
  <c r="W32" i="44"/>
  <c r="X32" i="44"/>
  <c r="Y32" i="44"/>
  <c r="Z32" i="44"/>
  <c r="AA32" i="44"/>
  <c r="AB32" i="44"/>
  <c r="AC32" i="44"/>
  <c r="AD32" i="44"/>
  <c r="AE32" i="44"/>
  <c r="AF32" i="44"/>
  <c r="AG32" i="44"/>
  <c r="C33" i="44"/>
  <c r="D33" i="44"/>
  <c r="E33" i="44"/>
  <c r="F33" i="44"/>
  <c r="G33" i="44"/>
  <c r="H33" i="44"/>
  <c r="I33" i="44"/>
  <c r="J33" i="44"/>
  <c r="K33" i="44"/>
  <c r="L33" i="44"/>
  <c r="M33" i="44"/>
  <c r="N33" i="44"/>
  <c r="O33" i="44"/>
  <c r="P33" i="44"/>
  <c r="Q33" i="44"/>
  <c r="R33" i="44"/>
  <c r="S33" i="44"/>
  <c r="T33" i="44"/>
  <c r="U33" i="44"/>
  <c r="V33" i="44"/>
  <c r="W33" i="44"/>
  <c r="X33" i="44"/>
  <c r="Y33" i="44"/>
  <c r="Z33" i="44"/>
  <c r="AA33" i="44"/>
  <c r="AB33" i="44"/>
  <c r="AC33" i="44"/>
  <c r="AD33" i="44"/>
  <c r="AE33" i="44"/>
  <c r="AF33" i="44"/>
  <c r="AG33" i="44"/>
  <c r="C34" i="44"/>
  <c r="D34" i="44"/>
  <c r="E34" i="44"/>
  <c r="F34" i="44"/>
  <c r="G34" i="44"/>
  <c r="H34" i="44"/>
  <c r="I34" i="44"/>
  <c r="J34" i="44"/>
  <c r="K34" i="44"/>
  <c r="L34" i="44"/>
  <c r="M34" i="44"/>
  <c r="N34" i="44"/>
  <c r="O34" i="44"/>
  <c r="P34" i="44"/>
  <c r="Q34" i="44"/>
  <c r="R34" i="44"/>
  <c r="S34" i="44"/>
  <c r="T34" i="44"/>
  <c r="U34" i="44"/>
  <c r="V34" i="44"/>
  <c r="W34" i="44"/>
  <c r="X34" i="44"/>
  <c r="Y34" i="44"/>
  <c r="Z34" i="44"/>
  <c r="AA34" i="44"/>
  <c r="AB34" i="44"/>
  <c r="AC34" i="44"/>
  <c r="AD34" i="44"/>
  <c r="AE34" i="44"/>
  <c r="AF34" i="44"/>
  <c r="AG34" i="44"/>
  <c r="C35" i="44"/>
  <c r="D35" i="44"/>
  <c r="E35" i="44"/>
  <c r="F35" i="44"/>
  <c r="G35" i="44"/>
  <c r="H35" i="44"/>
  <c r="I35" i="44"/>
  <c r="J35" i="44"/>
  <c r="K35" i="44"/>
  <c r="L35" i="44"/>
  <c r="M35" i="44"/>
  <c r="N35" i="44"/>
  <c r="O35" i="44"/>
  <c r="P35" i="44"/>
  <c r="Q35" i="44"/>
  <c r="R35" i="44"/>
  <c r="S35" i="44"/>
  <c r="T35" i="44"/>
  <c r="U35" i="44"/>
  <c r="V35" i="44"/>
  <c r="W35" i="44"/>
  <c r="X35" i="44"/>
  <c r="Y35" i="44"/>
  <c r="Z35" i="44"/>
  <c r="AA35" i="44"/>
  <c r="AB35" i="44"/>
  <c r="AC35" i="44"/>
  <c r="AD35" i="44"/>
  <c r="AE35" i="44"/>
  <c r="AF35" i="44"/>
  <c r="AG35" i="44"/>
  <c r="C36" i="44"/>
  <c r="D36" i="44"/>
  <c r="E36" i="44"/>
  <c r="F36" i="44"/>
  <c r="G36" i="44"/>
  <c r="H36" i="44"/>
  <c r="I36" i="44"/>
  <c r="J36" i="44"/>
  <c r="K36" i="44"/>
  <c r="L36" i="44"/>
  <c r="M36" i="44"/>
  <c r="N36" i="44"/>
  <c r="O36" i="44"/>
  <c r="P36" i="44"/>
  <c r="Q36" i="44"/>
  <c r="R36" i="44"/>
  <c r="S36" i="44"/>
  <c r="T36" i="44"/>
  <c r="U36" i="44"/>
  <c r="V36" i="44"/>
  <c r="W36" i="44"/>
  <c r="X36" i="44"/>
  <c r="Y36" i="44"/>
  <c r="Z36" i="44"/>
  <c r="AA36" i="44"/>
  <c r="AB36" i="44"/>
  <c r="AC36" i="44"/>
  <c r="AD36" i="44"/>
  <c r="AE36" i="44"/>
  <c r="AF36" i="44"/>
  <c r="AG36" i="44"/>
  <c r="C37" i="44"/>
  <c r="D37" i="44"/>
  <c r="E37" i="44"/>
  <c r="F37" i="44"/>
  <c r="G37" i="44"/>
  <c r="H37" i="44"/>
  <c r="I37" i="44"/>
  <c r="J37" i="44"/>
  <c r="K37" i="44"/>
  <c r="L37" i="44"/>
  <c r="M37" i="44"/>
  <c r="N37" i="44"/>
  <c r="O37" i="44"/>
  <c r="P37" i="44"/>
  <c r="Q37" i="44"/>
  <c r="R37" i="44"/>
  <c r="S37" i="44"/>
  <c r="T37" i="44"/>
  <c r="U37" i="44"/>
  <c r="V37" i="44"/>
  <c r="W37" i="44"/>
  <c r="X37" i="44"/>
  <c r="Y37" i="44"/>
  <c r="Z37" i="44"/>
  <c r="AA37" i="44"/>
  <c r="AB37" i="44"/>
  <c r="AC37" i="44"/>
  <c r="AD37" i="44"/>
  <c r="AE37" i="44"/>
  <c r="AF37" i="44"/>
  <c r="AG37" i="44"/>
  <c r="C38" i="44"/>
  <c r="D38" i="44"/>
  <c r="E38" i="44"/>
  <c r="F38" i="44"/>
  <c r="G38" i="44"/>
  <c r="H38" i="44"/>
  <c r="I38" i="44"/>
  <c r="J38" i="44"/>
  <c r="K38" i="44"/>
  <c r="L38" i="44"/>
  <c r="M38" i="44"/>
  <c r="N38" i="44"/>
  <c r="O38" i="44"/>
  <c r="P38" i="44"/>
  <c r="Q38" i="44"/>
  <c r="R38" i="44"/>
  <c r="S38" i="44"/>
  <c r="T38" i="44"/>
  <c r="U38" i="44"/>
  <c r="V38" i="44"/>
  <c r="W38" i="44"/>
  <c r="X38" i="44"/>
  <c r="Y38" i="44"/>
  <c r="Z38" i="44"/>
  <c r="AA38" i="44"/>
  <c r="AB38" i="44"/>
  <c r="AC38" i="44"/>
  <c r="AD38" i="44"/>
  <c r="AE38" i="44"/>
  <c r="AF38" i="44"/>
  <c r="AG38" i="44"/>
  <c r="C39" i="44"/>
  <c r="D39" i="44"/>
  <c r="E39" i="44"/>
  <c r="F39" i="44"/>
  <c r="G39" i="44"/>
  <c r="H39" i="44"/>
  <c r="I39" i="44"/>
  <c r="J39" i="44"/>
  <c r="K39" i="44"/>
  <c r="L39" i="44"/>
  <c r="M39" i="44"/>
  <c r="N39" i="44"/>
  <c r="O39" i="44"/>
  <c r="P39" i="44"/>
  <c r="Q39" i="44"/>
  <c r="R39" i="44"/>
  <c r="S39" i="44"/>
  <c r="T39" i="44"/>
  <c r="U39" i="44"/>
  <c r="V39" i="44"/>
  <c r="W39" i="44"/>
  <c r="X39" i="44"/>
  <c r="Y39" i="44"/>
  <c r="Z39" i="44"/>
  <c r="AA39" i="44"/>
  <c r="AB39" i="44"/>
  <c r="AC39" i="44"/>
  <c r="AD39" i="44"/>
  <c r="AE39" i="44"/>
  <c r="AF39" i="44"/>
  <c r="AG39" i="44"/>
  <c r="C40" i="44"/>
  <c r="D40" i="44"/>
  <c r="E40" i="44"/>
  <c r="F40" i="44"/>
  <c r="G40" i="44"/>
  <c r="H40" i="44"/>
  <c r="I40" i="44"/>
  <c r="J40" i="44"/>
  <c r="K40" i="44"/>
  <c r="L40" i="44"/>
  <c r="M40" i="44"/>
  <c r="N40" i="44"/>
  <c r="O40" i="44"/>
  <c r="P40" i="44"/>
  <c r="Q40" i="44"/>
  <c r="R40" i="44"/>
  <c r="S40" i="44"/>
  <c r="T40" i="44"/>
  <c r="U40" i="44"/>
  <c r="V40" i="44"/>
  <c r="W40" i="44"/>
  <c r="X40" i="44"/>
  <c r="Y40" i="44"/>
  <c r="Z40" i="44"/>
  <c r="AA40" i="44"/>
  <c r="AB40" i="44"/>
  <c r="AC40" i="44"/>
  <c r="AD40" i="44"/>
  <c r="AE40" i="44"/>
  <c r="AF40" i="44"/>
  <c r="AG40" i="44"/>
  <c r="C41" i="44"/>
  <c r="D41" i="44"/>
  <c r="E41" i="44"/>
  <c r="F41" i="44"/>
  <c r="G41" i="44"/>
  <c r="H41" i="44"/>
  <c r="I41" i="44"/>
  <c r="J41" i="44"/>
  <c r="K41" i="44"/>
  <c r="L41" i="44"/>
  <c r="M41" i="44"/>
  <c r="N41" i="44"/>
  <c r="O41" i="44"/>
  <c r="P41" i="44"/>
  <c r="Q41" i="44"/>
  <c r="R41" i="44"/>
  <c r="S41" i="44"/>
  <c r="T41" i="44"/>
  <c r="U41" i="44"/>
  <c r="V41" i="44"/>
  <c r="W41" i="44"/>
  <c r="X41" i="44"/>
  <c r="Y41" i="44"/>
  <c r="Z41" i="44"/>
  <c r="AA41" i="44"/>
  <c r="AB41" i="44"/>
  <c r="AC41" i="44"/>
  <c r="AD41" i="44"/>
  <c r="AE41" i="44"/>
  <c r="AF41" i="44"/>
  <c r="AG41" i="44"/>
  <c r="C42" i="44"/>
  <c r="D42" i="44"/>
  <c r="E42" i="44"/>
  <c r="F42" i="44"/>
  <c r="G42" i="44"/>
  <c r="H42" i="44"/>
  <c r="I42" i="44"/>
  <c r="J42" i="44"/>
  <c r="K42" i="44"/>
  <c r="L42" i="44"/>
  <c r="M42" i="44"/>
  <c r="N42" i="44"/>
  <c r="O42" i="44"/>
  <c r="P42" i="44"/>
  <c r="Q42" i="44"/>
  <c r="R42" i="44"/>
  <c r="S42" i="44"/>
  <c r="T42" i="44"/>
  <c r="U42" i="44"/>
  <c r="V42" i="44"/>
  <c r="W42" i="44"/>
  <c r="X42" i="44"/>
  <c r="Y42" i="44"/>
  <c r="Z42" i="44"/>
  <c r="AA42" i="44"/>
  <c r="AB42" i="44"/>
  <c r="AC42" i="44"/>
  <c r="AD42" i="44"/>
  <c r="AE42" i="44"/>
  <c r="AF42" i="44"/>
  <c r="AG42" i="44"/>
  <c r="C43" i="44"/>
  <c r="D43" i="44"/>
  <c r="E43" i="44"/>
  <c r="F43" i="44"/>
  <c r="G43" i="44"/>
  <c r="H43" i="44"/>
  <c r="I43" i="44"/>
  <c r="J43" i="44"/>
  <c r="K43" i="44"/>
  <c r="L43" i="44"/>
  <c r="M43" i="44"/>
  <c r="N43" i="44"/>
  <c r="O43" i="44"/>
  <c r="P43" i="44"/>
  <c r="Q43" i="44"/>
  <c r="R43" i="44"/>
  <c r="S43" i="44"/>
  <c r="T43" i="44"/>
  <c r="U43" i="44"/>
  <c r="V43" i="44"/>
  <c r="W43" i="44"/>
  <c r="X43" i="44"/>
  <c r="Y43" i="44"/>
  <c r="Z43" i="44"/>
  <c r="AA43" i="44"/>
  <c r="AB43" i="44"/>
  <c r="AC43" i="44"/>
  <c r="AD43" i="44"/>
  <c r="AE43" i="44"/>
  <c r="AF43" i="44"/>
  <c r="AG43" i="44"/>
  <c r="C44" i="44"/>
  <c r="D44" i="44"/>
  <c r="E44" i="44"/>
  <c r="F44" i="44"/>
  <c r="G44" i="44"/>
  <c r="H44" i="44"/>
  <c r="I44" i="44"/>
  <c r="J44" i="44"/>
  <c r="K44" i="44"/>
  <c r="L44" i="44"/>
  <c r="M44" i="44"/>
  <c r="N44" i="44"/>
  <c r="O44" i="44"/>
  <c r="P44" i="44"/>
  <c r="Q44" i="44"/>
  <c r="R44" i="44"/>
  <c r="S44" i="44"/>
  <c r="T44" i="44"/>
  <c r="U44" i="44"/>
  <c r="V44" i="44"/>
  <c r="W44" i="44"/>
  <c r="X44" i="44"/>
  <c r="Y44" i="44"/>
  <c r="Z44" i="44"/>
  <c r="AA44" i="44"/>
  <c r="AB44" i="44"/>
  <c r="AC44" i="44"/>
  <c r="AD44" i="44"/>
  <c r="AE44" i="44"/>
  <c r="AF44" i="44"/>
  <c r="AG44" i="44"/>
  <c r="C45" i="44"/>
  <c r="D45" i="44"/>
  <c r="E45" i="44"/>
  <c r="F45" i="44"/>
  <c r="G45" i="44"/>
  <c r="H45" i="44"/>
  <c r="I45" i="44"/>
  <c r="J45" i="44"/>
  <c r="K45" i="44"/>
  <c r="L45" i="44"/>
  <c r="M45" i="44"/>
  <c r="N45" i="44"/>
  <c r="O45" i="44"/>
  <c r="P45" i="44"/>
  <c r="Q45" i="44"/>
  <c r="R45" i="44"/>
  <c r="S45" i="44"/>
  <c r="T45" i="44"/>
  <c r="U45" i="44"/>
  <c r="V45" i="44"/>
  <c r="W45" i="44"/>
  <c r="X45" i="44"/>
  <c r="Y45" i="44"/>
  <c r="Z45" i="44"/>
  <c r="AA45" i="44"/>
  <c r="AB45" i="44"/>
  <c r="AC45" i="44"/>
  <c r="AD45" i="44"/>
  <c r="AE45" i="44"/>
  <c r="AF45" i="44"/>
  <c r="AG45" i="44"/>
  <c r="C46" i="44"/>
  <c r="D46" i="44"/>
  <c r="E46" i="44"/>
  <c r="F46" i="44"/>
  <c r="G46" i="44"/>
  <c r="H46" i="44"/>
  <c r="I46" i="44"/>
  <c r="J46" i="44"/>
  <c r="K46" i="44"/>
  <c r="L46" i="44"/>
  <c r="M46" i="44"/>
  <c r="N46" i="44"/>
  <c r="O46" i="44"/>
  <c r="P46" i="44"/>
  <c r="Q46" i="44"/>
  <c r="R46" i="44"/>
  <c r="S46" i="44"/>
  <c r="T46" i="44"/>
  <c r="U46" i="44"/>
  <c r="V46" i="44"/>
  <c r="W46" i="44"/>
  <c r="X46" i="44"/>
  <c r="Y46" i="44"/>
  <c r="Z46" i="44"/>
  <c r="AA46" i="44"/>
  <c r="AB46" i="44"/>
  <c r="AC46" i="44"/>
  <c r="AD46" i="44"/>
  <c r="AE46" i="44"/>
  <c r="AF46" i="44"/>
  <c r="AG46" i="44"/>
  <c r="C47" i="44"/>
  <c r="D47" i="44"/>
  <c r="E47" i="44"/>
  <c r="F47" i="44"/>
  <c r="G47" i="44"/>
  <c r="H47" i="44"/>
  <c r="I47" i="44"/>
  <c r="J47" i="44"/>
  <c r="K47" i="44"/>
  <c r="L47" i="44"/>
  <c r="M47" i="44"/>
  <c r="N47" i="44"/>
  <c r="O47" i="44"/>
  <c r="P47" i="44"/>
  <c r="Q47" i="44"/>
  <c r="R47" i="44"/>
  <c r="S47" i="44"/>
  <c r="T47" i="44"/>
  <c r="U47" i="44"/>
  <c r="V47" i="44"/>
  <c r="W47" i="44"/>
  <c r="X47" i="44"/>
  <c r="Y47" i="44"/>
  <c r="Z47" i="44"/>
  <c r="AA47" i="44"/>
  <c r="AB47" i="44"/>
  <c r="AC47" i="44"/>
  <c r="AD47" i="44"/>
  <c r="AE47" i="44"/>
  <c r="AF47" i="44"/>
  <c r="AG47" i="44"/>
  <c r="C48" i="44"/>
  <c r="D48" i="44"/>
  <c r="E48" i="44"/>
  <c r="F48" i="44"/>
  <c r="G48" i="44"/>
  <c r="H48" i="44"/>
  <c r="I48" i="44"/>
  <c r="J48" i="44"/>
  <c r="K48" i="44"/>
  <c r="L48" i="44"/>
  <c r="M48" i="44"/>
  <c r="N48" i="44"/>
  <c r="O48" i="44"/>
  <c r="P48" i="44"/>
  <c r="Q48" i="44"/>
  <c r="R48" i="44"/>
  <c r="S48" i="44"/>
  <c r="T48" i="44"/>
  <c r="C49" i="44"/>
  <c r="D49" i="44"/>
  <c r="E49" i="44"/>
  <c r="F49" i="44"/>
  <c r="G49" i="44"/>
  <c r="H49" i="44"/>
  <c r="I49" i="44"/>
  <c r="J49" i="44"/>
  <c r="K49" i="44"/>
  <c r="L49" i="44"/>
  <c r="M49" i="44"/>
  <c r="N49" i="44"/>
  <c r="O49" i="44"/>
  <c r="P49" i="44"/>
  <c r="Q49" i="44"/>
  <c r="R49" i="44"/>
  <c r="S49" i="44"/>
  <c r="T49" i="44"/>
  <c r="C50" i="44"/>
  <c r="D50" i="44"/>
  <c r="E50" i="44"/>
  <c r="F50" i="44"/>
  <c r="G50" i="44"/>
  <c r="H50" i="44"/>
  <c r="I50" i="44"/>
  <c r="J50" i="44"/>
  <c r="K50" i="44"/>
  <c r="L50" i="44"/>
  <c r="M50" i="44"/>
  <c r="N50" i="44"/>
  <c r="O50" i="44"/>
  <c r="P50" i="44"/>
  <c r="Q50" i="44"/>
  <c r="R50" i="44"/>
  <c r="S50" i="44"/>
  <c r="T50" i="44"/>
  <c r="C51" i="44"/>
  <c r="D51" i="44"/>
  <c r="E51" i="44"/>
  <c r="F51" i="44"/>
  <c r="G51" i="44"/>
  <c r="H51" i="44"/>
  <c r="I51" i="44"/>
  <c r="J51" i="44"/>
  <c r="K51" i="44"/>
  <c r="L51" i="44"/>
  <c r="M51" i="44"/>
  <c r="N51" i="44"/>
  <c r="O51" i="44"/>
  <c r="P51" i="44"/>
  <c r="Q51" i="44"/>
  <c r="R51" i="44"/>
  <c r="S51" i="44"/>
  <c r="T51" i="44"/>
  <c r="C55" i="33" l="1"/>
  <c r="D55" i="33"/>
  <c r="E55" i="33"/>
  <c r="F55" i="33"/>
  <c r="G55" i="33"/>
  <c r="H55" i="33"/>
  <c r="B55" i="33"/>
  <c r="C44" i="33"/>
  <c r="D44" i="33"/>
  <c r="E44" i="33"/>
  <c r="F44" i="33"/>
  <c r="G44" i="33"/>
  <c r="H44" i="33"/>
  <c r="B44" i="33"/>
  <c r="C28" i="33"/>
  <c r="D28" i="33"/>
  <c r="E28" i="33"/>
  <c r="F28" i="33"/>
  <c r="G28" i="33"/>
  <c r="H28" i="33"/>
  <c r="B28" i="33"/>
  <c r="I44" i="33" l="1"/>
  <c r="AR309" i="49"/>
  <c r="AQ309" i="49"/>
  <c r="AP309" i="49"/>
  <c r="AO309" i="49"/>
  <c r="AN309" i="49"/>
  <c r="AM309" i="49"/>
  <c r="AL309" i="49"/>
  <c r="AK309" i="49"/>
  <c r="AJ309" i="49"/>
  <c r="AI309" i="49"/>
  <c r="AH309" i="49"/>
  <c r="AG309" i="49"/>
  <c r="AF309" i="49"/>
  <c r="AE309" i="49"/>
  <c r="AD309" i="49"/>
  <c r="AC309" i="49"/>
  <c r="AB309" i="49"/>
  <c r="AA309" i="49"/>
  <c r="Z309" i="49"/>
  <c r="Y309" i="49"/>
  <c r="X309" i="49"/>
  <c r="W309" i="49"/>
  <c r="V309" i="49"/>
  <c r="U309" i="49"/>
  <c r="T309" i="49"/>
  <c r="S309" i="49"/>
  <c r="R309" i="49"/>
  <c r="Q309" i="49"/>
  <c r="P309" i="49"/>
  <c r="O309" i="49"/>
  <c r="N309" i="49"/>
  <c r="M309" i="49"/>
  <c r="L309" i="49"/>
  <c r="K309" i="49"/>
  <c r="J309" i="49"/>
  <c r="I309" i="49"/>
  <c r="H309" i="49"/>
  <c r="G309" i="49"/>
  <c r="F309" i="49"/>
  <c r="E309" i="49"/>
  <c r="D309" i="49"/>
  <c r="C309" i="49"/>
  <c r="AR258" i="49"/>
  <c r="AQ258" i="49"/>
  <c r="AP258" i="49"/>
  <c r="AO258" i="49"/>
  <c r="AN258" i="49"/>
  <c r="AM258" i="49"/>
  <c r="AL258" i="49"/>
  <c r="AK258" i="49"/>
  <c r="AJ258" i="49"/>
  <c r="AI258" i="49"/>
  <c r="AH258" i="49"/>
  <c r="AG258" i="49"/>
  <c r="AF258" i="49"/>
  <c r="AE258" i="49"/>
  <c r="AD258" i="49"/>
  <c r="AC258" i="49"/>
  <c r="AB258" i="49"/>
  <c r="AA258" i="49"/>
  <c r="Z258" i="49"/>
  <c r="Y258" i="49"/>
  <c r="X258" i="49"/>
  <c r="W258" i="49"/>
  <c r="V258" i="49"/>
  <c r="U258" i="49"/>
  <c r="T258" i="49"/>
  <c r="S258" i="49"/>
  <c r="R258" i="49"/>
  <c r="Q258" i="49"/>
  <c r="P258" i="49"/>
  <c r="O258" i="49"/>
  <c r="N258" i="49"/>
  <c r="M258" i="49"/>
  <c r="L258" i="49"/>
  <c r="K258" i="49"/>
  <c r="J258" i="49"/>
  <c r="I258" i="49"/>
  <c r="H258" i="49"/>
  <c r="G258" i="49"/>
  <c r="F258" i="49"/>
  <c r="E258" i="49"/>
  <c r="D258" i="49"/>
  <c r="C258" i="49"/>
  <c r="AR207" i="49"/>
  <c r="AQ207" i="49"/>
  <c r="AP207" i="49"/>
  <c r="AO207" i="49"/>
  <c r="AN207" i="49"/>
  <c r="AM207" i="49"/>
  <c r="AL207" i="49"/>
  <c r="AK207" i="49"/>
  <c r="AJ207" i="49"/>
  <c r="AI207" i="49"/>
  <c r="AH207" i="49"/>
  <c r="AG207" i="49"/>
  <c r="AF207" i="49"/>
  <c r="AE207" i="49"/>
  <c r="AD207" i="49"/>
  <c r="AC207" i="49"/>
  <c r="AB207" i="49"/>
  <c r="AA207" i="49"/>
  <c r="Z207" i="49"/>
  <c r="Y207" i="49"/>
  <c r="X207" i="49"/>
  <c r="W207" i="49"/>
  <c r="V207" i="49"/>
  <c r="U207" i="49"/>
  <c r="T207" i="49"/>
  <c r="S207" i="49"/>
  <c r="R207" i="49"/>
  <c r="Q207" i="49"/>
  <c r="P207" i="49"/>
  <c r="O207" i="49"/>
  <c r="N207" i="49"/>
  <c r="M207" i="49"/>
  <c r="L207" i="49"/>
  <c r="K207" i="49"/>
  <c r="J207" i="49"/>
  <c r="I207" i="49"/>
  <c r="H207" i="49"/>
  <c r="G207" i="49"/>
  <c r="F207" i="49"/>
  <c r="E207" i="49"/>
  <c r="D207" i="49"/>
  <c r="C207" i="49"/>
  <c r="AR156" i="49"/>
  <c r="AQ156" i="49"/>
  <c r="AP156" i="49"/>
  <c r="AO156" i="49"/>
  <c r="AN156" i="49"/>
  <c r="AM156" i="49"/>
  <c r="AL156" i="49"/>
  <c r="AK156" i="49"/>
  <c r="AJ156" i="49"/>
  <c r="AI156" i="49"/>
  <c r="AH156" i="49"/>
  <c r="AG156" i="49"/>
  <c r="AF156" i="49"/>
  <c r="AE156" i="49"/>
  <c r="AD156" i="49"/>
  <c r="AC156" i="49"/>
  <c r="AB156" i="49"/>
  <c r="AA156" i="49"/>
  <c r="Z156" i="49"/>
  <c r="Y156" i="49"/>
  <c r="X156" i="49"/>
  <c r="W156" i="49"/>
  <c r="V156" i="49"/>
  <c r="U156" i="49"/>
  <c r="T156" i="49"/>
  <c r="S156" i="49"/>
  <c r="R156" i="49"/>
  <c r="Q156" i="49"/>
  <c r="P156" i="49"/>
  <c r="O156" i="49"/>
  <c r="N156" i="49"/>
  <c r="M156" i="49"/>
  <c r="L156" i="49"/>
  <c r="K156" i="49"/>
  <c r="J156" i="49"/>
  <c r="I156" i="49"/>
  <c r="H156" i="49"/>
  <c r="G156" i="49"/>
  <c r="F156" i="49"/>
  <c r="E156" i="49"/>
  <c r="D156" i="49"/>
  <c r="C156" i="49"/>
  <c r="AR105" i="49"/>
  <c r="AQ105" i="49"/>
  <c r="AP105" i="49"/>
  <c r="AO105" i="49"/>
  <c r="AN105" i="49"/>
  <c r="AM105" i="49"/>
  <c r="AL105" i="49"/>
  <c r="AK105" i="49"/>
  <c r="AJ105" i="49"/>
  <c r="AI105" i="49"/>
  <c r="AH105" i="49"/>
  <c r="AG105" i="49"/>
  <c r="AF105" i="49"/>
  <c r="AE105" i="49"/>
  <c r="AD105" i="49"/>
  <c r="AC105" i="49"/>
  <c r="AB105" i="49"/>
  <c r="AA105" i="49"/>
  <c r="Z105" i="49"/>
  <c r="Y105" i="49"/>
  <c r="X105" i="49"/>
  <c r="W105" i="49"/>
  <c r="V105" i="49"/>
  <c r="U105" i="49"/>
  <c r="T105" i="49"/>
  <c r="S105" i="49"/>
  <c r="R105" i="49"/>
  <c r="Q105" i="49"/>
  <c r="P105" i="49"/>
  <c r="O105" i="49"/>
  <c r="N105" i="49"/>
  <c r="M105" i="49"/>
  <c r="L105" i="49"/>
  <c r="K105" i="49"/>
  <c r="J105" i="49"/>
  <c r="I105" i="49"/>
  <c r="H105" i="49"/>
  <c r="G105" i="49"/>
  <c r="F105" i="49"/>
  <c r="E105" i="49"/>
  <c r="D105" i="49"/>
  <c r="C105" i="49"/>
  <c r="AR54" i="49"/>
  <c r="AQ54" i="49"/>
  <c r="AP54" i="49"/>
  <c r="AO54" i="49"/>
  <c r="AN54" i="49"/>
  <c r="AM54" i="49"/>
  <c r="AL54" i="49"/>
  <c r="AK54" i="49"/>
  <c r="AJ54" i="49"/>
  <c r="AI54" i="49"/>
  <c r="AH54" i="49"/>
  <c r="AG54" i="49"/>
  <c r="AF54" i="49"/>
  <c r="AE54" i="49"/>
  <c r="AD54" i="49"/>
  <c r="AC54" i="49"/>
  <c r="AB54" i="49"/>
  <c r="AA54" i="49"/>
  <c r="Z54" i="49"/>
  <c r="Y54" i="49"/>
  <c r="X54" i="49"/>
  <c r="W54" i="49"/>
  <c r="V54" i="49"/>
  <c r="U54" i="49"/>
  <c r="T54" i="49"/>
  <c r="S54" i="49"/>
  <c r="R54" i="49"/>
  <c r="Q54" i="49"/>
  <c r="P54" i="49"/>
  <c r="O54" i="49"/>
  <c r="N54" i="49"/>
  <c r="M54" i="49"/>
  <c r="L54" i="49"/>
  <c r="K54" i="49"/>
  <c r="J54" i="49"/>
  <c r="I54" i="49"/>
  <c r="H54" i="49"/>
  <c r="G54" i="49"/>
  <c r="F54" i="49"/>
  <c r="E54" i="49"/>
  <c r="D54" i="49"/>
  <c r="C54" i="49"/>
  <c r="E54" i="33" l="1"/>
  <c r="E43" i="33"/>
  <c r="H43" i="33"/>
  <c r="H54" i="33"/>
  <c r="H27" i="33"/>
  <c r="G27" i="33"/>
  <c r="G54" i="33"/>
  <c r="G43" i="33"/>
  <c r="F54" i="33"/>
  <c r="F43" i="33"/>
  <c r="F27" i="33"/>
  <c r="E27" i="33"/>
  <c r="D27" i="33"/>
  <c r="D54" i="33"/>
  <c r="D43" i="33"/>
  <c r="C54" i="33"/>
  <c r="C43" i="33"/>
  <c r="C27" i="33"/>
  <c r="AR3" i="49"/>
  <c r="AQ3" i="49"/>
  <c r="AP3" i="49"/>
  <c r="AO3" i="49"/>
  <c r="AN3" i="49"/>
  <c r="AM3" i="49"/>
  <c r="AL3" i="49"/>
  <c r="AK3" i="49"/>
  <c r="AJ3" i="49"/>
  <c r="AI3" i="49"/>
  <c r="AH3" i="49"/>
  <c r="AG3" i="49"/>
  <c r="AF3" i="49"/>
  <c r="AE3" i="49"/>
  <c r="AD3" i="49"/>
  <c r="AC3" i="49"/>
  <c r="AB3" i="49"/>
  <c r="AA3" i="49"/>
  <c r="Z3" i="49"/>
  <c r="Y3" i="49"/>
  <c r="X3" i="49"/>
  <c r="W3" i="49"/>
  <c r="V3" i="49"/>
  <c r="U3" i="49"/>
  <c r="T3" i="49"/>
  <c r="S3" i="49"/>
  <c r="R3" i="49"/>
  <c r="Q3" i="49"/>
  <c r="P3" i="49"/>
  <c r="O3" i="49"/>
  <c r="N3" i="49"/>
  <c r="M3" i="49"/>
  <c r="L3" i="49"/>
  <c r="K3" i="49"/>
  <c r="J3" i="49"/>
  <c r="I3" i="49"/>
  <c r="H3" i="49"/>
  <c r="G3" i="49"/>
  <c r="F3" i="49"/>
  <c r="E3" i="49"/>
  <c r="D3" i="49"/>
  <c r="C3" i="49"/>
  <c r="I4" i="33" l="1"/>
  <c r="H3" i="33"/>
  <c r="G3" i="33"/>
  <c r="F4" i="33"/>
  <c r="B54" i="33"/>
  <c r="I54" i="33" s="1"/>
  <c r="B43" i="33"/>
  <c r="B27" i="33"/>
  <c r="I27" i="33" s="1"/>
  <c r="C38" i="33"/>
  <c r="I19" i="33"/>
  <c r="H19" i="33"/>
  <c r="G19" i="33"/>
  <c r="F19" i="33"/>
  <c r="E19" i="33"/>
  <c r="D19" i="33"/>
  <c r="C19" i="33"/>
  <c r="I18" i="33"/>
  <c r="H18" i="33"/>
  <c r="G18" i="33"/>
  <c r="F18" i="33"/>
  <c r="E18" i="33"/>
  <c r="D18" i="33"/>
  <c r="C18" i="33"/>
  <c r="I17" i="33"/>
  <c r="H17" i="33"/>
  <c r="G17" i="33"/>
  <c r="F17" i="33"/>
  <c r="E17" i="33"/>
  <c r="D17" i="33"/>
  <c r="C17" i="33"/>
  <c r="I16" i="33"/>
  <c r="H16" i="33"/>
  <c r="G16" i="33"/>
  <c r="F16" i="33"/>
  <c r="E16" i="33"/>
  <c r="D16" i="33"/>
  <c r="C16" i="33"/>
  <c r="I15" i="33"/>
  <c r="H15" i="33"/>
  <c r="G15" i="33"/>
  <c r="F15" i="33"/>
  <c r="E15" i="33"/>
  <c r="D15" i="33"/>
  <c r="C15" i="33"/>
  <c r="H38" i="33"/>
  <c r="I14" i="33"/>
  <c r="H14" i="33"/>
  <c r="G14" i="33"/>
  <c r="F14" i="33"/>
  <c r="E14" i="33"/>
  <c r="D14" i="33"/>
  <c r="C14" i="33"/>
  <c r="I13" i="33"/>
  <c r="H13" i="33"/>
  <c r="G13" i="33"/>
  <c r="F13" i="33"/>
  <c r="E13" i="33"/>
  <c r="D13" i="33"/>
  <c r="C13" i="33"/>
  <c r="I12" i="33"/>
  <c r="H12" i="33"/>
  <c r="G12" i="33"/>
  <c r="F12" i="33"/>
  <c r="E12" i="33"/>
  <c r="D12" i="33"/>
  <c r="C12" i="33"/>
  <c r="I11" i="33"/>
  <c r="H11" i="33"/>
  <c r="G11" i="33"/>
  <c r="F11" i="33"/>
  <c r="E11" i="33"/>
  <c r="D11" i="33"/>
  <c r="C11" i="33"/>
  <c r="I10" i="33"/>
  <c r="H10" i="33"/>
  <c r="G10" i="33"/>
  <c r="F10" i="33"/>
  <c r="E10" i="33"/>
  <c r="D10" i="33"/>
  <c r="C10" i="33"/>
  <c r="I9" i="33"/>
  <c r="H9" i="33"/>
  <c r="G9" i="33"/>
  <c r="F9" i="33"/>
  <c r="E9" i="33"/>
  <c r="D9" i="33"/>
  <c r="C9" i="33"/>
  <c r="I8" i="33"/>
  <c r="H8" i="33"/>
  <c r="G8" i="33"/>
  <c r="F8" i="33"/>
  <c r="E8" i="33"/>
  <c r="D8" i="33"/>
  <c r="C8" i="33"/>
  <c r="I7" i="33"/>
  <c r="H7" i="33"/>
  <c r="G7" i="33"/>
  <c r="F7" i="33"/>
  <c r="E7" i="33"/>
  <c r="D7" i="33"/>
  <c r="C7" i="33"/>
  <c r="I6" i="33"/>
  <c r="H6" i="33"/>
  <c r="G6" i="33"/>
  <c r="F6" i="33"/>
  <c r="E6" i="33"/>
  <c r="D6" i="33"/>
  <c r="C6" i="33"/>
  <c r="I21" i="33"/>
  <c r="H21" i="33"/>
  <c r="G21" i="33"/>
  <c r="F21" i="33"/>
  <c r="E21" i="33"/>
  <c r="D21" i="33"/>
  <c r="C21" i="33"/>
  <c r="H65" i="33"/>
  <c r="G65" i="33"/>
  <c r="F65" i="33"/>
  <c r="E65" i="33"/>
  <c r="D65" i="33"/>
  <c r="C65" i="33"/>
  <c r="H49" i="33"/>
  <c r="E49" i="33"/>
  <c r="D49" i="33"/>
  <c r="D3" i="33"/>
  <c r="G38" i="33"/>
  <c r="F38" i="33"/>
  <c r="E38" i="33"/>
  <c r="D38" i="33"/>
  <c r="I43" i="33" l="1"/>
  <c r="M2" i="33"/>
  <c r="N2" i="33"/>
  <c r="G20" i="33"/>
  <c r="G22" i="33" s="1"/>
  <c r="H20" i="33"/>
  <c r="H22" i="33" s="1"/>
  <c r="D20" i="33"/>
  <c r="D22" i="33" s="1"/>
  <c r="I55" i="33"/>
  <c r="E4" i="33"/>
  <c r="E20" i="33" s="1"/>
  <c r="E22" i="33" s="1"/>
  <c r="F20" i="33"/>
  <c r="F22" i="33" s="1"/>
  <c r="I28" i="33"/>
  <c r="I20" i="33"/>
  <c r="I22" i="33" s="1"/>
  <c r="B65" i="33"/>
  <c r="B49" i="33"/>
  <c r="B38" i="33"/>
  <c r="C49" i="33"/>
  <c r="C3" i="33"/>
  <c r="F49" i="33"/>
  <c r="G49" i="33"/>
  <c r="C20" i="33" l="1"/>
  <c r="C22" i="33" s="1"/>
  <c r="O2" i="33"/>
  <c r="C23" i="33"/>
  <c r="O2" i="7"/>
  <c r="S2" i="33" l="1"/>
  <c r="Q2" i="33"/>
  <c r="R2" i="33"/>
  <c r="V54" i="44"/>
  <c r="AG54" i="44"/>
  <c r="Q54" i="44"/>
  <c r="I54" i="44"/>
  <c r="AE101" i="44"/>
  <c r="W101" i="44"/>
  <c r="O101" i="44"/>
  <c r="G101" i="44"/>
  <c r="AD100" i="44"/>
  <c r="V100" i="44"/>
  <c r="N100" i="44"/>
  <c r="F100" i="44"/>
  <c r="AC99" i="44"/>
  <c r="U99" i="44"/>
  <c r="M99" i="44"/>
  <c r="E99" i="44"/>
  <c r="AB98" i="44"/>
  <c r="T98" i="44"/>
  <c r="L98" i="44"/>
  <c r="D98" i="44"/>
  <c r="AA97" i="44"/>
  <c r="S97" i="44"/>
  <c r="K97" i="44"/>
  <c r="C97" i="44"/>
  <c r="Z96" i="44"/>
  <c r="R96" i="44"/>
  <c r="J96" i="44"/>
  <c r="AG95" i="44"/>
  <c r="Y95" i="44"/>
  <c r="Q95" i="44"/>
  <c r="I95" i="44"/>
  <c r="AF94" i="44"/>
  <c r="X94" i="44"/>
  <c r="P94" i="44"/>
  <c r="H94" i="44"/>
  <c r="AE93" i="44"/>
  <c r="W93" i="44"/>
  <c r="O93" i="44"/>
  <c r="G93" i="44"/>
  <c r="AD92" i="44"/>
  <c r="V92" i="44"/>
  <c r="N92" i="44"/>
  <c r="F92" i="44"/>
  <c r="AC91" i="44"/>
  <c r="U91" i="44"/>
  <c r="M91" i="44"/>
  <c r="E91" i="44"/>
  <c r="AB90" i="44"/>
  <c r="T90" i="44"/>
  <c r="L90" i="44"/>
  <c r="D90" i="44"/>
  <c r="AA89" i="44"/>
  <c r="S89" i="44"/>
  <c r="K89" i="44"/>
  <c r="C89" i="44"/>
  <c r="Z88" i="44"/>
  <c r="R88" i="44"/>
  <c r="J88" i="44"/>
  <c r="AG87" i="44"/>
  <c r="Y87" i="44"/>
  <c r="Q87" i="44"/>
  <c r="I87" i="44"/>
  <c r="AF86" i="44"/>
  <c r="X86" i="44"/>
  <c r="P86" i="44"/>
  <c r="H86" i="44"/>
  <c r="AE85" i="44"/>
  <c r="W85" i="44"/>
  <c r="O85" i="44"/>
  <c r="G85" i="44"/>
  <c r="AD84" i="44"/>
  <c r="V84" i="44"/>
  <c r="N84" i="44"/>
  <c r="F84" i="44"/>
  <c r="AC83" i="44"/>
  <c r="U83" i="44"/>
  <c r="M83" i="44"/>
  <c r="E83" i="44"/>
  <c r="AB82" i="44"/>
  <c r="T82" i="44"/>
  <c r="L82" i="44"/>
  <c r="D82" i="44"/>
  <c r="AA81" i="44"/>
  <c r="S81" i="44"/>
  <c r="K81" i="44"/>
  <c r="C81" i="44"/>
  <c r="Z80" i="44"/>
  <c r="R80" i="44"/>
  <c r="J80" i="44"/>
  <c r="AG79" i="44"/>
  <c r="Y79" i="44"/>
  <c r="Q79" i="44"/>
  <c r="I79" i="44"/>
  <c r="AF78" i="44"/>
  <c r="X78" i="44"/>
  <c r="P78" i="44"/>
  <c r="H78" i="44"/>
  <c r="AE77" i="44"/>
  <c r="W77" i="44"/>
  <c r="O77" i="44"/>
  <c r="G77" i="44"/>
  <c r="AD76" i="44"/>
  <c r="V76" i="44"/>
  <c r="N76" i="44"/>
  <c r="F76" i="44"/>
  <c r="AC75" i="44"/>
  <c r="U75" i="44"/>
  <c r="M75" i="44"/>
  <c r="E75" i="44"/>
  <c r="AB74" i="44"/>
  <c r="T74" i="44"/>
  <c r="L74" i="44"/>
  <c r="D74" i="44"/>
  <c r="AA73" i="44"/>
  <c r="S73" i="44"/>
  <c r="K73" i="44"/>
  <c r="C73" i="44"/>
  <c r="Z72" i="44"/>
  <c r="R72" i="44"/>
  <c r="J72" i="44"/>
  <c r="AG71" i="44"/>
  <c r="Y71" i="44"/>
  <c r="Q71" i="44"/>
  <c r="I71" i="44"/>
  <c r="AF70" i="44"/>
  <c r="X70" i="44"/>
  <c r="P70" i="44"/>
  <c r="H70" i="44"/>
  <c r="AE69" i="44"/>
  <c r="W69" i="44"/>
  <c r="O69" i="44"/>
  <c r="G69" i="44"/>
  <c r="AD68" i="44"/>
  <c r="V68" i="44"/>
  <c r="N68" i="44"/>
  <c r="F68" i="44"/>
  <c r="AC67" i="44"/>
  <c r="U67" i="44"/>
  <c r="M67" i="44"/>
  <c r="E67" i="44"/>
  <c r="AB66" i="44"/>
  <c r="T66" i="44"/>
  <c r="L66" i="44"/>
  <c r="D66" i="44"/>
  <c r="AA65" i="44"/>
  <c r="S65" i="44"/>
  <c r="K65" i="44"/>
  <c r="C65" i="44"/>
  <c r="Z64" i="44"/>
  <c r="R64" i="44"/>
  <c r="J64" i="44"/>
  <c r="AG63" i="44"/>
  <c r="Y63" i="44"/>
  <c r="Q63" i="44"/>
  <c r="I63" i="44"/>
  <c r="AF62" i="44"/>
  <c r="X62" i="44"/>
  <c r="P62" i="44"/>
  <c r="H62" i="44"/>
  <c r="AE61" i="44"/>
  <c r="W61" i="44"/>
  <c r="O61" i="44"/>
  <c r="G61" i="44"/>
  <c r="AD60" i="44"/>
  <c r="V60" i="44"/>
  <c r="N60" i="44"/>
  <c r="F60" i="44"/>
  <c r="AC59" i="44"/>
  <c r="U59" i="44"/>
  <c r="M59" i="44"/>
  <c r="E59" i="44"/>
  <c r="AB58" i="44"/>
  <c r="T58" i="44"/>
  <c r="L58" i="44"/>
  <c r="D58" i="44"/>
  <c r="AA57" i="44"/>
  <c r="S57" i="44"/>
  <c r="K57" i="44"/>
  <c r="C57" i="44"/>
  <c r="Z56" i="44"/>
  <c r="R56" i="44"/>
  <c r="J56" i="44"/>
  <c r="AG55" i="44"/>
  <c r="Y55" i="44"/>
  <c r="Q55" i="44"/>
  <c r="I55" i="44"/>
  <c r="AD54" i="44"/>
  <c r="D101" i="44"/>
  <c r="Y54" i="44"/>
  <c r="AF54" i="44"/>
  <c r="X54" i="44"/>
  <c r="P54" i="44"/>
  <c r="H54" i="44"/>
  <c r="AD101" i="44"/>
  <c r="V101" i="44"/>
  <c r="N101" i="44"/>
  <c r="F101" i="44"/>
  <c r="AC100" i="44"/>
  <c r="U100" i="44"/>
  <c r="M100" i="44"/>
  <c r="E100" i="44"/>
  <c r="AB99" i="44"/>
  <c r="T99" i="44"/>
  <c r="L99" i="44"/>
  <c r="D99" i="44"/>
  <c r="AA98" i="44"/>
  <c r="S98" i="44"/>
  <c r="K98" i="44"/>
  <c r="C98" i="44"/>
  <c r="Z97" i="44"/>
  <c r="R97" i="44"/>
  <c r="J97" i="44"/>
  <c r="AG96" i="44"/>
  <c r="Y96" i="44"/>
  <c r="Q96" i="44"/>
  <c r="I96" i="44"/>
  <c r="AF95" i="44"/>
  <c r="X95" i="44"/>
  <c r="P95" i="44"/>
  <c r="H95" i="44"/>
  <c r="AE94" i="44"/>
  <c r="W94" i="44"/>
  <c r="O94" i="44"/>
  <c r="G94" i="44"/>
  <c r="AD93" i="44"/>
  <c r="V93" i="44"/>
  <c r="N93" i="44"/>
  <c r="F93" i="44"/>
  <c r="AC92" i="44"/>
  <c r="U92" i="44"/>
  <c r="M92" i="44"/>
  <c r="E92" i="44"/>
  <c r="AB91" i="44"/>
  <c r="T91" i="44"/>
  <c r="L91" i="44"/>
  <c r="D91" i="44"/>
  <c r="AA90" i="44"/>
  <c r="S90" i="44"/>
  <c r="K90" i="44"/>
  <c r="C90" i="44"/>
  <c r="Z89" i="44"/>
  <c r="R89" i="44"/>
  <c r="J89" i="44"/>
  <c r="AG88" i="44"/>
  <c r="Y88" i="44"/>
  <c r="Q88" i="44"/>
  <c r="I88" i="44"/>
  <c r="AF87" i="44"/>
  <c r="X87" i="44"/>
  <c r="P87" i="44"/>
  <c r="H87" i="44"/>
  <c r="AE86" i="44"/>
  <c r="W86" i="44"/>
  <c r="O86" i="44"/>
  <c r="G86" i="44"/>
  <c r="AD85" i="44"/>
  <c r="V85" i="44"/>
  <c r="N85" i="44"/>
  <c r="F85" i="44"/>
  <c r="AC84" i="44"/>
  <c r="U84" i="44"/>
  <c r="M84" i="44"/>
  <c r="E84" i="44"/>
  <c r="AB83" i="44"/>
  <c r="T83" i="44"/>
  <c r="L83" i="44"/>
  <c r="D83" i="44"/>
  <c r="AA82" i="44"/>
  <c r="S82" i="44"/>
  <c r="K82" i="44"/>
  <c r="C82" i="44"/>
  <c r="Z81" i="44"/>
  <c r="R81" i="44"/>
  <c r="J81" i="44"/>
  <c r="AG80" i="44"/>
  <c r="Y80" i="44"/>
  <c r="Q80" i="44"/>
  <c r="I80" i="44"/>
  <c r="AF79" i="44"/>
  <c r="X79" i="44"/>
  <c r="P79" i="44"/>
  <c r="H79" i="44"/>
  <c r="AE78" i="44"/>
  <c r="W78" i="44"/>
  <c r="O78" i="44"/>
  <c r="G78" i="44"/>
  <c r="AD77" i="44"/>
  <c r="V77" i="44"/>
  <c r="N77" i="44"/>
  <c r="F77" i="44"/>
  <c r="AC76" i="44"/>
  <c r="U76" i="44"/>
  <c r="M76" i="44"/>
  <c r="E76" i="44"/>
  <c r="AB75" i="44"/>
  <c r="T75" i="44"/>
  <c r="L75" i="44"/>
  <c r="D75" i="44"/>
  <c r="AA74" i="44"/>
  <c r="S74" i="44"/>
  <c r="K74" i="44"/>
  <c r="C74" i="44"/>
  <c r="Z73" i="44"/>
  <c r="R73" i="44"/>
  <c r="J73" i="44"/>
  <c r="AG72" i="44"/>
  <c r="Y72" i="44"/>
  <c r="Q72" i="44"/>
  <c r="I72" i="44"/>
  <c r="AF71" i="44"/>
  <c r="X71" i="44"/>
  <c r="P71" i="44"/>
  <c r="H71" i="44"/>
  <c r="AE70" i="44"/>
  <c r="W70" i="44"/>
  <c r="O70" i="44"/>
  <c r="G70" i="44"/>
  <c r="AD69" i="44"/>
  <c r="V69" i="44"/>
  <c r="N69" i="44"/>
  <c r="F69" i="44"/>
  <c r="AC68" i="44"/>
  <c r="U68" i="44"/>
  <c r="M68" i="44"/>
  <c r="E68" i="44"/>
  <c r="AB67" i="44"/>
  <c r="T67" i="44"/>
  <c r="L67" i="44"/>
  <c r="D67" i="44"/>
  <c r="AA66" i="44"/>
  <c r="S66" i="44"/>
  <c r="K66" i="44"/>
  <c r="C66" i="44"/>
  <c r="Z65" i="44"/>
  <c r="R65" i="44"/>
  <c r="J65" i="44"/>
  <c r="AG64" i="44"/>
  <c r="Y64" i="44"/>
  <c r="Q64" i="44"/>
  <c r="I64" i="44"/>
  <c r="AF63" i="44"/>
  <c r="X63" i="44"/>
  <c r="P63" i="44"/>
  <c r="H63" i="44"/>
  <c r="AE62" i="44"/>
  <c r="W62" i="44"/>
  <c r="O62" i="44"/>
  <c r="G62" i="44"/>
  <c r="AD61" i="44"/>
  <c r="V61" i="44"/>
  <c r="N61" i="44"/>
  <c r="F61" i="44"/>
  <c r="AC60" i="44"/>
  <c r="U60" i="44"/>
  <c r="M60" i="44"/>
  <c r="E60" i="44"/>
  <c r="AB59" i="44"/>
  <c r="T59" i="44"/>
  <c r="L59" i="44"/>
  <c r="D59" i="44"/>
  <c r="AA58" i="44"/>
  <c r="S58" i="44"/>
  <c r="K58" i="44"/>
  <c r="C58" i="44"/>
  <c r="Z57" i="44"/>
  <c r="R57" i="44"/>
  <c r="J57" i="44"/>
  <c r="AG56" i="44"/>
  <c r="Y56" i="44"/>
  <c r="Q56" i="44"/>
  <c r="I56" i="44"/>
  <c r="AF55" i="44"/>
  <c r="X55" i="44"/>
  <c r="P55" i="44"/>
  <c r="H55" i="44"/>
  <c r="AE54" i="44"/>
  <c r="W54" i="44"/>
  <c r="O54" i="44"/>
  <c r="G54" i="44"/>
  <c r="AC101" i="44"/>
  <c r="U101" i="44"/>
  <c r="M101" i="44"/>
  <c r="E101" i="44"/>
  <c r="AB100" i="44"/>
  <c r="T100" i="44"/>
  <c r="L100" i="44"/>
  <c r="D100" i="44"/>
  <c r="AA99" i="44"/>
  <c r="S99" i="44"/>
  <c r="K99" i="44"/>
  <c r="C99" i="44"/>
  <c r="Z98" i="44"/>
  <c r="R98" i="44"/>
  <c r="J98" i="44"/>
  <c r="AG97" i="44"/>
  <c r="Y97" i="44"/>
  <c r="Q97" i="44"/>
  <c r="I97" i="44"/>
  <c r="AF96" i="44"/>
  <c r="X96" i="44"/>
  <c r="P96" i="44"/>
  <c r="H96" i="44"/>
  <c r="AE95" i="44"/>
  <c r="W95" i="44"/>
  <c r="O95" i="44"/>
  <c r="G95" i="44"/>
  <c r="AD94" i="44"/>
  <c r="V94" i="44"/>
  <c r="N94" i="44"/>
  <c r="F94" i="44"/>
  <c r="AC93" i="44"/>
  <c r="U93" i="44"/>
  <c r="M93" i="44"/>
  <c r="E93" i="44"/>
  <c r="AB92" i="44"/>
  <c r="T92" i="44"/>
  <c r="L92" i="44"/>
  <c r="D92" i="44"/>
  <c r="AA91" i="44"/>
  <c r="S91" i="44"/>
  <c r="K91" i="44"/>
  <c r="C91" i="44"/>
  <c r="Z90" i="44"/>
  <c r="R90" i="44"/>
  <c r="J90" i="44"/>
  <c r="AG89" i="44"/>
  <c r="Y89" i="44"/>
  <c r="Q89" i="44"/>
  <c r="I89" i="44"/>
  <c r="AF88" i="44"/>
  <c r="X88" i="44"/>
  <c r="P88" i="44"/>
  <c r="H88" i="44"/>
  <c r="AE87" i="44"/>
  <c r="W87" i="44"/>
  <c r="O87" i="44"/>
  <c r="G87" i="44"/>
  <c r="AD86" i="44"/>
  <c r="V86" i="44"/>
  <c r="N86" i="44"/>
  <c r="F86" i="44"/>
  <c r="AC85" i="44"/>
  <c r="U85" i="44"/>
  <c r="M85" i="44"/>
  <c r="E85" i="44"/>
  <c r="AB84" i="44"/>
  <c r="T84" i="44"/>
  <c r="L84" i="44"/>
  <c r="D84" i="44"/>
  <c r="AA83" i="44"/>
  <c r="S83" i="44"/>
  <c r="K83" i="44"/>
  <c r="C83" i="44"/>
  <c r="Z82" i="44"/>
  <c r="R82" i="44"/>
  <c r="J82" i="44"/>
  <c r="AG81" i="44"/>
  <c r="Y81" i="44"/>
  <c r="Q81" i="44"/>
  <c r="I81" i="44"/>
  <c r="AF80" i="44"/>
  <c r="X80" i="44"/>
  <c r="P80" i="44"/>
  <c r="H80" i="44"/>
  <c r="AE79" i="44"/>
  <c r="W79" i="44"/>
  <c r="O79" i="44"/>
  <c r="G79" i="44"/>
  <c r="AD78" i="44"/>
  <c r="V78" i="44"/>
  <c r="N78" i="44"/>
  <c r="F78" i="44"/>
  <c r="AC77" i="44"/>
  <c r="U77" i="44"/>
  <c r="M77" i="44"/>
  <c r="E77" i="44"/>
  <c r="AB76" i="44"/>
  <c r="T76" i="44"/>
  <c r="L76" i="44"/>
  <c r="D76" i="44"/>
  <c r="AA75" i="44"/>
  <c r="S75" i="44"/>
  <c r="K75" i="44"/>
  <c r="C75" i="44"/>
  <c r="Z74" i="44"/>
  <c r="R74" i="44"/>
  <c r="J74" i="44"/>
  <c r="AG73" i="44"/>
  <c r="Y73" i="44"/>
  <c r="Q73" i="44"/>
  <c r="I73" i="44"/>
  <c r="AF72" i="44"/>
  <c r="X72" i="44"/>
  <c r="P72" i="44"/>
  <c r="H72" i="44"/>
  <c r="AE71" i="44"/>
  <c r="W71" i="44"/>
  <c r="O71" i="44"/>
  <c r="G71" i="44"/>
  <c r="AD70" i="44"/>
  <c r="V70" i="44"/>
  <c r="N70" i="44"/>
  <c r="F70" i="44"/>
  <c r="AC69" i="44"/>
  <c r="U69" i="44"/>
  <c r="M69" i="44"/>
  <c r="E69" i="44"/>
  <c r="AB68" i="44"/>
  <c r="T68" i="44"/>
  <c r="L68" i="44"/>
  <c r="D68" i="44"/>
  <c r="AA67" i="44"/>
  <c r="S67" i="44"/>
  <c r="K67" i="44"/>
  <c r="C67" i="44"/>
  <c r="Z66" i="44"/>
  <c r="R66" i="44"/>
  <c r="J66" i="44"/>
  <c r="AG65" i="44"/>
  <c r="Y65" i="44"/>
  <c r="Q65" i="44"/>
  <c r="I65" i="44"/>
  <c r="AF64" i="44"/>
  <c r="X64" i="44"/>
  <c r="P64" i="44"/>
  <c r="H64" i="44"/>
  <c r="AE63" i="44"/>
  <c r="W63" i="44"/>
  <c r="O63" i="44"/>
  <c r="G63" i="44"/>
  <c r="AD62" i="44"/>
  <c r="V62" i="44"/>
  <c r="N62" i="44"/>
  <c r="F62" i="44"/>
  <c r="AC61" i="44"/>
  <c r="U61" i="44"/>
  <c r="M61" i="44"/>
  <c r="E61" i="44"/>
  <c r="AB60" i="44"/>
  <c r="T60" i="44"/>
  <c r="L60" i="44"/>
  <c r="D60" i="44"/>
  <c r="AA59" i="44"/>
  <c r="S59" i="44"/>
  <c r="K59" i="44"/>
  <c r="C59" i="44"/>
  <c r="Z58" i="44"/>
  <c r="R58" i="44"/>
  <c r="J58" i="44"/>
  <c r="AG57" i="44"/>
  <c r="Y57" i="44"/>
  <c r="Q57" i="44"/>
  <c r="I57" i="44"/>
  <c r="AF56" i="44"/>
  <c r="X56" i="44"/>
  <c r="P56" i="44"/>
  <c r="H56" i="44"/>
  <c r="AE55" i="44"/>
  <c r="W55" i="44"/>
  <c r="O55" i="44"/>
  <c r="G55" i="44"/>
  <c r="AB101" i="44"/>
  <c r="K100" i="44"/>
  <c r="AG98" i="44"/>
  <c r="X97" i="44"/>
  <c r="W96" i="44"/>
  <c r="O96" i="44"/>
  <c r="G96" i="44"/>
  <c r="AD95" i="44"/>
  <c r="V95" i="44"/>
  <c r="N95" i="44"/>
  <c r="F95" i="44"/>
  <c r="AC94" i="44"/>
  <c r="U94" i="44"/>
  <c r="M94" i="44"/>
  <c r="E94" i="44"/>
  <c r="AB93" i="44"/>
  <c r="T93" i="44"/>
  <c r="L93" i="44"/>
  <c r="D93" i="44"/>
  <c r="AA92" i="44"/>
  <c r="S92" i="44"/>
  <c r="K92" i="44"/>
  <c r="C92" i="44"/>
  <c r="Z91" i="44"/>
  <c r="R91" i="44"/>
  <c r="J91" i="44"/>
  <c r="AG90" i="44"/>
  <c r="Y90" i="44"/>
  <c r="Q90" i="44"/>
  <c r="I90" i="44"/>
  <c r="AF89" i="44"/>
  <c r="X89" i="44"/>
  <c r="P89" i="44"/>
  <c r="H89" i="44"/>
  <c r="AE88" i="44"/>
  <c r="W88" i="44"/>
  <c r="O88" i="44"/>
  <c r="G88" i="44"/>
  <c r="AD87" i="44"/>
  <c r="V87" i="44"/>
  <c r="N87" i="44"/>
  <c r="F87" i="44"/>
  <c r="AC86" i="44"/>
  <c r="U86" i="44"/>
  <c r="M86" i="44"/>
  <c r="E86" i="44"/>
  <c r="AB85" i="44"/>
  <c r="T85" i="44"/>
  <c r="L85" i="44"/>
  <c r="D85" i="44"/>
  <c r="AA84" i="44"/>
  <c r="S84" i="44"/>
  <c r="K84" i="44"/>
  <c r="C84" i="44"/>
  <c r="Z83" i="44"/>
  <c r="R83" i="44"/>
  <c r="J83" i="44"/>
  <c r="AG82" i="44"/>
  <c r="Y82" i="44"/>
  <c r="Q82" i="44"/>
  <c r="I82" i="44"/>
  <c r="AF81" i="44"/>
  <c r="X81" i="44"/>
  <c r="P81" i="44"/>
  <c r="H81" i="44"/>
  <c r="AE80" i="44"/>
  <c r="W80" i="44"/>
  <c r="O80" i="44"/>
  <c r="G80" i="44"/>
  <c r="AD79" i="44"/>
  <c r="V79" i="44"/>
  <c r="N79" i="44"/>
  <c r="F79" i="44"/>
  <c r="AC78" i="44"/>
  <c r="U78" i="44"/>
  <c r="M78" i="44"/>
  <c r="E78" i="44"/>
  <c r="AB77" i="44"/>
  <c r="T77" i="44"/>
  <c r="L77" i="44"/>
  <c r="D77" i="44"/>
  <c r="AA76" i="44"/>
  <c r="S76" i="44"/>
  <c r="K76" i="44"/>
  <c r="C76" i="44"/>
  <c r="Z75" i="44"/>
  <c r="R75" i="44"/>
  <c r="J75" i="44"/>
  <c r="AG74" i="44"/>
  <c r="Y74" i="44"/>
  <c r="Q74" i="44"/>
  <c r="I74" i="44"/>
  <c r="AF73" i="44"/>
  <c r="X73" i="44"/>
  <c r="P73" i="44"/>
  <c r="H73" i="44"/>
  <c r="AE72" i="44"/>
  <c r="W72" i="44"/>
  <c r="O72" i="44"/>
  <c r="G72" i="44"/>
  <c r="AD71" i="44"/>
  <c r="V71" i="44"/>
  <c r="N71" i="44"/>
  <c r="F71" i="44"/>
  <c r="AC70" i="44"/>
  <c r="U70" i="44"/>
  <c r="M70" i="44"/>
  <c r="E70" i="44"/>
  <c r="AB69" i="44"/>
  <c r="T69" i="44"/>
  <c r="L69" i="44"/>
  <c r="D69" i="44"/>
  <c r="AA68" i="44"/>
  <c r="S68" i="44"/>
  <c r="K68" i="44"/>
  <c r="C68" i="44"/>
  <c r="Z67" i="44"/>
  <c r="R67" i="44"/>
  <c r="J67" i="44"/>
  <c r="AG66" i="44"/>
  <c r="Y66" i="44"/>
  <c r="Q66" i="44"/>
  <c r="I66" i="44"/>
  <c r="AF65" i="44"/>
  <c r="X65" i="44"/>
  <c r="P65" i="44"/>
  <c r="H65" i="44"/>
  <c r="AE64" i="44"/>
  <c r="W64" i="44"/>
  <c r="O64" i="44"/>
  <c r="G64" i="44"/>
  <c r="AD63" i="44"/>
  <c r="V63" i="44"/>
  <c r="N63" i="44"/>
  <c r="F63" i="44"/>
  <c r="AC62" i="44"/>
  <c r="U62" i="44"/>
  <c r="M62" i="44"/>
  <c r="E62" i="44"/>
  <c r="AB61" i="44"/>
  <c r="T61" i="44"/>
  <c r="L61" i="44"/>
  <c r="D61" i="44"/>
  <c r="AA60" i="44"/>
  <c r="S60" i="44"/>
  <c r="K60" i="44"/>
  <c r="C60" i="44"/>
  <c r="Z59" i="44"/>
  <c r="R59" i="44"/>
  <c r="J59" i="44"/>
  <c r="AG58" i="44"/>
  <c r="Y58" i="44"/>
  <c r="Q58" i="44"/>
  <c r="I58" i="44"/>
  <c r="AF57" i="44"/>
  <c r="X57" i="44"/>
  <c r="P57" i="44"/>
  <c r="H57" i="44"/>
  <c r="AE56" i="44"/>
  <c r="W56" i="44"/>
  <c r="O56" i="44"/>
  <c r="G56" i="44"/>
  <c r="AD55" i="44"/>
  <c r="V55" i="44"/>
  <c r="N55" i="44"/>
  <c r="F55" i="44"/>
  <c r="T101" i="44"/>
  <c r="Z99" i="44"/>
  <c r="Q98" i="44"/>
  <c r="H97" i="44"/>
  <c r="M54" i="44"/>
  <c r="S101" i="44"/>
  <c r="K101" i="44"/>
  <c r="C101" i="44"/>
  <c r="Z100" i="44"/>
  <c r="R100" i="44"/>
  <c r="J100" i="44"/>
  <c r="AG99" i="44"/>
  <c r="Y99" i="44"/>
  <c r="Q99" i="44"/>
  <c r="I99" i="44"/>
  <c r="AF98" i="44"/>
  <c r="X98" i="44"/>
  <c r="P98" i="44"/>
  <c r="H98" i="44"/>
  <c r="AE97" i="44"/>
  <c r="W97" i="44"/>
  <c r="O97" i="44"/>
  <c r="G97" i="44"/>
  <c r="AD96" i="44"/>
  <c r="V96" i="44"/>
  <c r="N96" i="44"/>
  <c r="F96" i="44"/>
  <c r="AC95" i="44"/>
  <c r="U95" i="44"/>
  <c r="M95" i="44"/>
  <c r="E95" i="44"/>
  <c r="AB94" i="44"/>
  <c r="T94" i="44"/>
  <c r="L94" i="44"/>
  <c r="D94" i="44"/>
  <c r="AA93" i="44"/>
  <c r="S93" i="44"/>
  <c r="K93" i="44"/>
  <c r="C93" i="44"/>
  <c r="Z92" i="44"/>
  <c r="R92" i="44"/>
  <c r="J92" i="44"/>
  <c r="AG91" i="44"/>
  <c r="Y91" i="44"/>
  <c r="Q91" i="44"/>
  <c r="I91" i="44"/>
  <c r="AF90" i="44"/>
  <c r="X90" i="44"/>
  <c r="P90" i="44"/>
  <c r="H90" i="44"/>
  <c r="AE89" i="44"/>
  <c r="W89" i="44"/>
  <c r="O89" i="44"/>
  <c r="G89" i="44"/>
  <c r="AD88" i="44"/>
  <c r="V88" i="44"/>
  <c r="N88" i="44"/>
  <c r="F88" i="44"/>
  <c r="AC87" i="44"/>
  <c r="U87" i="44"/>
  <c r="M87" i="44"/>
  <c r="E87" i="44"/>
  <c r="AB86" i="44"/>
  <c r="T86" i="44"/>
  <c r="L86" i="44"/>
  <c r="D86" i="44"/>
  <c r="AA85" i="44"/>
  <c r="S85" i="44"/>
  <c r="K85" i="44"/>
  <c r="C85" i="44"/>
  <c r="Z84" i="44"/>
  <c r="R84" i="44"/>
  <c r="J84" i="44"/>
  <c r="AG83" i="44"/>
  <c r="Y83" i="44"/>
  <c r="Q83" i="44"/>
  <c r="I83" i="44"/>
  <c r="AF82" i="44"/>
  <c r="X82" i="44"/>
  <c r="P82" i="44"/>
  <c r="H82" i="44"/>
  <c r="AE81" i="44"/>
  <c r="W81" i="44"/>
  <c r="O81" i="44"/>
  <c r="G81" i="44"/>
  <c r="AD80" i="44"/>
  <c r="V80" i="44"/>
  <c r="N80" i="44"/>
  <c r="F80" i="44"/>
  <c r="AC79" i="44"/>
  <c r="U79" i="44"/>
  <c r="M79" i="44"/>
  <c r="E79" i="44"/>
  <c r="AB78" i="44"/>
  <c r="T78" i="44"/>
  <c r="L78" i="44"/>
  <c r="D78" i="44"/>
  <c r="AA77" i="44"/>
  <c r="S77" i="44"/>
  <c r="K77" i="44"/>
  <c r="C77" i="44"/>
  <c r="Z76" i="44"/>
  <c r="R76" i="44"/>
  <c r="J76" i="44"/>
  <c r="AG75" i="44"/>
  <c r="Y75" i="44"/>
  <c r="Q75" i="44"/>
  <c r="I75" i="44"/>
  <c r="AF74" i="44"/>
  <c r="X74" i="44"/>
  <c r="P74" i="44"/>
  <c r="H74" i="44"/>
  <c r="AE73" i="44"/>
  <c r="W73" i="44"/>
  <c r="O73" i="44"/>
  <c r="G73" i="44"/>
  <c r="AD72" i="44"/>
  <c r="V72" i="44"/>
  <c r="N72" i="44"/>
  <c r="F72" i="44"/>
  <c r="AC71" i="44"/>
  <c r="U71" i="44"/>
  <c r="M71" i="44"/>
  <c r="E71" i="44"/>
  <c r="AB70" i="44"/>
  <c r="T70" i="44"/>
  <c r="L70" i="44"/>
  <c r="D70" i="44"/>
  <c r="AA69" i="44"/>
  <c r="S69" i="44"/>
  <c r="K69" i="44"/>
  <c r="C69" i="44"/>
  <c r="Z68" i="44"/>
  <c r="R68" i="44"/>
  <c r="J68" i="44"/>
  <c r="AG67" i="44"/>
  <c r="Y67" i="44"/>
  <c r="Q67" i="44"/>
  <c r="I67" i="44"/>
  <c r="AF66" i="44"/>
  <c r="X66" i="44"/>
  <c r="P66" i="44"/>
  <c r="H66" i="44"/>
  <c r="AE65" i="44"/>
  <c r="W65" i="44"/>
  <c r="O65" i="44"/>
  <c r="G65" i="44"/>
  <c r="AD64" i="44"/>
  <c r="V64" i="44"/>
  <c r="N64" i="44"/>
  <c r="F64" i="44"/>
  <c r="AC63" i="44"/>
  <c r="U63" i="44"/>
  <c r="M63" i="44"/>
  <c r="E63" i="44"/>
  <c r="AB62" i="44"/>
  <c r="T62" i="44"/>
  <c r="L62" i="44"/>
  <c r="D62" i="44"/>
  <c r="AA61" i="44"/>
  <c r="S61" i="44"/>
  <c r="K61" i="44"/>
  <c r="C61" i="44"/>
  <c r="Z60" i="44"/>
  <c r="R60" i="44"/>
  <c r="J60" i="44"/>
  <c r="AG59" i="44"/>
  <c r="Y59" i="44"/>
  <c r="Q59" i="44"/>
  <c r="I59" i="44"/>
  <c r="AF58" i="44"/>
  <c r="X58" i="44"/>
  <c r="P58" i="44"/>
  <c r="H58" i="44"/>
  <c r="AE57" i="44"/>
  <c r="W57" i="44"/>
  <c r="O57" i="44"/>
  <c r="G57" i="44"/>
  <c r="AD56" i="44"/>
  <c r="V56" i="44"/>
  <c r="N56" i="44"/>
  <c r="F56" i="44"/>
  <c r="AC55" i="44"/>
  <c r="U55" i="44"/>
  <c r="M55" i="44"/>
  <c r="E55" i="44"/>
  <c r="N54" i="44"/>
  <c r="S100" i="44"/>
  <c r="R99" i="44"/>
  <c r="I98" i="44"/>
  <c r="AE96" i="44"/>
  <c r="E54" i="44"/>
  <c r="T54" i="44"/>
  <c r="R101" i="44"/>
  <c r="J101" i="44"/>
  <c r="AG100" i="44"/>
  <c r="Y100" i="44"/>
  <c r="Q100" i="44"/>
  <c r="I100" i="44"/>
  <c r="AF99" i="44"/>
  <c r="X99" i="44"/>
  <c r="P99" i="44"/>
  <c r="H99" i="44"/>
  <c r="AE98" i="44"/>
  <c r="W98" i="44"/>
  <c r="O98" i="44"/>
  <c r="G98" i="44"/>
  <c r="AD97" i="44"/>
  <c r="V97" i="44"/>
  <c r="N97" i="44"/>
  <c r="F97" i="44"/>
  <c r="AC96" i="44"/>
  <c r="U96" i="44"/>
  <c r="M96" i="44"/>
  <c r="E96" i="44"/>
  <c r="AB95" i="44"/>
  <c r="T95" i="44"/>
  <c r="L95" i="44"/>
  <c r="D95" i="44"/>
  <c r="AA94" i="44"/>
  <c r="S94" i="44"/>
  <c r="K94" i="44"/>
  <c r="C94" i="44"/>
  <c r="Z93" i="44"/>
  <c r="R93" i="44"/>
  <c r="J93" i="44"/>
  <c r="AG92" i="44"/>
  <c r="Y92" i="44"/>
  <c r="Q92" i="44"/>
  <c r="I92" i="44"/>
  <c r="AF91" i="44"/>
  <c r="X91" i="44"/>
  <c r="P91" i="44"/>
  <c r="H91" i="44"/>
  <c r="AE90" i="44"/>
  <c r="W90" i="44"/>
  <c r="O90" i="44"/>
  <c r="G90" i="44"/>
  <c r="AD89" i="44"/>
  <c r="V89" i="44"/>
  <c r="N89" i="44"/>
  <c r="F89" i="44"/>
  <c r="AC88" i="44"/>
  <c r="U88" i="44"/>
  <c r="M88" i="44"/>
  <c r="E88" i="44"/>
  <c r="AB87" i="44"/>
  <c r="T87" i="44"/>
  <c r="L87" i="44"/>
  <c r="D87" i="44"/>
  <c r="AA86" i="44"/>
  <c r="S86" i="44"/>
  <c r="K86" i="44"/>
  <c r="C86" i="44"/>
  <c r="Z85" i="44"/>
  <c r="R85" i="44"/>
  <c r="J85" i="44"/>
  <c r="AG84" i="44"/>
  <c r="Y84" i="44"/>
  <c r="Q84" i="44"/>
  <c r="I84" i="44"/>
  <c r="AF83" i="44"/>
  <c r="X83" i="44"/>
  <c r="P83" i="44"/>
  <c r="H83" i="44"/>
  <c r="AE82" i="44"/>
  <c r="W82" i="44"/>
  <c r="O82" i="44"/>
  <c r="G82" i="44"/>
  <c r="AD81" i="44"/>
  <c r="V81" i="44"/>
  <c r="N81" i="44"/>
  <c r="F81" i="44"/>
  <c r="AC80" i="44"/>
  <c r="U80" i="44"/>
  <c r="M80" i="44"/>
  <c r="E80" i="44"/>
  <c r="AB79" i="44"/>
  <c r="T79" i="44"/>
  <c r="L79" i="44"/>
  <c r="D79" i="44"/>
  <c r="AA78" i="44"/>
  <c r="S78" i="44"/>
  <c r="K78" i="44"/>
  <c r="C78" i="44"/>
  <c r="Z77" i="44"/>
  <c r="R77" i="44"/>
  <c r="J77" i="44"/>
  <c r="AG76" i="44"/>
  <c r="Y76" i="44"/>
  <c r="Q76" i="44"/>
  <c r="I76" i="44"/>
  <c r="AF75" i="44"/>
  <c r="X75" i="44"/>
  <c r="P75" i="44"/>
  <c r="H75" i="44"/>
  <c r="AE74" i="44"/>
  <c r="W74" i="44"/>
  <c r="O74" i="44"/>
  <c r="G74" i="44"/>
  <c r="AD73" i="44"/>
  <c r="V73" i="44"/>
  <c r="N73" i="44"/>
  <c r="F73" i="44"/>
  <c r="AC72" i="44"/>
  <c r="U72" i="44"/>
  <c r="M72" i="44"/>
  <c r="E72" i="44"/>
  <c r="AB71" i="44"/>
  <c r="T71" i="44"/>
  <c r="L71" i="44"/>
  <c r="D71" i="44"/>
  <c r="AA70" i="44"/>
  <c r="S70" i="44"/>
  <c r="K70" i="44"/>
  <c r="C70" i="44"/>
  <c r="Z69" i="44"/>
  <c r="R69" i="44"/>
  <c r="J69" i="44"/>
  <c r="AG68" i="44"/>
  <c r="Y68" i="44"/>
  <c r="Q68" i="44"/>
  <c r="I68" i="44"/>
  <c r="AF67" i="44"/>
  <c r="X67" i="44"/>
  <c r="P67" i="44"/>
  <c r="H67" i="44"/>
  <c r="AE66" i="44"/>
  <c r="W66" i="44"/>
  <c r="O66" i="44"/>
  <c r="G66" i="44"/>
  <c r="AD65" i="44"/>
  <c r="V65" i="44"/>
  <c r="N65" i="44"/>
  <c r="F65" i="44"/>
  <c r="AC64" i="44"/>
  <c r="U64" i="44"/>
  <c r="M64" i="44"/>
  <c r="E64" i="44"/>
  <c r="AB63" i="44"/>
  <c r="T63" i="44"/>
  <c r="L63" i="44"/>
  <c r="D63" i="44"/>
  <c r="AA62" i="44"/>
  <c r="S62" i="44"/>
  <c r="K62" i="44"/>
  <c r="C62" i="44"/>
  <c r="Z61" i="44"/>
  <c r="R61" i="44"/>
  <c r="J61" i="44"/>
  <c r="AG60" i="44"/>
  <c r="Y60" i="44"/>
  <c r="Q60" i="44"/>
  <c r="I60" i="44"/>
  <c r="AF59" i="44"/>
  <c r="X59" i="44"/>
  <c r="P59" i="44"/>
  <c r="H59" i="44"/>
  <c r="AE58" i="44"/>
  <c r="W58" i="44"/>
  <c r="O58" i="44"/>
  <c r="G58" i="44"/>
  <c r="AD57" i="44"/>
  <c r="V57" i="44"/>
  <c r="N57" i="44"/>
  <c r="F57" i="44"/>
  <c r="AC56" i="44"/>
  <c r="U56" i="44"/>
  <c r="M56" i="44"/>
  <c r="E56" i="44"/>
  <c r="AB55" i="44"/>
  <c r="T55" i="44"/>
  <c r="L55" i="44"/>
  <c r="D55" i="44"/>
  <c r="F54" i="44"/>
  <c r="AA100" i="44"/>
  <c r="J99" i="44"/>
  <c r="AF97" i="44"/>
  <c r="AC54" i="44"/>
  <c r="AA101" i="44"/>
  <c r="L54" i="44"/>
  <c r="Z101" i="44"/>
  <c r="S54" i="44"/>
  <c r="AG101" i="44"/>
  <c r="Q101" i="44"/>
  <c r="AF100" i="44"/>
  <c r="P100" i="44"/>
  <c r="AE99" i="44"/>
  <c r="W99" i="44"/>
  <c r="O99" i="44"/>
  <c r="G99" i="44"/>
  <c r="AD98" i="44"/>
  <c r="V98" i="44"/>
  <c r="N98" i="44"/>
  <c r="F98" i="44"/>
  <c r="AC97" i="44"/>
  <c r="U97" i="44"/>
  <c r="M97" i="44"/>
  <c r="E97" i="44"/>
  <c r="AB96" i="44"/>
  <c r="T96" i="44"/>
  <c r="L96" i="44"/>
  <c r="D96" i="44"/>
  <c r="AA95" i="44"/>
  <c r="S95" i="44"/>
  <c r="K95" i="44"/>
  <c r="C95" i="44"/>
  <c r="Z94" i="44"/>
  <c r="R94" i="44"/>
  <c r="J94" i="44"/>
  <c r="AG93" i="44"/>
  <c r="Y93" i="44"/>
  <c r="Q93" i="44"/>
  <c r="I93" i="44"/>
  <c r="AF92" i="44"/>
  <c r="X92" i="44"/>
  <c r="P92" i="44"/>
  <c r="H92" i="44"/>
  <c r="AE91" i="44"/>
  <c r="W91" i="44"/>
  <c r="O91" i="44"/>
  <c r="G91" i="44"/>
  <c r="AD90" i="44"/>
  <c r="V90" i="44"/>
  <c r="N90" i="44"/>
  <c r="F90" i="44"/>
  <c r="AC89" i="44"/>
  <c r="U89" i="44"/>
  <c r="M89" i="44"/>
  <c r="E89" i="44"/>
  <c r="AB88" i="44"/>
  <c r="T88" i="44"/>
  <c r="L88" i="44"/>
  <c r="D88" i="44"/>
  <c r="AA87" i="44"/>
  <c r="S87" i="44"/>
  <c r="K87" i="44"/>
  <c r="C87" i="44"/>
  <c r="Z86" i="44"/>
  <c r="R86" i="44"/>
  <c r="J86" i="44"/>
  <c r="AG85" i="44"/>
  <c r="Y85" i="44"/>
  <c r="Q85" i="44"/>
  <c r="I85" i="44"/>
  <c r="AF84" i="44"/>
  <c r="X84" i="44"/>
  <c r="P84" i="44"/>
  <c r="H84" i="44"/>
  <c r="AE83" i="44"/>
  <c r="W83" i="44"/>
  <c r="O83" i="44"/>
  <c r="G83" i="44"/>
  <c r="AD82" i="44"/>
  <c r="V82" i="44"/>
  <c r="N82" i="44"/>
  <c r="F82" i="44"/>
  <c r="AC81" i="44"/>
  <c r="U81" i="44"/>
  <c r="M81" i="44"/>
  <c r="E81" i="44"/>
  <c r="AB80" i="44"/>
  <c r="T80" i="44"/>
  <c r="L80" i="44"/>
  <c r="D80" i="44"/>
  <c r="AA79" i="44"/>
  <c r="S79" i="44"/>
  <c r="K79" i="44"/>
  <c r="C79" i="44"/>
  <c r="Z78" i="44"/>
  <c r="R78" i="44"/>
  <c r="J78" i="44"/>
  <c r="AG77" i="44"/>
  <c r="Y77" i="44"/>
  <c r="Q77" i="44"/>
  <c r="I77" i="44"/>
  <c r="AF76" i="44"/>
  <c r="X76" i="44"/>
  <c r="P76" i="44"/>
  <c r="H76" i="44"/>
  <c r="AE75" i="44"/>
  <c r="W75" i="44"/>
  <c r="O75" i="44"/>
  <c r="G75" i="44"/>
  <c r="AD74" i="44"/>
  <c r="V74" i="44"/>
  <c r="N74" i="44"/>
  <c r="F74" i="44"/>
  <c r="AC73" i="44"/>
  <c r="U73" i="44"/>
  <c r="M73" i="44"/>
  <c r="E73" i="44"/>
  <c r="AB72" i="44"/>
  <c r="T72" i="44"/>
  <c r="L72" i="44"/>
  <c r="D72" i="44"/>
  <c r="AA71" i="44"/>
  <c r="S71" i="44"/>
  <c r="K71" i="44"/>
  <c r="C71" i="44"/>
  <c r="Z70" i="44"/>
  <c r="R70" i="44"/>
  <c r="J70" i="44"/>
  <c r="AG69" i="44"/>
  <c r="Y69" i="44"/>
  <c r="Q69" i="44"/>
  <c r="I69" i="44"/>
  <c r="AF68" i="44"/>
  <c r="X68" i="44"/>
  <c r="P68" i="44"/>
  <c r="H68" i="44"/>
  <c r="AE67" i="44"/>
  <c r="W67" i="44"/>
  <c r="O67" i="44"/>
  <c r="G67" i="44"/>
  <c r="AD66" i="44"/>
  <c r="V66" i="44"/>
  <c r="N66" i="44"/>
  <c r="F66" i="44"/>
  <c r="AC65" i="44"/>
  <c r="U65" i="44"/>
  <c r="M65" i="44"/>
  <c r="E65" i="44"/>
  <c r="AB64" i="44"/>
  <c r="T64" i="44"/>
  <c r="L64" i="44"/>
  <c r="D64" i="44"/>
  <c r="AA63" i="44"/>
  <c r="S63" i="44"/>
  <c r="K63" i="44"/>
  <c r="C63" i="44"/>
  <c r="Z62" i="44"/>
  <c r="R62" i="44"/>
  <c r="J62" i="44"/>
  <c r="AG61" i="44"/>
  <c r="Y61" i="44"/>
  <c r="Q61" i="44"/>
  <c r="I61" i="44"/>
  <c r="AF60" i="44"/>
  <c r="X60" i="44"/>
  <c r="P60" i="44"/>
  <c r="H60" i="44"/>
  <c r="AE59" i="44"/>
  <c r="W59" i="44"/>
  <c r="O59" i="44"/>
  <c r="G59" i="44"/>
  <c r="AD58" i="44"/>
  <c r="V58" i="44"/>
  <c r="N58" i="44"/>
  <c r="F58" i="44"/>
  <c r="AC57" i="44"/>
  <c r="U57" i="44"/>
  <c r="M57" i="44"/>
  <c r="E57" i="44"/>
  <c r="AB56" i="44"/>
  <c r="T56" i="44"/>
  <c r="L56" i="44"/>
  <c r="D56" i="44"/>
  <c r="AA55" i="44"/>
  <c r="S55" i="44"/>
  <c r="K55" i="44"/>
  <c r="C55" i="44"/>
  <c r="L101" i="44"/>
  <c r="C100" i="44"/>
  <c r="Y98" i="44"/>
  <c r="P97" i="44"/>
  <c r="U54" i="44"/>
  <c r="AB54" i="44"/>
  <c r="D54" i="44"/>
  <c r="AA54" i="44"/>
  <c r="K54" i="44"/>
  <c r="Y101" i="44"/>
  <c r="I101" i="44"/>
  <c r="X100" i="44"/>
  <c r="H100" i="44"/>
  <c r="C54" i="44"/>
  <c r="Z54" i="44"/>
  <c r="R54" i="44"/>
  <c r="J54" i="44"/>
  <c r="AF101" i="44"/>
  <c r="X101" i="44"/>
  <c r="P101" i="44"/>
  <c r="H101" i="44"/>
  <c r="AE100" i="44"/>
  <c r="W100" i="44"/>
  <c r="O100" i="44"/>
  <c r="G100" i="44"/>
  <c r="AD99" i="44"/>
  <c r="V99" i="44"/>
  <c r="N99" i="44"/>
  <c r="F99" i="44"/>
  <c r="AC98" i="44"/>
  <c r="U98" i="44"/>
  <c r="M98" i="44"/>
  <c r="E98" i="44"/>
  <c r="AB97" i="44"/>
  <c r="T97" i="44"/>
  <c r="L97" i="44"/>
  <c r="D97" i="44"/>
  <c r="AA96" i="44"/>
  <c r="S96" i="44"/>
  <c r="K96" i="44"/>
  <c r="C96" i="44"/>
  <c r="Z95" i="44"/>
  <c r="R95" i="44"/>
  <c r="J95" i="44"/>
  <c r="AG94" i="44"/>
  <c r="Y94" i="44"/>
  <c r="Q94" i="44"/>
  <c r="I94" i="44"/>
  <c r="AF93" i="44"/>
  <c r="X93" i="44"/>
  <c r="P93" i="44"/>
  <c r="H93" i="44"/>
  <c r="AE92" i="44"/>
  <c r="W92" i="44"/>
  <c r="O92" i="44"/>
  <c r="G92" i="44"/>
  <c r="AD91" i="44"/>
  <c r="V91" i="44"/>
  <c r="N91" i="44"/>
  <c r="F91" i="44"/>
  <c r="AC90" i="44"/>
  <c r="U90" i="44"/>
  <c r="M90" i="44"/>
  <c r="E90" i="44"/>
  <c r="AB89" i="44"/>
  <c r="T89" i="44"/>
  <c r="L89" i="44"/>
  <c r="D89" i="44"/>
  <c r="AA88" i="44"/>
  <c r="S88" i="44"/>
  <c r="K88" i="44"/>
  <c r="C88" i="44"/>
  <c r="Z87" i="44"/>
  <c r="R87" i="44"/>
  <c r="J87" i="44"/>
  <c r="AG86" i="44"/>
  <c r="Y86" i="44"/>
  <c r="Q86" i="44"/>
  <c r="I86" i="44"/>
  <c r="AF85" i="44"/>
  <c r="X85" i="44"/>
  <c r="P85" i="44"/>
  <c r="H85" i="44"/>
  <c r="AE84" i="44"/>
  <c r="W84" i="44"/>
  <c r="O84" i="44"/>
  <c r="G84" i="44"/>
  <c r="AD83" i="44"/>
  <c r="V83" i="44"/>
  <c r="N83" i="44"/>
  <c r="F83" i="44"/>
  <c r="AC82" i="44"/>
  <c r="U82" i="44"/>
  <c r="M82" i="44"/>
  <c r="E82" i="44"/>
  <c r="AB81" i="44"/>
  <c r="T81" i="44"/>
  <c r="L81" i="44"/>
  <c r="D81" i="44"/>
  <c r="AA80" i="44"/>
  <c r="S80" i="44"/>
  <c r="K80" i="44"/>
  <c r="C80" i="44"/>
  <c r="Z79" i="44"/>
  <c r="R79" i="44"/>
  <c r="J79" i="44"/>
  <c r="AG78" i="44"/>
  <c r="Y78" i="44"/>
  <c r="Q78" i="44"/>
  <c r="I78" i="44"/>
  <c r="AF77" i="44"/>
  <c r="X77" i="44"/>
  <c r="P77" i="44"/>
  <c r="H77" i="44"/>
  <c r="AE76" i="44"/>
  <c r="W76" i="44"/>
  <c r="O76" i="44"/>
  <c r="G76" i="44"/>
  <c r="AD75" i="44"/>
  <c r="V75" i="44"/>
  <c r="N75" i="44"/>
  <c r="F75" i="44"/>
  <c r="AC74" i="44"/>
  <c r="U74" i="44"/>
  <c r="M74" i="44"/>
  <c r="E74" i="44"/>
  <c r="AB73" i="44"/>
  <c r="T73" i="44"/>
  <c r="L73" i="44"/>
  <c r="D73" i="44"/>
  <c r="AA72" i="44"/>
  <c r="S72" i="44"/>
  <c r="K72" i="44"/>
  <c r="C72" i="44"/>
  <c r="Z71" i="44"/>
  <c r="R71" i="44"/>
  <c r="J71" i="44"/>
  <c r="AG70" i="44"/>
  <c r="Y70" i="44"/>
  <c r="Q70" i="44"/>
  <c r="I70" i="44"/>
  <c r="AF69" i="44"/>
  <c r="X69" i="44"/>
  <c r="P69" i="44"/>
  <c r="H69" i="44"/>
  <c r="AE68" i="44"/>
  <c r="W68" i="44"/>
  <c r="O68" i="44"/>
  <c r="G68" i="44"/>
  <c r="AD67" i="44"/>
  <c r="V67" i="44"/>
  <c r="N67" i="44"/>
  <c r="F67" i="44"/>
  <c r="AC66" i="44"/>
  <c r="U66" i="44"/>
  <c r="M66" i="44"/>
  <c r="E66" i="44"/>
  <c r="AB65" i="44"/>
  <c r="T65" i="44"/>
  <c r="L65" i="44"/>
  <c r="D65" i="44"/>
  <c r="AA64" i="44"/>
  <c r="S64" i="44"/>
  <c r="K64" i="44"/>
  <c r="C64" i="44"/>
  <c r="Z63" i="44"/>
  <c r="R63" i="44"/>
  <c r="J63" i="44"/>
  <c r="AG62" i="44"/>
  <c r="Y62" i="44"/>
  <c r="Q62" i="44"/>
  <c r="I62" i="44"/>
  <c r="AF61" i="44"/>
  <c r="X61" i="44"/>
  <c r="P61" i="44"/>
  <c r="H61" i="44"/>
  <c r="AE60" i="44"/>
  <c r="W60" i="44"/>
  <c r="O60" i="44"/>
  <c r="G60" i="44"/>
  <c r="AD59" i="44"/>
  <c r="V59" i="44"/>
  <c r="N59" i="44"/>
  <c r="F59" i="44"/>
  <c r="AC58" i="44"/>
  <c r="U58" i="44"/>
  <c r="M58" i="44"/>
  <c r="E58" i="44"/>
  <c r="AB57" i="44"/>
  <c r="T57" i="44"/>
  <c r="L57" i="44"/>
  <c r="D57" i="44"/>
  <c r="AA56" i="44"/>
  <c r="S56" i="44"/>
  <c r="K56" i="44"/>
  <c r="C56" i="44"/>
  <c r="Z55" i="44"/>
  <c r="R55" i="44"/>
  <c r="J55" i="44"/>
  <c r="A1" i="47" l="1"/>
  <c r="V52" i="44" l="1"/>
  <c r="Q138" i="44" l="1"/>
  <c r="Q3" i="33" l="1"/>
  <c r="F51" i="32" l="1"/>
  <c r="R4" i="33" l="1"/>
  <c r="F53" i="32" l="1"/>
  <c r="F52" i="32"/>
  <c r="R3" i="33" l="1"/>
  <c r="E2" i="32" l="1"/>
  <c r="Q4" i="33" l="1"/>
  <c r="T150" i="44" l="1"/>
  <c r="S150" i="44"/>
  <c r="R150" i="44"/>
  <c r="Q150" i="44"/>
  <c r="P150" i="44"/>
  <c r="O150" i="44"/>
  <c r="N150" i="44"/>
  <c r="M150" i="44"/>
  <c r="L150" i="44"/>
  <c r="K150" i="44"/>
  <c r="J150" i="44"/>
  <c r="I150" i="44"/>
  <c r="H150" i="44"/>
  <c r="G150" i="44"/>
  <c r="F150" i="44"/>
  <c r="E150" i="44"/>
  <c r="D150" i="44"/>
  <c r="C150" i="44"/>
  <c r="T149" i="44"/>
  <c r="S149" i="44"/>
  <c r="R149" i="44"/>
  <c r="Q149" i="44"/>
  <c r="P149" i="44"/>
  <c r="O149" i="44"/>
  <c r="N149" i="44"/>
  <c r="M149" i="44"/>
  <c r="L149" i="44"/>
  <c r="K149" i="44"/>
  <c r="J149" i="44"/>
  <c r="I149" i="44"/>
  <c r="H149" i="44"/>
  <c r="G149" i="44"/>
  <c r="F149" i="44"/>
  <c r="E149" i="44"/>
  <c r="D149" i="44"/>
  <c r="C149" i="44"/>
  <c r="T148" i="44"/>
  <c r="S148" i="44"/>
  <c r="R148" i="44"/>
  <c r="Q148" i="44"/>
  <c r="P148" i="44"/>
  <c r="O148" i="44"/>
  <c r="N148" i="44"/>
  <c r="M148" i="44"/>
  <c r="L148" i="44"/>
  <c r="K148" i="44"/>
  <c r="J148" i="44"/>
  <c r="I148" i="44"/>
  <c r="H148" i="44"/>
  <c r="G148" i="44"/>
  <c r="F148" i="44"/>
  <c r="E148" i="44"/>
  <c r="D148" i="44"/>
  <c r="C148" i="44"/>
  <c r="T147" i="44"/>
  <c r="S147" i="44"/>
  <c r="R147" i="44"/>
  <c r="Q147" i="44"/>
  <c r="P147" i="44"/>
  <c r="O147" i="44"/>
  <c r="N147" i="44"/>
  <c r="M147" i="44"/>
  <c r="L147" i="44"/>
  <c r="K147" i="44"/>
  <c r="J147" i="44"/>
  <c r="I147" i="44"/>
  <c r="H147" i="44"/>
  <c r="G147" i="44"/>
  <c r="F147" i="44"/>
  <c r="E147" i="44"/>
  <c r="D147" i="44"/>
  <c r="C147" i="44"/>
  <c r="AG146" i="44"/>
  <c r="AF146" i="44"/>
  <c r="AE146" i="44"/>
  <c r="AD146" i="44"/>
  <c r="AC146" i="44"/>
  <c r="AB146" i="44"/>
  <c r="AA146" i="44"/>
  <c r="Z146" i="44"/>
  <c r="Y146" i="44"/>
  <c r="X146" i="44"/>
  <c r="W146" i="44"/>
  <c r="V146" i="44"/>
  <c r="U146" i="44"/>
  <c r="T146" i="44"/>
  <c r="S146" i="44"/>
  <c r="R146" i="44"/>
  <c r="Q146" i="44"/>
  <c r="P146" i="44"/>
  <c r="O146" i="44"/>
  <c r="N146" i="44"/>
  <c r="M146" i="44"/>
  <c r="L146" i="44"/>
  <c r="K146" i="44"/>
  <c r="J146" i="44"/>
  <c r="I146" i="44"/>
  <c r="H146" i="44"/>
  <c r="G146" i="44"/>
  <c r="F146" i="44"/>
  <c r="E146" i="44"/>
  <c r="D146" i="44"/>
  <c r="C146" i="44"/>
  <c r="AG145" i="44"/>
  <c r="AF145" i="44"/>
  <c r="AE145" i="44"/>
  <c r="AD145" i="44"/>
  <c r="AC145" i="44"/>
  <c r="AB145" i="44"/>
  <c r="AA145" i="44"/>
  <c r="Z145" i="44"/>
  <c r="Y145" i="44"/>
  <c r="X145" i="44"/>
  <c r="W145" i="44"/>
  <c r="V145" i="44"/>
  <c r="U145" i="44"/>
  <c r="T145" i="44"/>
  <c r="S145" i="44"/>
  <c r="R145" i="44"/>
  <c r="Q145" i="44"/>
  <c r="P145" i="44"/>
  <c r="O145" i="44"/>
  <c r="N145" i="44"/>
  <c r="M145" i="44"/>
  <c r="L145" i="44"/>
  <c r="K145" i="44"/>
  <c r="J145" i="44"/>
  <c r="I145" i="44"/>
  <c r="H145" i="44"/>
  <c r="G145" i="44"/>
  <c r="F145" i="44"/>
  <c r="E145" i="44"/>
  <c r="D145" i="44"/>
  <c r="C145" i="44"/>
  <c r="AG144" i="44"/>
  <c r="AF144" i="44"/>
  <c r="AE144" i="44"/>
  <c r="AD144" i="44"/>
  <c r="AC144" i="44"/>
  <c r="AB144" i="44"/>
  <c r="AA144" i="44"/>
  <c r="Z144" i="44"/>
  <c r="Y144" i="44"/>
  <c r="X144" i="44"/>
  <c r="W144" i="44"/>
  <c r="V144" i="44"/>
  <c r="U144" i="44"/>
  <c r="T144" i="44"/>
  <c r="S144" i="44"/>
  <c r="R144" i="44"/>
  <c r="Q144" i="44"/>
  <c r="P144" i="44"/>
  <c r="O144" i="44"/>
  <c r="N144" i="44"/>
  <c r="M144" i="44"/>
  <c r="L144" i="44"/>
  <c r="K144" i="44"/>
  <c r="J144" i="44"/>
  <c r="I144" i="44"/>
  <c r="H144" i="44"/>
  <c r="G144" i="44"/>
  <c r="F144" i="44"/>
  <c r="E144" i="44"/>
  <c r="D144" i="44"/>
  <c r="C144" i="44"/>
  <c r="AG143" i="44"/>
  <c r="AF143" i="44"/>
  <c r="AE143" i="44"/>
  <c r="AD143" i="44"/>
  <c r="AC143" i="44"/>
  <c r="AB143" i="44"/>
  <c r="AA143" i="44"/>
  <c r="Z143" i="44"/>
  <c r="Y143" i="44"/>
  <c r="X143" i="44"/>
  <c r="W143" i="44"/>
  <c r="V143" i="44"/>
  <c r="U143" i="44"/>
  <c r="T143" i="44"/>
  <c r="S143" i="44"/>
  <c r="R143" i="44"/>
  <c r="Q143" i="44"/>
  <c r="P143" i="44"/>
  <c r="O143" i="44"/>
  <c r="N143" i="44"/>
  <c r="M143" i="44"/>
  <c r="L143" i="44"/>
  <c r="K143" i="44"/>
  <c r="J143" i="44"/>
  <c r="I143" i="44"/>
  <c r="H143" i="44"/>
  <c r="G143" i="44"/>
  <c r="F143" i="44"/>
  <c r="E143" i="44"/>
  <c r="D143" i="44"/>
  <c r="C143" i="44"/>
  <c r="AG142" i="44"/>
  <c r="AF142" i="44"/>
  <c r="AE142" i="44"/>
  <c r="AD142" i="44"/>
  <c r="AC142" i="44"/>
  <c r="AB142" i="44"/>
  <c r="AA142" i="44"/>
  <c r="Z142" i="44"/>
  <c r="Y142" i="44"/>
  <c r="X142" i="44"/>
  <c r="W142" i="44"/>
  <c r="V142" i="44"/>
  <c r="U142" i="44"/>
  <c r="T142" i="44"/>
  <c r="S142" i="44"/>
  <c r="R142" i="44"/>
  <c r="Q142" i="44"/>
  <c r="P142" i="44"/>
  <c r="O142" i="44"/>
  <c r="N142" i="44"/>
  <c r="M142" i="44"/>
  <c r="L142" i="44"/>
  <c r="K142" i="44"/>
  <c r="J142" i="44"/>
  <c r="I142" i="44"/>
  <c r="H142" i="44"/>
  <c r="G142" i="44"/>
  <c r="F142" i="44"/>
  <c r="E142" i="44"/>
  <c r="D142" i="44"/>
  <c r="C142" i="44"/>
  <c r="AG141" i="44"/>
  <c r="AF141" i="44"/>
  <c r="AE141" i="44"/>
  <c r="AD141" i="44"/>
  <c r="AC141" i="44"/>
  <c r="AB141" i="44"/>
  <c r="AA141" i="44"/>
  <c r="Z141" i="44"/>
  <c r="Y141" i="44"/>
  <c r="X141" i="44"/>
  <c r="W141" i="44"/>
  <c r="V141" i="44"/>
  <c r="U141" i="44"/>
  <c r="T141" i="44"/>
  <c r="S141" i="44"/>
  <c r="R141" i="44"/>
  <c r="Q141" i="44"/>
  <c r="P141" i="44"/>
  <c r="O141" i="44"/>
  <c r="N141" i="44"/>
  <c r="M141" i="44"/>
  <c r="L141" i="44"/>
  <c r="K141" i="44"/>
  <c r="J141" i="44"/>
  <c r="I141" i="44"/>
  <c r="H141" i="44"/>
  <c r="G141" i="44"/>
  <c r="F141" i="44"/>
  <c r="E141" i="44"/>
  <c r="D141" i="44"/>
  <c r="C141" i="44"/>
  <c r="AG140" i="44"/>
  <c r="AF140" i="44"/>
  <c r="AE140" i="44"/>
  <c r="AD140" i="44"/>
  <c r="AC140" i="44"/>
  <c r="AB140" i="44"/>
  <c r="AA140" i="44"/>
  <c r="Z140" i="44"/>
  <c r="Y140" i="44"/>
  <c r="X140" i="44"/>
  <c r="W140" i="44"/>
  <c r="V140" i="44"/>
  <c r="U140" i="44"/>
  <c r="T140" i="44"/>
  <c r="S140" i="44"/>
  <c r="R140" i="44"/>
  <c r="Q140" i="44"/>
  <c r="P140" i="44"/>
  <c r="O140" i="44"/>
  <c r="N140" i="44"/>
  <c r="M140" i="44"/>
  <c r="L140" i="44"/>
  <c r="K140" i="44"/>
  <c r="J140" i="44"/>
  <c r="I140" i="44"/>
  <c r="H140" i="44"/>
  <c r="G140" i="44"/>
  <c r="F140" i="44"/>
  <c r="E140" i="44"/>
  <c r="D140" i="44"/>
  <c r="C140" i="44"/>
  <c r="AG139" i="44"/>
  <c r="AF139" i="44"/>
  <c r="AE139" i="44"/>
  <c r="AD139" i="44"/>
  <c r="AC139" i="44"/>
  <c r="AB139" i="44"/>
  <c r="AA139" i="44"/>
  <c r="Z139" i="44"/>
  <c r="Y139" i="44"/>
  <c r="X139" i="44"/>
  <c r="W139" i="44"/>
  <c r="V139" i="44"/>
  <c r="U139" i="44"/>
  <c r="T139" i="44"/>
  <c r="S139" i="44"/>
  <c r="R139" i="44"/>
  <c r="Q139" i="44"/>
  <c r="P139" i="44"/>
  <c r="O139" i="44"/>
  <c r="N139" i="44"/>
  <c r="M139" i="44"/>
  <c r="L139" i="44"/>
  <c r="K139" i="44"/>
  <c r="J139" i="44"/>
  <c r="I139" i="44"/>
  <c r="H139" i="44"/>
  <c r="G139" i="44"/>
  <c r="F139" i="44"/>
  <c r="E139" i="44"/>
  <c r="D139" i="44"/>
  <c r="C139" i="44"/>
  <c r="AG138" i="44"/>
  <c r="AF138" i="44"/>
  <c r="AE138" i="44"/>
  <c r="AD138" i="44"/>
  <c r="AC138" i="44"/>
  <c r="AB138" i="44"/>
  <c r="AA138" i="44"/>
  <c r="Z138" i="44"/>
  <c r="Y138" i="44"/>
  <c r="X138" i="44"/>
  <c r="W138" i="44"/>
  <c r="V138" i="44"/>
  <c r="U138" i="44"/>
  <c r="T138" i="44"/>
  <c r="S138" i="44"/>
  <c r="R138" i="44"/>
  <c r="P138" i="44"/>
  <c r="O138" i="44"/>
  <c r="N138" i="44"/>
  <c r="M138" i="44"/>
  <c r="L138" i="44"/>
  <c r="K138" i="44"/>
  <c r="J138" i="44"/>
  <c r="I138" i="44"/>
  <c r="H138" i="44"/>
  <c r="G138" i="44"/>
  <c r="F138" i="44"/>
  <c r="E138" i="44"/>
  <c r="D138" i="44"/>
  <c r="C138" i="44"/>
  <c r="AG137" i="44"/>
  <c r="AF137" i="44"/>
  <c r="AE137" i="44"/>
  <c r="AD137" i="44"/>
  <c r="AC137" i="44"/>
  <c r="AB137" i="44"/>
  <c r="AA137" i="44"/>
  <c r="Z137" i="44"/>
  <c r="Y137" i="44"/>
  <c r="X137" i="44"/>
  <c r="W137" i="44"/>
  <c r="V137" i="44"/>
  <c r="U137" i="44"/>
  <c r="T137" i="44"/>
  <c r="S137" i="44"/>
  <c r="R137" i="44"/>
  <c r="Q137" i="44"/>
  <c r="P137" i="44"/>
  <c r="O137" i="44"/>
  <c r="N137" i="44"/>
  <c r="M137" i="44"/>
  <c r="L137" i="44"/>
  <c r="K137" i="44"/>
  <c r="J137" i="44"/>
  <c r="I137" i="44"/>
  <c r="H137" i="44"/>
  <c r="G137" i="44"/>
  <c r="F137" i="44"/>
  <c r="E137" i="44"/>
  <c r="D137" i="44"/>
  <c r="C137" i="44"/>
  <c r="AG136" i="44"/>
  <c r="AF136" i="44"/>
  <c r="AE136" i="44"/>
  <c r="AD136" i="44"/>
  <c r="AC136" i="44"/>
  <c r="AB136" i="44"/>
  <c r="AA136" i="44"/>
  <c r="Z136" i="44"/>
  <c r="Y136" i="44"/>
  <c r="X136" i="44"/>
  <c r="W136" i="44"/>
  <c r="V136" i="44"/>
  <c r="U136" i="44"/>
  <c r="T136" i="44"/>
  <c r="S136" i="44"/>
  <c r="R136" i="44"/>
  <c r="Q136" i="44"/>
  <c r="P136" i="44"/>
  <c r="O136" i="44"/>
  <c r="N136" i="44"/>
  <c r="M136" i="44"/>
  <c r="L136" i="44"/>
  <c r="K136" i="44"/>
  <c r="J136" i="44"/>
  <c r="I136" i="44"/>
  <c r="H136" i="44"/>
  <c r="G136" i="44"/>
  <c r="F136" i="44"/>
  <c r="E136" i="44"/>
  <c r="D136" i="44"/>
  <c r="C136" i="44"/>
  <c r="AG135" i="44"/>
  <c r="AF135" i="44"/>
  <c r="AE135" i="44"/>
  <c r="AD135" i="44"/>
  <c r="AC135" i="44"/>
  <c r="AB135" i="44"/>
  <c r="AA135" i="44"/>
  <c r="Z135" i="44"/>
  <c r="Y135" i="44"/>
  <c r="X135" i="44"/>
  <c r="W135" i="44"/>
  <c r="V135" i="44"/>
  <c r="U135" i="44"/>
  <c r="T135" i="44"/>
  <c r="S135" i="44"/>
  <c r="R135" i="44"/>
  <c r="Q135" i="44"/>
  <c r="P135" i="44"/>
  <c r="O135" i="44"/>
  <c r="N135" i="44"/>
  <c r="M135" i="44"/>
  <c r="L135" i="44"/>
  <c r="K135" i="44"/>
  <c r="J135" i="44"/>
  <c r="I135" i="44"/>
  <c r="H135" i="44"/>
  <c r="G135" i="44"/>
  <c r="F135" i="44"/>
  <c r="E135" i="44"/>
  <c r="D135" i="44"/>
  <c r="C135" i="44"/>
  <c r="AG134" i="44"/>
  <c r="AF134" i="44"/>
  <c r="AE134" i="44"/>
  <c r="AD134" i="44"/>
  <c r="AC134" i="44"/>
  <c r="AB134" i="44"/>
  <c r="AA134" i="44"/>
  <c r="Z134" i="44"/>
  <c r="Y134" i="44"/>
  <c r="X134" i="44"/>
  <c r="W134" i="44"/>
  <c r="V134" i="44"/>
  <c r="U134" i="44"/>
  <c r="T134" i="44"/>
  <c r="S134" i="44"/>
  <c r="R134" i="44"/>
  <c r="Q134" i="44"/>
  <c r="P134" i="44"/>
  <c r="O134" i="44"/>
  <c r="N134" i="44"/>
  <c r="M134" i="44"/>
  <c r="L134" i="44"/>
  <c r="K134" i="44"/>
  <c r="J134" i="44"/>
  <c r="I134" i="44"/>
  <c r="H134" i="44"/>
  <c r="G134" i="44"/>
  <c r="F134" i="44"/>
  <c r="E134" i="44"/>
  <c r="D134" i="44"/>
  <c r="C134" i="44"/>
  <c r="AG133" i="44"/>
  <c r="AF133" i="44"/>
  <c r="AE133" i="44"/>
  <c r="AD133" i="44"/>
  <c r="AC133" i="44"/>
  <c r="AB133" i="44"/>
  <c r="AA133" i="44"/>
  <c r="Z133" i="44"/>
  <c r="Y133" i="44"/>
  <c r="X133" i="44"/>
  <c r="W133" i="44"/>
  <c r="V133" i="44"/>
  <c r="U133" i="44"/>
  <c r="T133" i="44"/>
  <c r="S133" i="44"/>
  <c r="R133" i="44"/>
  <c r="Q133" i="44"/>
  <c r="P133" i="44"/>
  <c r="O133" i="44"/>
  <c r="N133" i="44"/>
  <c r="M133" i="44"/>
  <c r="L133" i="44"/>
  <c r="K133" i="44"/>
  <c r="J133" i="44"/>
  <c r="I133" i="44"/>
  <c r="H133" i="44"/>
  <c r="G133" i="44"/>
  <c r="F133" i="44"/>
  <c r="E133" i="44"/>
  <c r="D133" i="44"/>
  <c r="C133" i="44"/>
  <c r="AG132" i="44"/>
  <c r="AF132" i="44"/>
  <c r="AE132" i="44"/>
  <c r="AD132" i="44"/>
  <c r="AC132" i="44"/>
  <c r="AB132" i="44"/>
  <c r="AA132" i="44"/>
  <c r="Z132" i="44"/>
  <c r="Y132" i="44"/>
  <c r="X132" i="44"/>
  <c r="W132" i="44"/>
  <c r="V132" i="44"/>
  <c r="U132" i="44"/>
  <c r="T132" i="44"/>
  <c r="S132" i="44"/>
  <c r="R132" i="44"/>
  <c r="Q132" i="44"/>
  <c r="P132" i="44"/>
  <c r="O132" i="44"/>
  <c r="N132" i="44"/>
  <c r="M132" i="44"/>
  <c r="L132" i="44"/>
  <c r="K132" i="44"/>
  <c r="J132" i="44"/>
  <c r="I132" i="44"/>
  <c r="H132" i="44"/>
  <c r="G132" i="44"/>
  <c r="F132" i="44"/>
  <c r="E132" i="44"/>
  <c r="D132" i="44"/>
  <c r="C132" i="44"/>
  <c r="AG131" i="44"/>
  <c r="AF131" i="44"/>
  <c r="AE131" i="44"/>
  <c r="AD131" i="44"/>
  <c r="AC131" i="44"/>
  <c r="AB131" i="44"/>
  <c r="AA131" i="44"/>
  <c r="Z131" i="44"/>
  <c r="Y131" i="44"/>
  <c r="X131" i="44"/>
  <c r="W131" i="44"/>
  <c r="V131" i="44"/>
  <c r="U131" i="44"/>
  <c r="T131" i="44"/>
  <c r="S131" i="44"/>
  <c r="R131" i="44"/>
  <c r="Q131" i="44"/>
  <c r="P131" i="44"/>
  <c r="O131" i="44"/>
  <c r="N131" i="44"/>
  <c r="M131" i="44"/>
  <c r="L131" i="44"/>
  <c r="K131" i="44"/>
  <c r="J131" i="44"/>
  <c r="I131" i="44"/>
  <c r="H131" i="44"/>
  <c r="G131" i="44"/>
  <c r="F131" i="44"/>
  <c r="E131" i="44"/>
  <c r="D131" i="44"/>
  <c r="C131" i="44"/>
  <c r="AG130" i="44"/>
  <c r="AF130" i="44"/>
  <c r="AE130" i="44"/>
  <c r="AD130" i="44"/>
  <c r="AC130" i="44"/>
  <c r="AB130" i="44"/>
  <c r="AA130" i="44"/>
  <c r="Z130" i="44"/>
  <c r="Y130" i="44"/>
  <c r="X130" i="44"/>
  <c r="W130" i="44"/>
  <c r="V130" i="44"/>
  <c r="U130" i="44"/>
  <c r="T130" i="44"/>
  <c r="S130" i="44"/>
  <c r="R130" i="44"/>
  <c r="Q130" i="44"/>
  <c r="P130" i="44"/>
  <c r="O130" i="44"/>
  <c r="N130" i="44"/>
  <c r="M130" i="44"/>
  <c r="L130" i="44"/>
  <c r="K130" i="44"/>
  <c r="J130" i="44"/>
  <c r="I130" i="44"/>
  <c r="H130" i="44"/>
  <c r="G130" i="44"/>
  <c r="F130" i="44"/>
  <c r="E130" i="44"/>
  <c r="D130" i="44"/>
  <c r="C130" i="44"/>
  <c r="AG129" i="44"/>
  <c r="AF129" i="44"/>
  <c r="AE129" i="44"/>
  <c r="AD129" i="44"/>
  <c r="AC129" i="44"/>
  <c r="AB129" i="44"/>
  <c r="AA129" i="44"/>
  <c r="Z129" i="44"/>
  <c r="Y129" i="44"/>
  <c r="X129" i="44"/>
  <c r="W129" i="44"/>
  <c r="V129" i="44"/>
  <c r="U129" i="44"/>
  <c r="T129" i="44"/>
  <c r="S129" i="44"/>
  <c r="R129" i="44"/>
  <c r="Q129" i="44"/>
  <c r="P129" i="44"/>
  <c r="O129" i="44"/>
  <c r="N129" i="44"/>
  <c r="M129" i="44"/>
  <c r="L129" i="44"/>
  <c r="K129" i="44"/>
  <c r="J129" i="44"/>
  <c r="I129" i="44"/>
  <c r="H129" i="44"/>
  <c r="G129" i="44"/>
  <c r="F129" i="44"/>
  <c r="E129" i="44"/>
  <c r="D129" i="44"/>
  <c r="C129" i="44"/>
  <c r="AG128" i="44"/>
  <c r="AF128" i="44"/>
  <c r="AE128" i="44"/>
  <c r="AD128" i="44"/>
  <c r="AC128" i="44"/>
  <c r="AB128" i="44"/>
  <c r="AA128" i="44"/>
  <c r="Z128" i="44"/>
  <c r="Y128" i="44"/>
  <c r="X128" i="44"/>
  <c r="W128" i="44"/>
  <c r="V128" i="44"/>
  <c r="U128" i="44"/>
  <c r="T128" i="44"/>
  <c r="S128" i="44"/>
  <c r="R128" i="44"/>
  <c r="Q128" i="44"/>
  <c r="P128" i="44"/>
  <c r="O128" i="44"/>
  <c r="N128" i="44"/>
  <c r="M128" i="44"/>
  <c r="L128" i="44"/>
  <c r="K128" i="44"/>
  <c r="J128" i="44"/>
  <c r="I128" i="44"/>
  <c r="H128" i="44"/>
  <c r="G128" i="44"/>
  <c r="F128" i="44"/>
  <c r="E128" i="44"/>
  <c r="D128" i="44"/>
  <c r="C128" i="44"/>
  <c r="AG127" i="44"/>
  <c r="AF127" i="44"/>
  <c r="AE127" i="44"/>
  <c r="AD127" i="44"/>
  <c r="AC127" i="44"/>
  <c r="AB127" i="44"/>
  <c r="AA127" i="44"/>
  <c r="Z127" i="44"/>
  <c r="Y127" i="44"/>
  <c r="X127" i="44"/>
  <c r="W127" i="44"/>
  <c r="V127" i="44"/>
  <c r="U127" i="44"/>
  <c r="T127" i="44"/>
  <c r="S127" i="44"/>
  <c r="R127" i="44"/>
  <c r="Q127" i="44"/>
  <c r="P127" i="44"/>
  <c r="O127" i="44"/>
  <c r="N127" i="44"/>
  <c r="M127" i="44"/>
  <c r="L127" i="44"/>
  <c r="K127" i="44"/>
  <c r="J127" i="44"/>
  <c r="I127" i="44"/>
  <c r="H127" i="44"/>
  <c r="G127" i="44"/>
  <c r="F127" i="44"/>
  <c r="E127" i="44"/>
  <c r="D127" i="44"/>
  <c r="C127" i="44"/>
  <c r="AG126" i="44"/>
  <c r="AF126" i="44"/>
  <c r="AE126" i="44"/>
  <c r="AD126" i="44"/>
  <c r="AC126" i="44"/>
  <c r="AB126" i="44"/>
  <c r="AA126" i="44"/>
  <c r="Z126" i="44"/>
  <c r="Y126" i="44"/>
  <c r="X126" i="44"/>
  <c r="W126" i="44"/>
  <c r="V126" i="44"/>
  <c r="U126" i="44"/>
  <c r="T126" i="44"/>
  <c r="S126" i="44"/>
  <c r="R126" i="44"/>
  <c r="Q126" i="44"/>
  <c r="P126" i="44"/>
  <c r="O126" i="44"/>
  <c r="N126" i="44"/>
  <c r="M126" i="44"/>
  <c r="L126" i="44"/>
  <c r="K126" i="44"/>
  <c r="J126" i="44"/>
  <c r="I126" i="44"/>
  <c r="H126" i="44"/>
  <c r="G126" i="44"/>
  <c r="F126" i="44"/>
  <c r="E126" i="44"/>
  <c r="D126" i="44"/>
  <c r="C126" i="44"/>
  <c r="AG125" i="44"/>
  <c r="AF125" i="44"/>
  <c r="AE125" i="44"/>
  <c r="AD125" i="44"/>
  <c r="AC125" i="44"/>
  <c r="AB125" i="44"/>
  <c r="AA125" i="44"/>
  <c r="Z125" i="44"/>
  <c r="Y125" i="44"/>
  <c r="X125" i="44"/>
  <c r="W125" i="44"/>
  <c r="V125" i="44"/>
  <c r="U125" i="44"/>
  <c r="T125" i="44"/>
  <c r="S125" i="44"/>
  <c r="R125" i="44"/>
  <c r="Q125" i="44"/>
  <c r="P125" i="44"/>
  <c r="O125" i="44"/>
  <c r="N125" i="44"/>
  <c r="M125" i="44"/>
  <c r="L125" i="44"/>
  <c r="K125" i="44"/>
  <c r="J125" i="44"/>
  <c r="I125" i="44"/>
  <c r="H125" i="44"/>
  <c r="G125" i="44"/>
  <c r="F125" i="44"/>
  <c r="E125" i="44"/>
  <c r="D125" i="44"/>
  <c r="C125" i="44"/>
  <c r="AG124" i="44"/>
  <c r="AF124" i="44"/>
  <c r="AE124" i="44"/>
  <c r="AD124" i="44"/>
  <c r="AC124" i="44"/>
  <c r="AB124" i="44"/>
  <c r="AA124" i="44"/>
  <c r="Z124" i="44"/>
  <c r="Y124" i="44"/>
  <c r="X124" i="44"/>
  <c r="W124" i="44"/>
  <c r="V124" i="44"/>
  <c r="U124" i="44"/>
  <c r="T124" i="44"/>
  <c r="S124" i="44"/>
  <c r="R124" i="44"/>
  <c r="Q124" i="44"/>
  <c r="P124" i="44"/>
  <c r="O124" i="44"/>
  <c r="N124" i="44"/>
  <c r="M124" i="44"/>
  <c r="L124" i="44"/>
  <c r="K124" i="44"/>
  <c r="J124" i="44"/>
  <c r="I124" i="44"/>
  <c r="H124" i="44"/>
  <c r="G124" i="44"/>
  <c r="F124" i="44"/>
  <c r="E124" i="44"/>
  <c r="D124" i="44"/>
  <c r="C124" i="44"/>
  <c r="AG123" i="44"/>
  <c r="AF123" i="44"/>
  <c r="AE123" i="44"/>
  <c r="AD123" i="44"/>
  <c r="AC123" i="44"/>
  <c r="AB123" i="44"/>
  <c r="AA123" i="44"/>
  <c r="Z123" i="44"/>
  <c r="Y123" i="44"/>
  <c r="X123" i="44"/>
  <c r="W123" i="44"/>
  <c r="V123" i="44"/>
  <c r="U123" i="44"/>
  <c r="T123" i="44"/>
  <c r="S123" i="44"/>
  <c r="R123" i="44"/>
  <c r="Q123" i="44"/>
  <c r="P123" i="44"/>
  <c r="O123" i="44"/>
  <c r="N123" i="44"/>
  <c r="M123" i="44"/>
  <c r="L123" i="44"/>
  <c r="K123" i="44"/>
  <c r="J123" i="44"/>
  <c r="I123" i="44"/>
  <c r="H123" i="44"/>
  <c r="G123" i="44"/>
  <c r="F123" i="44"/>
  <c r="E123" i="44"/>
  <c r="D123" i="44"/>
  <c r="C123" i="44"/>
  <c r="AG122" i="44"/>
  <c r="AF122" i="44"/>
  <c r="AE122" i="44"/>
  <c r="AD122" i="44"/>
  <c r="AC122" i="44"/>
  <c r="AB122" i="44"/>
  <c r="AA122" i="44"/>
  <c r="Z122" i="44"/>
  <c r="Y122" i="44"/>
  <c r="X122" i="44"/>
  <c r="W122" i="44"/>
  <c r="V122" i="44"/>
  <c r="U122" i="44"/>
  <c r="T122" i="44"/>
  <c r="S122" i="44"/>
  <c r="R122" i="44"/>
  <c r="Q122" i="44"/>
  <c r="P122" i="44"/>
  <c r="O122" i="44"/>
  <c r="N122" i="44"/>
  <c r="M122" i="44"/>
  <c r="L122" i="44"/>
  <c r="K122" i="44"/>
  <c r="J122" i="44"/>
  <c r="I122" i="44"/>
  <c r="H122" i="44"/>
  <c r="G122" i="44"/>
  <c r="F122" i="44"/>
  <c r="E122" i="44"/>
  <c r="D122" i="44"/>
  <c r="C122" i="44"/>
  <c r="AG121" i="44"/>
  <c r="AF121" i="44"/>
  <c r="AE121" i="44"/>
  <c r="AD121" i="44"/>
  <c r="AC121" i="44"/>
  <c r="AB121" i="44"/>
  <c r="AA121" i="44"/>
  <c r="Z121" i="44"/>
  <c r="Y121" i="44"/>
  <c r="X121" i="44"/>
  <c r="W121" i="44"/>
  <c r="V121" i="44"/>
  <c r="U121" i="44"/>
  <c r="T121" i="44"/>
  <c r="S121" i="44"/>
  <c r="R121" i="44"/>
  <c r="Q121" i="44"/>
  <c r="P121" i="44"/>
  <c r="O121" i="44"/>
  <c r="N121" i="44"/>
  <c r="M121" i="44"/>
  <c r="L121" i="44"/>
  <c r="K121" i="44"/>
  <c r="J121" i="44"/>
  <c r="I121" i="44"/>
  <c r="H121" i="44"/>
  <c r="G121" i="44"/>
  <c r="F121" i="44"/>
  <c r="E121" i="44"/>
  <c r="D121" i="44"/>
  <c r="C121" i="44"/>
  <c r="AG120" i="44"/>
  <c r="AF120" i="44"/>
  <c r="AE120" i="44"/>
  <c r="AD120" i="44"/>
  <c r="AC120" i="44"/>
  <c r="AB120" i="44"/>
  <c r="AA120" i="44"/>
  <c r="Z120" i="44"/>
  <c r="Y120" i="44"/>
  <c r="X120" i="44"/>
  <c r="W120" i="44"/>
  <c r="V120" i="44"/>
  <c r="U120" i="44"/>
  <c r="T120" i="44"/>
  <c r="S120" i="44"/>
  <c r="R120" i="44"/>
  <c r="Q120" i="44"/>
  <c r="P120" i="44"/>
  <c r="O120" i="44"/>
  <c r="N120" i="44"/>
  <c r="M120" i="44"/>
  <c r="L120" i="44"/>
  <c r="K120" i="44"/>
  <c r="J120" i="44"/>
  <c r="I120" i="44"/>
  <c r="H120" i="44"/>
  <c r="G120" i="44"/>
  <c r="F120" i="44"/>
  <c r="E120" i="44"/>
  <c r="D120" i="44"/>
  <c r="C120" i="44"/>
  <c r="AG119" i="44"/>
  <c r="AF119" i="44"/>
  <c r="AE119" i="44"/>
  <c r="AD119" i="44"/>
  <c r="AC119" i="44"/>
  <c r="AB119" i="44"/>
  <c r="AA119" i="44"/>
  <c r="Z119" i="44"/>
  <c r="Y119" i="44"/>
  <c r="X119" i="44"/>
  <c r="W119" i="44"/>
  <c r="V119" i="44"/>
  <c r="U119" i="44"/>
  <c r="T119" i="44"/>
  <c r="S119" i="44"/>
  <c r="R119" i="44"/>
  <c r="Q119" i="44"/>
  <c r="P119" i="44"/>
  <c r="O119" i="44"/>
  <c r="N119" i="44"/>
  <c r="M119" i="44"/>
  <c r="L119" i="44"/>
  <c r="K119" i="44"/>
  <c r="J119" i="44"/>
  <c r="I119" i="44"/>
  <c r="H119" i="44"/>
  <c r="G119" i="44"/>
  <c r="F119" i="44"/>
  <c r="E119" i="44"/>
  <c r="D119" i="44"/>
  <c r="C119" i="44"/>
  <c r="AG118" i="44"/>
  <c r="AF118" i="44"/>
  <c r="AE118" i="44"/>
  <c r="AD118" i="44"/>
  <c r="AC118" i="44"/>
  <c r="AB118" i="44"/>
  <c r="AA118" i="44"/>
  <c r="Z118" i="44"/>
  <c r="Y118" i="44"/>
  <c r="X118" i="44"/>
  <c r="W118" i="44"/>
  <c r="V118" i="44"/>
  <c r="U118" i="44"/>
  <c r="T118" i="44"/>
  <c r="S118" i="44"/>
  <c r="R118" i="44"/>
  <c r="Q118" i="44"/>
  <c r="P118" i="44"/>
  <c r="O118" i="44"/>
  <c r="N118" i="44"/>
  <c r="M118" i="44"/>
  <c r="L118" i="44"/>
  <c r="K118" i="44"/>
  <c r="J118" i="44"/>
  <c r="I118" i="44"/>
  <c r="H118" i="44"/>
  <c r="G118" i="44"/>
  <c r="F118" i="44"/>
  <c r="E118" i="44"/>
  <c r="D118" i="44"/>
  <c r="C118" i="44"/>
  <c r="AG117" i="44"/>
  <c r="AF117" i="44"/>
  <c r="AE117" i="44"/>
  <c r="AD117" i="44"/>
  <c r="AC117" i="44"/>
  <c r="AB117" i="44"/>
  <c r="AA117" i="44"/>
  <c r="Z117" i="44"/>
  <c r="Y117" i="44"/>
  <c r="X117" i="44"/>
  <c r="W117" i="44"/>
  <c r="V117" i="44"/>
  <c r="U117" i="44"/>
  <c r="T117" i="44"/>
  <c r="S117" i="44"/>
  <c r="R117" i="44"/>
  <c r="Q117" i="44"/>
  <c r="P117" i="44"/>
  <c r="O117" i="44"/>
  <c r="N117" i="44"/>
  <c r="M117" i="44"/>
  <c r="L117" i="44"/>
  <c r="K117" i="44"/>
  <c r="J117" i="44"/>
  <c r="I117" i="44"/>
  <c r="H117" i="44"/>
  <c r="G117" i="44"/>
  <c r="F117" i="44"/>
  <c r="E117" i="44"/>
  <c r="D117" i="44"/>
  <c r="C117" i="44"/>
  <c r="T116" i="44"/>
  <c r="S116" i="44"/>
  <c r="R116" i="44"/>
  <c r="Q116" i="44"/>
  <c r="P116" i="44"/>
  <c r="O116" i="44"/>
  <c r="N116" i="44"/>
  <c r="M116" i="44"/>
  <c r="L116" i="44"/>
  <c r="K116" i="44"/>
  <c r="J116" i="44"/>
  <c r="I116" i="44"/>
  <c r="H116" i="44"/>
  <c r="G116" i="44"/>
  <c r="F116" i="44"/>
  <c r="E116" i="44"/>
  <c r="D116" i="44"/>
  <c r="C116" i="44"/>
  <c r="T115" i="44"/>
  <c r="S115" i="44"/>
  <c r="R115" i="44"/>
  <c r="Q115" i="44"/>
  <c r="P115" i="44"/>
  <c r="O115" i="44"/>
  <c r="N115" i="44"/>
  <c r="M115" i="44"/>
  <c r="L115" i="44"/>
  <c r="K115" i="44"/>
  <c r="J115" i="44"/>
  <c r="I115" i="44"/>
  <c r="H115" i="44"/>
  <c r="G115" i="44"/>
  <c r="F115" i="44"/>
  <c r="E115" i="44"/>
  <c r="D115" i="44"/>
  <c r="C115" i="44"/>
  <c r="T114" i="44"/>
  <c r="S114" i="44"/>
  <c r="R114" i="44"/>
  <c r="Q114" i="44"/>
  <c r="P114" i="44"/>
  <c r="O114" i="44"/>
  <c r="N114" i="44"/>
  <c r="M114" i="44"/>
  <c r="L114" i="44"/>
  <c r="K114" i="44"/>
  <c r="J114" i="44"/>
  <c r="I114" i="44"/>
  <c r="H114" i="44"/>
  <c r="G114" i="44"/>
  <c r="F114" i="44"/>
  <c r="E114" i="44"/>
  <c r="D114" i="44"/>
  <c r="C114" i="44"/>
  <c r="T113" i="44"/>
  <c r="S113" i="44"/>
  <c r="R113" i="44"/>
  <c r="Q113" i="44"/>
  <c r="P113" i="44"/>
  <c r="O113" i="44"/>
  <c r="N113" i="44"/>
  <c r="M113" i="44"/>
  <c r="L113" i="44"/>
  <c r="K113" i="44"/>
  <c r="J113" i="44"/>
  <c r="I113" i="44"/>
  <c r="H113" i="44"/>
  <c r="G113" i="44"/>
  <c r="F113" i="44"/>
  <c r="E113" i="44"/>
  <c r="D113" i="44"/>
  <c r="C113" i="44"/>
  <c r="T112" i="44"/>
  <c r="S112" i="44"/>
  <c r="R112" i="44"/>
  <c r="Q112" i="44"/>
  <c r="P112" i="44"/>
  <c r="O112" i="44"/>
  <c r="N112" i="44"/>
  <c r="M112" i="44"/>
  <c r="L112" i="44"/>
  <c r="K112" i="44"/>
  <c r="J112" i="44"/>
  <c r="I112" i="44"/>
  <c r="H112" i="44"/>
  <c r="G112" i="44"/>
  <c r="F112" i="44"/>
  <c r="E112" i="44"/>
  <c r="D112" i="44"/>
  <c r="C112" i="44"/>
  <c r="T111" i="44"/>
  <c r="S111" i="44"/>
  <c r="R111" i="44"/>
  <c r="Q111" i="44"/>
  <c r="P111" i="44"/>
  <c r="O111" i="44"/>
  <c r="N111" i="44"/>
  <c r="M111" i="44"/>
  <c r="L111" i="44"/>
  <c r="K111" i="44"/>
  <c r="J111" i="44"/>
  <c r="I111" i="44"/>
  <c r="H111" i="44"/>
  <c r="G111" i="44"/>
  <c r="F111" i="44"/>
  <c r="E111" i="44"/>
  <c r="D111" i="44"/>
  <c r="C111" i="44"/>
  <c r="T110" i="44"/>
  <c r="S110" i="44"/>
  <c r="R110" i="44"/>
  <c r="Q110" i="44"/>
  <c r="P110" i="44"/>
  <c r="O110" i="44"/>
  <c r="N110" i="44"/>
  <c r="M110" i="44"/>
  <c r="L110" i="44"/>
  <c r="K110" i="44"/>
  <c r="J110" i="44"/>
  <c r="I110" i="44"/>
  <c r="H110" i="44"/>
  <c r="G110" i="44"/>
  <c r="F110" i="44"/>
  <c r="E110" i="44"/>
  <c r="D110" i="44"/>
  <c r="C110" i="44"/>
  <c r="T109" i="44"/>
  <c r="S109" i="44"/>
  <c r="R109" i="44"/>
  <c r="Q109" i="44"/>
  <c r="P109" i="44"/>
  <c r="O109" i="44"/>
  <c r="N109" i="44"/>
  <c r="M109" i="44"/>
  <c r="L109" i="44"/>
  <c r="K109" i="44"/>
  <c r="J109" i="44"/>
  <c r="I109" i="44"/>
  <c r="H109" i="44"/>
  <c r="G109" i="44"/>
  <c r="F109" i="44"/>
  <c r="E109" i="44"/>
  <c r="D109" i="44"/>
  <c r="C109" i="44"/>
  <c r="T108" i="44"/>
  <c r="S108" i="44"/>
  <c r="R108" i="44"/>
  <c r="Q108" i="44"/>
  <c r="P108" i="44"/>
  <c r="O108" i="44"/>
  <c r="N108" i="44"/>
  <c r="M108" i="44"/>
  <c r="L108" i="44"/>
  <c r="K108" i="44"/>
  <c r="J108" i="44"/>
  <c r="I108" i="44"/>
  <c r="H108" i="44"/>
  <c r="G108" i="44"/>
  <c r="F108" i="44"/>
  <c r="E108" i="44"/>
  <c r="D108" i="44"/>
  <c r="C108" i="44"/>
  <c r="T107" i="44"/>
  <c r="S107" i="44"/>
  <c r="R107" i="44"/>
  <c r="Q107" i="44"/>
  <c r="P107" i="44"/>
  <c r="O107" i="44"/>
  <c r="N107" i="44"/>
  <c r="M107" i="44"/>
  <c r="L107" i="44"/>
  <c r="K107" i="44"/>
  <c r="J107" i="44"/>
  <c r="I107" i="44"/>
  <c r="H107" i="44"/>
  <c r="G107" i="44"/>
  <c r="F107" i="44"/>
  <c r="E107" i="44"/>
  <c r="D107" i="44"/>
  <c r="C107" i="44"/>
  <c r="T106" i="44"/>
  <c r="S106" i="44"/>
  <c r="R106" i="44"/>
  <c r="Q106" i="44"/>
  <c r="P106" i="44"/>
  <c r="O106" i="44"/>
  <c r="N106" i="44"/>
  <c r="M106" i="44"/>
  <c r="L106" i="44"/>
  <c r="K106" i="44"/>
  <c r="J106" i="44"/>
  <c r="I106" i="44"/>
  <c r="H106" i="44"/>
  <c r="G106" i="44"/>
  <c r="F106" i="44"/>
  <c r="E106" i="44"/>
  <c r="D106" i="44"/>
  <c r="C106" i="44"/>
  <c r="T105" i="44"/>
  <c r="S105" i="44"/>
  <c r="R105" i="44"/>
  <c r="Q105" i="44"/>
  <c r="P105" i="44"/>
  <c r="O105" i="44"/>
  <c r="N105" i="44"/>
  <c r="M105" i="44"/>
  <c r="L105" i="44"/>
  <c r="K105" i="44"/>
  <c r="J105" i="44"/>
  <c r="I105" i="44"/>
  <c r="H105" i="44"/>
  <c r="G105" i="44"/>
  <c r="F105" i="44"/>
  <c r="E105" i="44"/>
  <c r="D105" i="44"/>
  <c r="C105" i="44"/>
  <c r="T104" i="44"/>
  <c r="S104" i="44"/>
  <c r="R104" i="44"/>
  <c r="Q104" i="44"/>
  <c r="P104" i="44"/>
  <c r="O104" i="44"/>
  <c r="N104" i="44"/>
  <c r="M104" i="44"/>
  <c r="L104" i="44"/>
  <c r="K104" i="44"/>
  <c r="J104" i="44"/>
  <c r="I104" i="44"/>
  <c r="H104" i="44"/>
  <c r="G104" i="44"/>
  <c r="F104" i="44"/>
  <c r="E104" i="44"/>
  <c r="D104" i="44"/>
  <c r="C104" i="44"/>
  <c r="T103" i="44"/>
  <c r="S103" i="44"/>
  <c r="R103" i="44"/>
  <c r="Q103" i="44"/>
  <c r="P103" i="44"/>
  <c r="O103" i="44"/>
  <c r="N103" i="44"/>
  <c r="M103" i="44"/>
  <c r="L103" i="44"/>
  <c r="K103" i="44"/>
  <c r="J103" i="44"/>
  <c r="I103" i="44"/>
  <c r="H103" i="44"/>
  <c r="G103" i="44"/>
  <c r="F103" i="44"/>
  <c r="E103" i="44"/>
  <c r="D103" i="44"/>
  <c r="C103" i="44"/>
  <c r="Q52" i="44" l="1"/>
  <c r="U52" i="44"/>
  <c r="AC52" i="44"/>
  <c r="Y52" i="44"/>
  <c r="AG52" i="44"/>
  <c r="R52" i="44"/>
  <c r="Z52" i="44"/>
  <c r="AD52" i="44"/>
  <c r="O52" i="44"/>
  <c r="S52" i="44"/>
  <c r="W52" i="44"/>
  <c r="AA52" i="44"/>
  <c r="AE52" i="44"/>
  <c r="P52" i="44"/>
  <c r="T52" i="44"/>
  <c r="X52" i="44"/>
  <c r="AB52" i="44"/>
  <c r="AF52" i="44"/>
  <c r="E52" i="44"/>
  <c r="L52" i="44"/>
  <c r="M52" i="44"/>
  <c r="F52" i="44"/>
  <c r="N52" i="44"/>
  <c r="H52" i="44"/>
  <c r="D52" i="44"/>
  <c r="G52" i="44"/>
  <c r="I52" i="44"/>
  <c r="J52" i="44"/>
  <c r="C52" i="44"/>
  <c r="K52" i="44"/>
  <c r="U2" i="33" l="1"/>
  <c r="S4" i="33" l="1"/>
  <c r="U4" i="33"/>
  <c r="U3" i="33" l="1"/>
  <c r="S3" i="33"/>
  <c r="H57" i="32" l="1"/>
  <c r="E52" i="32" l="1"/>
  <c r="U57" i="32" l="1"/>
  <c r="V57" i="32"/>
  <c r="W57" i="32"/>
  <c r="X57" i="32"/>
  <c r="Y57" i="32"/>
  <c r="Z57" i="32"/>
  <c r="AA57" i="32"/>
  <c r="U58" i="32"/>
  <c r="V58" i="32"/>
  <c r="W58" i="32"/>
  <c r="X58" i="32"/>
  <c r="Y58" i="32"/>
  <c r="Z58" i="32"/>
  <c r="AA58" i="32"/>
  <c r="U59" i="32"/>
  <c r="V59" i="32"/>
  <c r="W59" i="32"/>
  <c r="X59" i="32"/>
  <c r="Y59" i="32"/>
  <c r="Z59" i="32"/>
  <c r="AA59" i="32"/>
  <c r="U60" i="32"/>
  <c r="V60" i="32"/>
  <c r="W60" i="32"/>
  <c r="X60" i="32"/>
  <c r="Y60" i="32"/>
  <c r="Z60" i="32"/>
  <c r="AA60" i="32"/>
  <c r="U61" i="32"/>
  <c r="V61" i="32"/>
  <c r="W61" i="32"/>
  <c r="X61" i="32"/>
  <c r="Y61" i="32"/>
  <c r="Z61" i="32"/>
  <c r="AA61" i="32"/>
  <c r="U62" i="32"/>
  <c r="V62" i="32"/>
  <c r="W62" i="32"/>
  <c r="X62" i="32"/>
  <c r="Y62" i="32"/>
  <c r="Z62" i="32"/>
  <c r="AA62" i="32"/>
  <c r="U63" i="32"/>
  <c r="V63" i="32"/>
  <c r="W63" i="32"/>
  <c r="X63" i="32"/>
  <c r="Y63" i="32"/>
  <c r="Z63" i="32"/>
  <c r="AA63" i="32"/>
  <c r="U64" i="32"/>
  <c r="V64" i="32"/>
  <c r="W64" i="32"/>
  <c r="X64" i="32"/>
  <c r="Y64" i="32"/>
  <c r="Z64" i="32"/>
  <c r="AA64" i="32"/>
  <c r="U65" i="32"/>
  <c r="V65" i="32"/>
  <c r="W65" i="32"/>
  <c r="X65" i="32"/>
  <c r="Y65" i="32"/>
  <c r="Z65" i="32"/>
  <c r="AA65" i="32"/>
  <c r="U66" i="32"/>
  <c r="V66" i="32"/>
  <c r="W66" i="32"/>
  <c r="X66" i="32"/>
  <c r="Y66" i="32"/>
  <c r="Z66" i="32"/>
  <c r="AA66" i="32"/>
  <c r="U67" i="32"/>
  <c r="V67" i="32"/>
  <c r="W67" i="32"/>
  <c r="X67" i="32"/>
  <c r="Y67" i="32"/>
  <c r="Z67" i="32"/>
  <c r="AA67" i="32"/>
  <c r="U68" i="32"/>
  <c r="V68" i="32"/>
  <c r="W68" i="32"/>
  <c r="X68" i="32"/>
  <c r="Y68" i="32"/>
  <c r="Z68" i="32"/>
  <c r="AA68" i="32"/>
  <c r="U69" i="32"/>
  <c r="V69" i="32"/>
  <c r="W69" i="32"/>
  <c r="X69" i="32"/>
  <c r="Y69" i="32"/>
  <c r="Z69" i="32"/>
  <c r="AA69" i="32"/>
  <c r="U70" i="32"/>
  <c r="V70" i="32"/>
  <c r="W70" i="32"/>
  <c r="X70" i="32"/>
  <c r="Y70" i="32"/>
  <c r="Z70" i="32"/>
  <c r="AA70" i="32"/>
  <c r="U71" i="32"/>
  <c r="V71" i="32"/>
  <c r="W71" i="32"/>
  <c r="X71" i="32"/>
  <c r="Y71" i="32"/>
  <c r="Z71" i="32"/>
  <c r="AA71" i="32"/>
  <c r="U72" i="32"/>
  <c r="V72" i="32"/>
  <c r="W72" i="32"/>
  <c r="X72" i="32"/>
  <c r="Y72" i="32"/>
  <c r="Z72" i="32"/>
  <c r="AA72" i="32"/>
  <c r="U73" i="32"/>
  <c r="V73" i="32"/>
  <c r="W73" i="32"/>
  <c r="X73" i="32"/>
  <c r="Y73" i="32"/>
  <c r="Z73" i="32"/>
  <c r="AA73" i="32"/>
  <c r="U74" i="32"/>
  <c r="V74" i="32"/>
  <c r="W74" i="32"/>
  <c r="X74" i="32"/>
  <c r="Y74" i="32"/>
  <c r="Z74" i="32"/>
  <c r="AA74" i="32"/>
  <c r="U75" i="32"/>
  <c r="V75" i="32"/>
  <c r="W75" i="32"/>
  <c r="X75" i="32"/>
  <c r="Y75" i="32"/>
  <c r="Z75" i="32"/>
  <c r="AA75" i="32"/>
  <c r="U76" i="32"/>
  <c r="V76" i="32"/>
  <c r="W76" i="32"/>
  <c r="X76" i="32"/>
  <c r="Y76" i="32"/>
  <c r="Z76" i="32"/>
  <c r="AA76" i="32"/>
  <c r="U77" i="32"/>
  <c r="V77" i="32"/>
  <c r="W77" i="32"/>
  <c r="X77" i="32"/>
  <c r="Y77" i="32"/>
  <c r="Z77" i="32"/>
  <c r="AA77" i="32"/>
  <c r="U78" i="32"/>
  <c r="V78" i="32"/>
  <c r="W78" i="32"/>
  <c r="X78" i="32"/>
  <c r="Y78" i="32"/>
  <c r="Z78" i="32"/>
  <c r="AA78" i="32"/>
  <c r="U79" i="32"/>
  <c r="V79" i="32"/>
  <c r="W79" i="32"/>
  <c r="X79" i="32"/>
  <c r="Y79" i="32"/>
  <c r="Z79" i="32"/>
  <c r="AA79" i="32"/>
  <c r="U80" i="32"/>
  <c r="V80" i="32"/>
  <c r="W80" i="32"/>
  <c r="X80" i="32"/>
  <c r="Y80" i="32"/>
  <c r="Z80" i="32"/>
  <c r="AA80" i="32"/>
  <c r="U81" i="32"/>
  <c r="V81" i="32"/>
  <c r="W81" i="32"/>
  <c r="X81" i="32"/>
  <c r="Y81" i="32"/>
  <c r="Z81" i="32"/>
  <c r="AA81" i="32"/>
  <c r="U82" i="32"/>
  <c r="V82" i="32"/>
  <c r="W82" i="32"/>
  <c r="X82" i="32"/>
  <c r="Y82" i="32"/>
  <c r="Z82" i="32"/>
  <c r="AA82" i="32"/>
  <c r="U83" i="32"/>
  <c r="V83" i="32"/>
  <c r="W83" i="32"/>
  <c r="X83" i="32"/>
  <c r="Y83" i="32"/>
  <c r="Z83" i="32"/>
  <c r="AA83" i="32"/>
  <c r="U84" i="32"/>
  <c r="V84" i="32"/>
  <c r="W84" i="32"/>
  <c r="X84" i="32"/>
  <c r="Y84" i="32"/>
  <c r="Z84" i="32"/>
  <c r="AA84" i="32"/>
  <c r="U85" i="32"/>
  <c r="V85" i="32"/>
  <c r="W85" i="32"/>
  <c r="X85" i="32"/>
  <c r="Y85" i="32"/>
  <c r="Z85" i="32"/>
  <c r="AA85" i="32"/>
  <c r="U86" i="32"/>
  <c r="V86" i="32"/>
  <c r="W86" i="32"/>
  <c r="X86" i="32"/>
  <c r="Y86" i="32"/>
  <c r="Z86" i="32"/>
  <c r="AA86" i="32"/>
  <c r="U87" i="32"/>
  <c r="V87" i="32"/>
  <c r="W87" i="32"/>
  <c r="X87" i="32"/>
  <c r="Y87" i="32"/>
  <c r="Z87" i="32"/>
  <c r="AA87" i="32"/>
  <c r="U88" i="32"/>
  <c r="V88" i="32"/>
  <c r="W88" i="32"/>
  <c r="X88" i="32"/>
  <c r="Y88" i="32"/>
  <c r="Z88" i="32"/>
  <c r="AA88" i="32"/>
  <c r="U89" i="32"/>
  <c r="V89" i="32"/>
  <c r="W89" i="32"/>
  <c r="X89" i="32"/>
  <c r="Y89" i="32"/>
  <c r="Z89" i="32"/>
  <c r="AA89" i="32"/>
  <c r="U90" i="32"/>
  <c r="V90" i="32"/>
  <c r="W90" i="32"/>
  <c r="X90" i="32"/>
  <c r="Y90" i="32"/>
  <c r="Z90" i="32"/>
  <c r="AA90" i="32"/>
  <c r="U91" i="32"/>
  <c r="V91" i="32"/>
  <c r="W91" i="32"/>
  <c r="X91" i="32"/>
  <c r="Y91" i="32"/>
  <c r="Z91" i="32"/>
  <c r="AA91" i="32"/>
  <c r="U92" i="32"/>
  <c r="V92" i="32"/>
  <c r="W92" i="32"/>
  <c r="X92" i="32"/>
  <c r="Y92" i="32"/>
  <c r="Z92" i="32"/>
  <c r="AA92" i="32"/>
  <c r="U93" i="32"/>
  <c r="V93" i="32"/>
  <c r="W93" i="32"/>
  <c r="X93" i="32"/>
  <c r="Y93" i="32"/>
  <c r="Z93" i="32"/>
  <c r="AA93" i="32"/>
  <c r="U94" i="32"/>
  <c r="V94" i="32"/>
  <c r="W94" i="32"/>
  <c r="X94" i="32"/>
  <c r="Y94" i="32"/>
  <c r="Z94" i="32"/>
  <c r="AA94" i="32"/>
  <c r="U95" i="32"/>
  <c r="V95" i="32"/>
  <c r="W95" i="32"/>
  <c r="X95" i="32"/>
  <c r="Y95" i="32"/>
  <c r="Z95" i="32"/>
  <c r="AA95" i="32"/>
  <c r="U96" i="32"/>
  <c r="V96" i="32"/>
  <c r="W96" i="32"/>
  <c r="X96" i="32"/>
  <c r="Y96" i="32"/>
  <c r="Z96" i="32"/>
  <c r="AA96" i="32"/>
  <c r="U97" i="32"/>
  <c r="V97" i="32"/>
  <c r="W97" i="32"/>
  <c r="X97" i="32"/>
  <c r="Y97" i="32"/>
  <c r="Z97" i="32"/>
  <c r="AA97" i="32"/>
  <c r="U98" i="32"/>
  <c r="V98" i="32"/>
  <c r="W98" i="32"/>
  <c r="X98" i="32"/>
  <c r="Y98" i="32"/>
  <c r="Z98" i="32"/>
  <c r="AA98" i="32"/>
  <c r="U99" i="32"/>
  <c r="V99" i="32"/>
  <c r="W99" i="32"/>
  <c r="X99" i="32"/>
  <c r="Y99" i="32"/>
  <c r="Z99" i="32"/>
  <c r="AA99" i="32"/>
  <c r="U100" i="32"/>
  <c r="V100" i="32"/>
  <c r="W100" i="32"/>
  <c r="X100" i="32"/>
  <c r="Y100" i="32"/>
  <c r="Z100" i="32"/>
  <c r="AA100" i="32"/>
  <c r="U101" i="32"/>
  <c r="V101" i="32"/>
  <c r="W101" i="32"/>
  <c r="X101" i="32"/>
  <c r="Y101" i="32"/>
  <c r="Z101" i="32"/>
  <c r="AA101" i="32"/>
  <c r="U102" i="32"/>
  <c r="V102" i="32"/>
  <c r="W102" i="32"/>
  <c r="X102" i="32"/>
  <c r="Y102" i="32"/>
  <c r="Z102" i="32"/>
  <c r="AA102" i="32"/>
  <c r="U103" i="32"/>
  <c r="V103" i="32"/>
  <c r="W103" i="32"/>
  <c r="X103" i="32"/>
  <c r="Y103" i="32"/>
  <c r="Z103" i="32"/>
  <c r="AA103" i="32"/>
  <c r="U104" i="32"/>
  <c r="V104" i="32"/>
  <c r="W104" i="32"/>
  <c r="X104" i="32"/>
  <c r="Y104" i="32"/>
  <c r="Z104" i="32"/>
  <c r="AA104" i="32"/>
  <c r="AX104" i="32"/>
  <c r="AW104" i="32"/>
  <c r="AV104" i="32"/>
  <c r="AU104" i="32"/>
  <c r="AT104" i="32"/>
  <c r="AS104" i="32"/>
  <c r="AR104" i="32"/>
  <c r="AQ104" i="32"/>
  <c r="AP104" i="32"/>
  <c r="AO104" i="32"/>
  <c r="AN104" i="32"/>
  <c r="AM104" i="32"/>
  <c r="AL104" i="32"/>
  <c r="AK104" i="32"/>
  <c r="AJ104" i="32"/>
  <c r="AI104" i="32"/>
  <c r="AH104" i="32"/>
  <c r="AG104" i="32"/>
  <c r="AF104" i="32"/>
  <c r="AE104" i="32"/>
  <c r="AD104" i="32"/>
  <c r="AC104" i="32"/>
  <c r="AB104" i="32"/>
  <c r="T104" i="32"/>
  <c r="S104" i="32"/>
  <c r="R104" i="32"/>
  <c r="Q104" i="32"/>
  <c r="P104" i="32"/>
  <c r="O104" i="32"/>
  <c r="N104" i="32"/>
  <c r="M104" i="32"/>
  <c r="L104" i="32"/>
  <c r="K104" i="32"/>
  <c r="J104" i="32"/>
  <c r="I104" i="32"/>
  <c r="H104" i="32"/>
  <c r="AX103" i="32"/>
  <c r="AW103" i="32"/>
  <c r="AV103" i="32"/>
  <c r="AU103" i="32"/>
  <c r="AT103" i="32"/>
  <c r="AS103" i="32"/>
  <c r="AR103" i="32"/>
  <c r="AQ103" i="32"/>
  <c r="AP103" i="32"/>
  <c r="AO103" i="32"/>
  <c r="AN103" i="32"/>
  <c r="AM103" i="32"/>
  <c r="AL103" i="32"/>
  <c r="AK103" i="32"/>
  <c r="AJ103" i="32"/>
  <c r="AI103" i="32"/>
  <c r="AH103" i="32"/>
  <c r="AG103" i="32"/>
  <c r="AF103" i="32"/>
  <c r="AE103" i="32"/>
  <c r="AD103" i="32"/>
  <c r="AC103" i="32"/>
  <c r="AB103" i="32"/>
  <c r="T103" i="32"/>
  <c r="S103" i="32"/>
  <c r="R103" i="32"/>
  <c r="Q103" i="32"/>
  <c r="P103" i="32"/>
  <c r="O103" i="32"/>
  <c r="N103" i="32"/>
  <c r="M103" i="32"/>
  <c r="L103" i="32"/>
  <c r="K103" i="32"/>
  <c r="J103" i="32"/>
  <c r="I103" i="32"/>
  <c r="H103" i="32"/>
  <c r="AX102" i="32"/>
  <c r="AW102" i="32"/>
  <c r="AV102" i="32"/>
  <c r="AU102" i="32"/>
  <c r="AT102" i="32"/>
  <c r="AS102" i="32"/>
  <c r="AR102" i="32"/>
  <c r="AQ102" i="32"/>
  <c r="AP102" i="32"/>
  <c r="AO102" i="32"/>
  <c r="AN102" i="32"/>
  <c r="AM102" i="32"/>
  <c r="AL102" i="32"/>
  <c r="AK102" i="32"/>
  <c r="AJ102" i="32"/>
  <c r="AI102" i="32"/>
  <c r="AH102" i="32"/>
  <c r="AG102" i="32"/>
  <c r="AF102" i="32"/>
  <c r="AE102" i="32"/>
  <c r="AD102" i="32"/>
  <c r="AC102" i="32"/>
  <c r="AB102" i="32"/>
  <c r="T102" i="32"/>
  <c r="S102" i="32"/>
  <c r="R102" i="32"/>
  <c r="Q102" i="32"/>
  <c r="P102" i="32"/>
  <c r="O102" i="32"/>
  <c r="N102" i="32"/>
  <c r="M102" i="32"/>
  <c r="L102" i="32"/>
  <c r="K102" i="32"/>
  <c r="J102" i="32"/>
  <c r="I102" i="32"/>
  <c r="H102" i="32"/>
  <c r="AX101" i="32"/>
  <c r="AW101" i="32"/>
  <c r="AV101" i="32"/>
  <c r="AU101" i="32"/>
  <c r="AT101" i="32"/>
  <c r="AS101" i="32"/>
  <c r="AR101" i="32"/>
  <c r="AQ101" i="32"/>
  <c r="AP101" i="32"/>
  <c r="AO101" i="32"/>
  <c r="AN101" i="32"/>
  <c r="AM101" i="32"/>
  <c r="AL101" i="32"/>
  <c r="AK101" i="32"/>
  <c r="AJ101" i="32"/>
  <c r="AI101" i="32"/>
  <c r="AH101" i="32"/>
  <c r="AG101" i="32"/>
  <c r="AF101" i="32"/>
  <c r="AE101" i="32"/>
  <c r="AD101" i="32"/>
  <c r="AC101" i="32"/>
  <c r="AB101" i="32"/>
  <c r="T101" i="32"/>
  <c r="S101" i="32"/>
  <c r="R101" i="32"/>
  <c r="Q101" i="32"/>
  <c r="P101" i="32"/>
  <c r="O101" i="32"/>
  <c r="N101" i="32"/>
  <c r="M101" i="32"/>
  <c r="L101" i="32"/>
  <c r="K101" i="32"/>
  <c r="J101" i="32"/>
  <c r="I101" i="32"/>
  <c r="H101" i="32"/>
  <c r="AX100" i="32"/>
  <c r="AW100" i="32"/>
  <c r="AV100" i="32"/>
  <c r="AU100" i="32"/>
  <c r="AT100" i="32"/>
  <c r="AS100" i="32"/>
  <c r="AR100" i="32"/>
  <c r="AQ100" i="32"/>
  <c r="AP100" i="32"/>
  <c r="AO100" i="32"/>
  <c r="AN100" i="32"/>
  <c r="AM100" i="32"/>
  <c r="AL100" i="32"/>
  <c r="AK100" i="32"/>
  <c r="AJ100" i="32"/>
  <c r="AI100" i="32"/>
  <c r="AH100" i="32"/>
  <c r="AG100" i="32"/>
  <c r="AF100" i="32"/>
  <c r="AE100" i="32"/>
  <c r="AD100" i="32"/>
  <c r="AC100" i="32"/>
  <c r="AB100" i="32"/>
  <c r="T100" i="32"/>
  <c r="S100" i="32"/>
  <c r="R100" i="32"/>
  <c r="Q100" i="32"/>
  <c r="P100" i="32"/>
  <c r="O100" i="32"/>
  <c r="N100" i="32"/>
  <c r="M100" i="32"/>
  <c r="L100" i="32"/>
  <c r="K100" i="32"/>
  <c r="J100" i="32"/>
  <c r="I100" i="32"/>
  <c r="H100" i="32"/>
  <c r="AX99" i="32"/>
  <c r="AW99" i="32"/>
  <c r="AV99" i="32"/>
  <c r="AU99" i="32"/>
  <c r="AT99" i="32"/>
  <c r="AS99" i="32"/>
  <c r="AR99" i="32"/>
  <c r="AQ99" i="32"/>
  <c r="AP99" i="32"/>
  <c r="AO99" i="32"/>
  <c r="AN99" i="32"/>
  <c r="AM99" i="32"/>
  <c r="AL99" i="32"/>
  <c r="AK99" i="32"/>
  <c r="AJ99" i="32"/>
  <c r="AI99" i="32"/>
  <c r="AH99" i="32"/>
  <c r="AG99" i="32"/>
  <c r="AF99" i="32"/>
  <c r="AE99" i="32"/>
  <c r="AD99" i="32"/>
  <c r="AC99" i="32"/>
  <c r="AB99" i="32"/>
  <c r="T99" i="32"/>
  <c r="S99" i="32"/>
  <c r="R99" i="32"/>
  <c r="Q99" i="32"/>
  <c r="P99" i="32"/>
  <c r="O99" i="32"/>
  <c r="N99" i="32"/>
  <c r="M99" i="32"/>
  <c r="L99" i="32"/>
  <c r="K99" i="32"/>
  <c r="J99" i="32"/>
  <c r="I99" i="32"/>
  <c r="H99" i="32"/>
  <c r="AX98" i="32"/>
  <c r="AW98" i="32"/>
  <c r="AV98" i="32"/>
  <c r="AU98" i="32"/>
  <c r="AT98" i="32"/>
  <c r="AS98" i="32"/>
  <c r="AR98" i="32"/>
  <c r="AQ98" i="32"/>
  <c r="AP98" i="32"/>
  <c r="AO98" i="32"/>
  <c r="AN98" i="32"/>
  <c r="AM98" i="32"/>
  <c r="AL98" i="32"/>
  <c r="AK98" i="32"/>
  <c r="AJ98" i="32"/>
  <c r="AI98" i="32"/>
  <c r="AH98" i="32"/>
  <c r="AG98" i="32"/>
  <c r="AF98" i="32"/>
  <c r="AE98" i="32"/>
  <c r="AD98" i="32"/>
  <c r="AC98" i="32"/>
  <c r="AB98" i="32"/>
  <c r="T98" i="32"/>
  <c r="S98" i="32"/>
  <c r="R98" i="32"/>
  <c r="Q98" i="32"/>
  <c r="P98" i="32"/>
  <c r="O98" i="32"/>
  <c r="N98" i="32"/>
  <c r="M98" i="32"/>
  <c r="L98" i="32"/>
  <c r="K98" i="32"/>
  <c r="J98" i="32"/>
  <c r="I98" i="32"/>
  <c r="H98" i="32"/>
  <c r="AX97" i="32"/>
  <c r="AW97" i="32"/>
  <c r="AV97" i="32"/>
  <c r="AU97" i="32"/>
  <c r="AT97" i="32"/>
  <c r="AS97" i="32"/>
  <c r="AR97" i="32"/>
  <c r="AQ97" i="32"/>
  <c r="AP97" i="32"/>
  <c r="AO97" i="32"/>
  <c r="AN97" i="32"/>
  <c r="AM97" i="32"/>
  <c r="AL97" i="32"/>
  <c r="AK97" i="32"/>
  <c r="AJ97" i="32"/>
  <c r="AI97" i="32"/>
  <c r="AH97" i="32"/>
  <c r="AG97" i="32"/>
  <c r="AF97" i="32"/>
  <c r="AE97" i="32"/>
  <c r="AD97" i="32"/>
  <c r="AC97" i="32"/>
  <c r="AB97" i="32"/>
  <c r="T97" i="32"/>
  <c r="S97" i="32"/>
  <c r="R97" i="32"/>
  <c r="Q97" i="32"/>
  <c r="P97" i="32"/>
  <c r="O97" i="32"/>
  <c r="N97" i="32"/>
  <c r="M97" i="32"/>
  <c r="L97" i="32"/>
  <c r="K97" i="32"/>
  <c r="J97" i="32"/>
  <c r="I97" i="32"/>
  <c r="H97" i="32"/>
  <c r="AX96" i="32"/>
  <c r="AW96" i="32"/>
  <c r="AV96" i="32"/>
  <c r="AU96" i="32"/>
  <c r="AT96" i="32"/>
  <c r="AS96" i="32"/>
  <c r="AR96" i="32"/>
  <c r="AQ96" i="32"/>
  <c r="AP96" i="32"/>
  <c r="AO96" i="32"/>
  <c r="AN96" i="32"/>
  <c r="AM96" i="32"/>
  <c r="AL96" i="32"/>
  <c r="AK96" i="32"/>
  <c r="AJ96" i="32"/>
  <c r="AI96" i="32"/>
  <c r="AH96" i="32"/>
  <c r="AG96" i="32"/>
  <c r="AF96" i="32"/>
  <c r="AE96" i="32"/>
  <c r="AD96" i="32"/>
  <c r="AC96" i="32"/>
  <c r="AB96" i="32"/>
  <c r="T96" i="32"/>
  <c r="S96" i="32"/>
  <c r="R96" i="32"/>
  <c r="Q96" i="32"/>
  <c r="P96" i="32"/>
  <c r="O96" i="32"/>
  <c r="N96" i="32"/>
  <c r="M96" i="32"/>
  <c r="L96" i="32"/>
  <c r="K96" i="32"/>
  <c r="J96" i="32"/>
  <c r="I96" i="32"/>
  <c r="H96" i="32"/>
  <c r="AX95" i="32"/>
  <c r="AW95" i="32"/>
  <c r="AV95" i="32"/>
  <c r="AU95" i="32"/>
  <c r="AT95" i="32"/>
  <c r="AS95" i="32"/>
  <c r="AR95" i="32"/>
  <c r="AQ95" i="32"/>
  <c r="AP95" i="32"/>
  <c r="AO95" i="32"/>
  <c r="AN95" i="32"/>
  <c r="AM95" i="32"/>
  <c r="AL95" i="32"/>
  <c r="AK95" i="32"/>
  <c r="AJ95" i="32"/>
  <c r="AI95" i="32"/>
  <c r="AH95" i="32"/>
  <c r="AG95" i="32"/>
  <c r="AF95" i="32"/>
  <c r="AE95" i="32"/>
  <c r="AD95" i="32"/>
  <c r="AC95" i="32"/>
  <c r="AB95" i="32"/>
  <c r="T95" i="32"/>
  <c r="S95" i="32"/>
  <c r="R95" i="32"/>
  <c r="Q95" i="32"/>
  <c r="P95" i="32"/>
  <c r="O95" i="32"/>
  <c r="N95" i="32"/>
  <c r="M95" i="32"/>
  <c r="L95" i="32"/>
  <c r="K95" i="32"/>
  <c r="J95" i="32"/>
  <c r="I95" i="32"/>
  <c r="H95" i="32"/>
  <c r="AX94" i="32"/>
  <c r="AW94" i="32"/>
  <c r="AV94" i="32"/>
  <c r="AU94" i="32"/>
  <c r="AT94" i="32"/>
  <c r="AS94" i="32"/>
  <c r="AR94" i="32"/>
  <c r="AQ94" i="32"/>
  <c r="AP94" i="32"/>
  <c r="AO94" i="32"/>
  <c r="AN94" i="32"/>
  <c r="AM94" i="32"/>
  <c r="AL94" i="32"/>
  <c r="AK94" i="32"/>
  <c r="AJ94" i="32"/>
  <c r="AI94" i="32"/>
  <c r="AH94" i="32"/>
  <c r="AG94" i="32"/>
  <c r="AF94" i="32"/>
  <c r="AE94" i="32"/>
  <c r="AD94" i="32"/>
  <c r="AC94" i="32"/>
  <c r="AB94" i="32"/>
  <c r="T94" i="32"/>
  <c r="S94" i="32"/>
  <c r="R94" i="32"/>
  <c r="Q94" i="32"/>
  <c r="P94" i="32"/>
  <c r="O94" i="32"/>
  <c r="N94" i="32"/>
  <c r="M94" i="32"/>
  <c r="L94" i="32"/>
  <c r="K94" i="32"/>
  <c r="J94" i="32"/>
  <c r="I94" i="32"/>
  <c r="H94" i="32"/>
  <c r="AX93" i="32"/>
  <c r="AW93" i="32"/>
  <c r="AV93" i="32"/>
  <c r="AU93" i="32"/>
  <c r="AT93" i="32"/>
  <c r="AS93" i="32"/>
  <c r="AR93" i="32"/>
  <c r="AQ93" i="32"/>
  <c r="AP93" i="32"/>
  <c r="AO93" i="32"/>
  <c r="AN93" i="32"/>
  <c r="AM93" i="32"/>
  <c r="AL93" i="32"/>
  <c r="AK93" i="32"/>
  <c r="AJ93" i="32"/>
  <c r="AI93" i="32"/>
  <c r="AH93" i="32"/>
  <c r="AG93" i="32"/>
  <c r="AF93" i="32"/>
  <c r="AE93" i="32"/>
  <c r="AD93" i="32"/>
  <c r="AC93" i="32"/>
  <c r="AB93" i="32"/>
  <c r="T93" i="32"/>
  <c r="S93" i="32"/>
  <c r="R93" i="32"/>
  <c r="Q93" i="32"/>
  <c r="P93" i="32"/>
  <c r="O93" i="32"/>
  <c r="N93" i="32"/>
  <c r="M93" i="32"/>
  <c r="L93" i="32"/>
  <c r="K93" i="32"/>
  <c r="J93" i="32"/>
  <c r="I93" i="32"/>
  <c r="H93" i="32"/>
  <c r="AX92" i="32"/>
  <c r="AW92" i="32"/>
  <c r="AV92" i="32"/>
  <c r="AU92" i="32"/>
  <c r="AT92" i="32"/>
  <c r="AS92" i="32"/>
  <c r="AR92" i="32"/>
  <c r="AQ92" i="32"/>
  <c r="AP92" i="32"/>
  <c r="AO92" i="32"/>
  <c r="AN92" i="32"/>
  <c r="AM92" i="32"/>
  <c r="AL92" i="32"/>
  <c r="AK92" i="32"/>
  <c r="AJ92" i="32"/>
  <c r="AI92" i="32"/>
  <c r="AH92" i="32"/>
  <c r="AG92" i="32"/>
  <c r="AF92" i="32"/>
  <c r="AE92" i="32"/>
  <c r="AD92" i="32"/>
  <c r="AC92" i="32"/>
  <c r="AB92" i="32"/>
  <c r="T92" i="32"/>
  <c r="S92" i="32"/>
  <c r="R92" i="32"/>
  <c r="Q92" i="32"/>
  <c r="P92" i="32"/>
  <c r="O92" i="32"/>
  <c r="N92" i="32"/>
  <c r="M92" i="32"/>
  <c r="L92" i="32"/>
  <c r="K92" i="32"/>
  <c r="J92" i="32"/>
  <c r="I92" i="32"/>
  <c r="H92" i="32"/>
  <c r="AX91" i="32"/>
  <c r="AW91" i="32"/>
  <c r="AV91" i="32"/>
  <c r="AU91" i="32"/>
  <c r="AT91" i="32"/>
  <c r="AS91" i="32"/>
  <c r="AR91" i="32"/>
  <c r="AQ91" i="32"/>
  <c r="AP91" i="32"/>
  <c r="AO91" i="32"/>
  <c r="AN91" i="32"/>
  <c r="AM91" i="32"/>
  <c r="AL91" i="32"/>
  <c r="AK91" i="32"/>
  <c r="AJ91" i="32"/>
  <c r="AI91" i="32"/>
  <c r="AH91" i="32"/>
  <c r="AG91" i="32"/>
  <c r="AF91" i="32"/>
  <c r="AE91" i="32"/>
  <c r="AD91" i="32"/>
  <c r="AC91" i="32"/>
  <c r="AB91" i="32"/>
  <c r="T91" i="32"/>
  <c r="S91" i="32"/>
  <c r="R91" i="32"/>
  <c r="Q91" i="32"/>
  <c r="P91" i="32"/>
  <c r="O91" i="32"/>
  <c r="N91" i="32"/>
  <c r="M91" i="32"/>
  <c r="L91" i="32"/>
  <c r="K91" i="32"/>
  <c r="J91" i="32"/>
  <c r="I91" i="32"/>
  <c r="H91" i="32"/>
  <c r="AX90" i="32"/>
  <c r="AW90" i="32"/>
  <c r="AV90" i="32"/>
  <c r="AU90" i="32"/>
  <c r="AT90" i="32"/>
  <c r="AS90" i="32"/>
  <c r="AR90" i="32"/>
  <c r="AQ90" i="32"/>
  <c r="AP90" i="32"/>
  <c r="AO90" i="32"/>
  <c r="AN90" i="32"/>
  <c r="AM90" i="32"/>
  <c r="AL90" i="32"/>
  <c r="AK90" i="32"/>
  <c r="AJ90" i="32"/>
  <c r="AI90" i="32"/>
  <c r="AH90" i="32"/>
  <c r="AG90" i="32"/>
  <c r="AF90" i="32"/>
  <c r="AE90" i="32"/>
  <c r="AD90" i="32"/>
  <c r="AC90" i="32"/>
  <c r="AB90" i="32"/>
  <c r="T90" i="32"/>
  <c r="S90" i="32"/>
  <c r="R90" i="32"/>
  <c r="Q90" i="32"/>
  <c r="P90" i="32"/>
  <c r="O90" i="32"/>
  <c r="N90" i="32"/>
  <c r="M90" i="32"/>
  <c r="L90" i="32"/>
  <c r="K90" i="32"/>
  <c r="J90" i="32"/>
  <c r="I90" i="32"/>
  <c r="H90" i="32"/>
  <c r="AX89" i="32"/>
  <c r="AW89" i="32"/>
  <c r="AV89" i="32"/>
  <c r="AU89" i="32"/>
  <c r="AT89" i="32"/>
  <c r="AS89" i="32"/>
  <c r="AR89" i="32"/>
  <c r="AQ89" i="32"/>
  <c r="AP89" i="32"/>
  <c r="AO89" i="32"/>
  <c r="AN89" i="32"/>
  <c r="AM89" i="32"/>
  <c r="AL89" i="32"/>
  <c r="AK89" i="32"/>
  <c r="AJ89" i="32"/>
  <c r="AI89" i="32"/>
  <c r="AH89" i="32"/>
  <c r="AG89" i="32"/>
  <c r="AF89" i="32"/>
  <c r="AE89" i="32"/>
  <c r="AD89" i="32"/>
  <c r="AC89" i="32"/>
  <c r="AB89" i="32"/>
  <c r="T89" i="32"/>
  <c r="S89" i="32"/>
  <c r="R89" i="32"/>
  <c r="Q89" i="32"/>
  <c r="P89" i="32"/>
  <c r="O89" i="32"/>
  <c r="N89" i="32"/>
  <c r="M89" i="32"/>
  <c r="L89" i="32"/>
  <c r="K89" i="32"/>
  <c r="J89" i="32"/>
  <c r="I89" i="32"/>
  <c r="H89" i="32"/>
  <c r="AX88" i="32"/>
  <c r="AW88" i="32"/>
  <c r="AV88" i="32"/>
  <c r="AU88" i="32"/>
  <c r="AT88" i="32"/>
  <c r="AS88" i="32"/>
  <c r="AR88" i="32"/>
  <c r="AQ88" i="32"/>
  <c r="AP88" i="32"/>
  <c r="AO88" i="32"/>
  <c r="AN88" i="32"/>
  <c r="AM88" i="32"/>
  <c r="AL88" i="32"/>
  <c r="AK88" i="32"/>
  <c r="AJ88" i="32"/>
  <c r="AI88" i="32"/>
  <c r="AH88" i="32"/>
  <c r="AG88" i="32"/>
  <c r="AF88" i="32"/>
  <c r="AE88" i="32"/>
  <c r="AD88" i="32"/>
  <c r="AC88" i="32"/>
  <c r="AB88" i="32"/>
  <c r="T88" i="32"/>
  <c r="S88" i="32"/>
  <c r="R88" i="32"/>
  <c r="Q88" i="32"/>
  <c r="P88" i="32"/>
  <c r="O88" i="32"/>
  <c r="N88" i="32"/>
  <c r="M88" i="32"/>
  <c r="L88" i="32"/>
  <c r="K88" i="32"/>
  <c r="J88" i="32"/>
  <c r="I88" i="32"/>
  <c r="H88" i="32"/>
  <c r="AX87" i="32"/>
  <c r="AW87" i="32"/>
  <c r="AV87" i="32"/>
  <c r="AU87" i="32"/>
  <c r="AT87" i="32"/>
  <c r="AS87" i="32"/>
  <c r="AR87" i="32"/>
  <c r="AQ87" i="32"/>
  <c r="AP87" i="32"/>
  <c r="AO87" i="32"/>
  <c r="AN87" i="32"/>
  <c r="AM87" i="32"/>
  <c r="AL87" i="32"/>
  <c r="AK87" i="32"/>
  <c r="AJ87" i="32"/>
  <c r="AI87" i="32"/>
  <c r="AH87" i="32"/>
  <c r="AG87" i="32"/>
  <c r="AF87" i="32"/>
  <c r="AE87" i="32"/>
  <c r="AD87" i="32"/>
  <c r="AC87" i="32"/>
  <c r="AB87" i="32"/>
  <c r="T87" i="32"/>
  <c r="S87" i="32"/>
  <c r="R87" i="32"/>
  <c r="Q87" i="32"/>
  <c r="P87" i="32"/>
  <c r="O87" i="32"/>
  <c r="N87" i="32"/>
  <c r="M87" i="32"/>
  <c r="L87" i="32"/>
  <c r="K87" i="32"/>
  <c r="J87" i="32"/>
  <c r="I87" i="32"/>
  <c r="H87" i="32"/>
  <c r="AX86" i="32"/>
  <c r="AW86" i="32"/>
  <c r="AV86" i="32"/>
  <c r="AU86" i="32"/>
  <c r="AT86" i="32"/>
  <c r="AS86" i="32"/>
  <c r="AR86" i="32"/>
  <c r="AQ86" i="32"/>
  <c r="AP86" i="32"/>
  <c r="AO86" i="32"/>
  <c r="AN86" i="32"/>
  <c r="AM86" i="32"/>
  <c r="AL86" i="32"/>
  <c r="AK86" i="32"/>
  <c r="AJ86" i="32"/>
  <c r="AI86" i="32"/>
  <c r="AH86" i="32"/>
  <c r="AG86" i="32"/>
  <c r="AF86" i="32"/>
  <c r="AE86" i="32"/>
  <c r="AD86" i="32"/>
  <c r="AC86" i="32"/>
  <c r="AB86" i="32"/>
  <c r="T86" i="32"/>
  <c r="S86" i="32"/>
  <c r="R86" i="32"/>
  <c r="Q86" i="32"/>
  <c r="P86" i="32"/>
  <c r="O86" i="32"/>
  <c r="N86" i="32"/>
  <c r="M86" i="32"/>
  <c r="L86" i="32"/>
  <c r="K86" i="32"/>
  <c r="J86" i="32"/>
  <c r="I86" i="32"/>
  <c r="H86" i="32"/>
  <c r="AX85" i="32"/>
  <c r="AW85" i="32"/>
  <c r="AV85" i="32"/>
  <c r="AU85" i="32"/>
  <c r="AT85" i="32"/>
  <c r="AS85" i="32"/>
  <c r="AR85" i="32"/>
  <c r="AQ85" i="32"/>
  <c r="AP85" i="32"/>
  <c r="AO85" i="32"/>
  <c r="AN85" i="32"/>
  <c r="AM85" i="32"/>
  <c r="AL85" i="32"/>
  <c r="AK85" i="32"/>
  <c r="AJ85" i="32"/>
  <c r="AI85" i="32"/>
  <c r="AH85" i="32"/>
  <c r="AG85" i="32"/>
  <c r="AF85" i="32"/>
  <c r="AE85" i="32"/>
  <c r="AD85" i="32"/>
  <c r="AC85" i="32"/>
  <c r="AB85" i="32"/>
  <c r="T85" i="32"/>
  <c r="S85" i="32"/>
  <c r="R85" i="32"/>
  <c r="Q85" i="32"/>
  <c r="P85" i="32"/>
  <c r="O85" i="32"/>
  <c r="N85" i="32"/>
  <c r="M85" i="32"/>
  <c r="L85" i="32"/>
  <c r="K85" i="32"/>
  <c r="J85" i="32"/>
  <c r="I85" i="32"/>
  <c r="H85" i="32"/>
  <c r="AX84" i="32"/>
  <c r="AW84" i="32"/>
  <c r="AV84" i="32"/>
  <c r="AU84" i="32"/>
  <c r="AT84" i="32"/>
  <c r="AS84" i="32"/>
  <c r="AR84" i="32"/>
  <c r="AQ84" i="32"/>
  <c r="AP84" i="32"/>
  <c r="AO84" i="32"/>
  <c r="AN84" i="32"/>
  <c r="AM84" i="32"/>
  <c r="AL84" i="32"/>
  <c r="AK84" i="32"/>
  <c r="AJ84" i="32"/>
  <c r="AI84" i="32"/>
  <c r="AH84" i="32"/>
  <c r="AG84" i="32"/>
  <c r="AF84" i="32"/>
  <c r="AE84" i="32"/>
  <c r="AD84" i="32"/>
  <c r="AC84" i="32"/>
  <c r="AB84" i="32"/>
  <c r="T84" i="32"/>
  <c r="S84" i="32"/>
  <c r="R84" i="32"/>
  <c r="Q84" i="32"/>
  <c r="P84" i="32"/>
  <c r="O84" i="32"/>
  <c r="N84" i="32"/>
  <c r="M84" i="32"/>
  <c r="L84" i="32"/>
  <c r="K84" i="32"/>
  <c r="J84" i="32"/>
  <c r="I84" i="32"/>
  <c r="H84" i="32"/>
  <c r="AX83" i="32"/>
  <c r="AW83" i="32"/>
  <c r="AV83" i="32"/>
  <c r="AU83" i="32"/>
  <c r="AT83" i="32"/>
  <c r="AS83" i="32"/>
  <c r="AR83" i="32"/>
  <c r="AQ83" i="32"/>
  <c r="AP83" i="32"/>
  <c r="AO83" i="32"/>
  <c r="AN83" i="32"/>
  <c r="AM83" i="32"/>
  <c r="AL83" i="32"/>
  <c r="AK83" i="32"/>
  <c r="AJ83" i="32"/>
  <c r="AI83" i="32"/>
  <c r="AH83" i="32"/>
  <c r="AG83" i="32"/>
  <c r="AF83" i="32"/>
  <c r="AE83" i="32"/>
  <c r="AD83" i="32"/>
  <c r="AC83" i="32"/>
  <c r="AB83" i="32"/>
  <c r="T83" i="32"/>
  <c r="S83" i="32"/>
  <c r="R83" i="32"/>
  <c r="Q83" i="32"/>
  <c r="P83" i="32"/>
  <c r="O83" i="32"/>
  <c r="N83" i="32"/>
  <c r="M83" i="32"/>
  <c r="L83" i="32"/>
  <c r="K83" i="32"/>
  <c r="J83" i="32"/>
  <c r="I83" i="32"/>
  <c r="H83" i="32"/>
  <c r="AX82" i="32"/>
  <c r="AW82" i="32"/>
  <c r="AV82" i="32"/>
  <c r="AU82" i="32"/>
  <c r="AT82" i="32"/>
  <c r="AS82" i="32"/>
  <c r="AR82" i="32"/>
  <c r="AQ82" i="32"/>
  <c r="AP82" i="32"/>
  <c r="AO82" i="32"/>
  <c r="AN82" i="32"/>
  <c r="AM82" i="32"/>
  <c r="AL82" i="32"/>
  <c r="AK82" i="32"/>
  <c r="AJ82" i="32"/>
  <c r="AI82" i="32"/>
  <c r="AH82" i="32"/>
  <c r="AG82" i="32"/>
  <c r="AF82" i="32"/>
  <c r="AE82" i="32"/>
  <c r="AD82" i="32"/>
  <c r="AC82" i="32"/>
  <c r="AB82" i="32"/>
  <c r="T82" i="32"/>
  <c r="S82" i="32"/>
  <c r="R82" i="32"/>
  <c r="Q82" i="32"/>
  <c r="P82" i="32"/>
  <c r="O82" i="32"/>
  <c r="N82" i="32"/>
  <c r="M82" i="32"/>
  <c r="L82" i="32"/>
  <c r="K82" i="32"/>
  <c r="J82" i="32"/>
  <c r="I82" i="32"/>
  <c r="H82" i="32"/>
  <c r="AX81" i="32"/>
  <c r="AW81" i="32"/>
  <c r="AV81" i="32"/>
  <c r="AU81" i="32"/>
  <c r="AT81" i="32"/>
  <c r="AS81" i="32"/>
  <c r="AR81" i="32"/>
  <c r="AQ81" i="32"/>
  <c r="AP81" i="32"/>
  <c r="AO81" i="32"/>
  <c r="AN81" i="32"/>
  <c r="AM81" i="32"/>
  <c r="AL81" i="32"/>
  <c r="AK81" i="32"/>
  <c r="AJ81" i="32"/>
  <c r="AI81" i="32"/>
  <c r="AH81" i="32"/>
  <c r="AG81" i="32"/>
  <c r="AF81" i="32"/>
  <c r="AE81" i="32"/>
  <c r="AD81" i="32"/>
  <c r="AC81" i="32"/>
  <c r="AB81" i="32"/>
  <c r="T81" i="32"/>
  <c r="S81" i="32"/>
  <c r="R81" i="32"/>
  <c r="Q81" i="32"/>
  <c r="P81" i="32"/>
  <c r="O81" i="32"/>
  <c r="N81" i="32"/>
  <c r="M81" i="32"/>
  <c r="L81" i="32"/>
  <c r="K81" i="32"/>
  <c r="J81" i="32"/>
  <c r="I81" i="32"/>
  <c r="H81" i="32"/>
  <c r="AX80" i="32"/>
  <c r="AW80" i="32"/>
  <c r="AV80" i="32"/>
  <c r="AU80" i="32"/>
  <c r="AT80" i="32"/>
  <c r="AS80" i="32"/>
  <c r="AR80" i="32"/>
  <c r="AQ80" i="32"/>
  <c r="AP80" i="32"/>
  <c r="AO80" i="32"/>
  <c r="AN80" i="32"/>
  <c r="AM80" i="32"/>
  <c r="AL80" i="32"/>
  <c r="AK80" i="32"/>
  <c r="AJ80" i="32"/>
  <c r="AI80" i="32"/>
  <c r="AH80" i="32"/>
  <c r="AG80" i="32"/>
  <c r="AF80" i="32"/>
  <c r="AE80" i="32"/>
  <c r="AD80" i="32"/>
  <c r="AC80" i="32"/>
  <c r="AB80" i="32"/>
  <c r="T80" i="32"/>
  <c r="S80" i="32"/>
  <c r="R80" i="32"/>
  <c r="Q80" i="32"/>
  <c r="P80" i="32"/>
  <c r="O80" i="32"/>
  <c r="N80" i="32"/>
  <c r="M80" i="32"/>
  <c r="L80" i="32"/>
  <c r="K80" i="32"/>
  <c r="J80" i="32"/>
  <c r="I80" i="32"/>
  <c r="H80" i="32"/>
  <c r="AX79" i="32"/>
  <c r="AW79" i="32"/>
  <c r="AV79" i="32"/>
  <c r="AU79" i="32"/>
  <c r="AT79" i="32"/>
  <c r="AS79" i="32"/>
  <c r="AR79" i="32"/>
  <c r="AQ79" i="32"/>
  <c r="AP79" i="32"/>
  <c r="AO79" i="32"/>
  <c r="AN79" i="32"/>
  <c r="AM79" i="32"/>
  <c r="AL79" i="32"/>
  <c r="AK79" i="32"/>
  <c r="AJ79" i="32"/>
  <c r="AI79" i="32"/>
  <c r="AH79" i="32"/>
  <c r="AG79" i="32"/>
  <c r="AF79" i="32"/>
  <c r="AE79" i="32"/>
  <c r="AD79" i="32"/>
  <c r="AC79" i="32"/>
  <c r="AB79" i="32"/>
  <c r="T79" i="32"/>
  <c r="S79" i="32"/>
  <c r="R79" i="32"/>
  <c r="Q79" i="32"/>
  <c r="P79" i="32"/>
  <c r="O79" i="32"/>
  <c r="N79" i="32"/>
  <c r="M79" i="32"/>
  <c r="L79" i="32"/>
  <c r="K79" i="32"/>
  <c r="J79" i="32"/>
  <c r="I79" i="32"/>
  <c r="H79" i="32"/>
  <c r="AX78" i="32"/>
  <c r="AW78" i="32"/>
  <c r="AV78" i="32"/>
  <c r="AU78" i="32"/>
  <c r="AT78" i="32"/>
  <c r="AS78" i="32"/>
  <c r="AR78" i="32"/>
  <c r="AQ78" i="32"/>
  <c r="AP78" i="32"/>
  <c r="AO78" i="32"/>
  <c r="AN78" i="32"/>
  <c r="AM78" i="32"/>
  <c r="AL78" i="32"/>
  <c r="AK78" i="32"/>
  <c r="AJ78" i="32"/>
  <c r="AI78" i="32"/>
  <c r="AH78" i="32"/>
  <c r="AG78" i="32"/>
  <c r="AF78" i="32"/>
  <c r="AE78" i="32"/>
  <c r="AD78" i="32"/>
  <c r="AC78" i="32"/>
  <c r="AB78" i="32"/>
  <c r="T78" i="32"/>
  <c r="S78" i="32"/>
  <c r="R78" i="32"/>
  <c r="Q78" i="32"/>
  <c r="P78" i="32"/>
  <c r="O78" i="32"/>
  <c r="N78" i="32"/>
  <c r="M78" i="32"/>
  <c r="L78" i="32"/>
  <c r="K78" i="32"/>
  <c r="J78" i="32"/>
  <c r="I78" i="32"/>
  <c r="H78" i="32"/>
  <c r="AX77" i="32"/>
  <c r="AW77" i="32"/>
  <c r="AV77" i="32"/>
  <c r="AU77" i="32"/>
  <c r="AT77" i="32"/>
  <c r="AS77" i="32"/>
  <c r="AR77" i="32"/>
  <c r="AQ77" i="32"/>
  <c r="AP77" i="32"/>
  <c r="AO77" i="32"/>
  <c r="AN77" i="32"/>
  <c r="AM77" i="32"/>
  <c r="AL77" i="32"/>
  <c r="AK77" i="32"/>
  <c r="AJ77" i="32"/>
  <c r="AI77" i="32"/>
  <c r="AH77" i="32"/>
  <c r="AG77" i="32"/>
  <c r="AF77" i="32"/>
  <c r="AE77" i="32"/>
  <c r="AD77" i="32"/>
  <c r="AC77" i="32"/>
  <c r="AB77" i="32"/>
  <c r="T77" i="32"/>
  <c r="S77" i="32"/>
  <c r="R77" i="32"/>
  <c r="Q77" i="32"/>
  <c r="P77" i="32"/>
  <c r="O77" i="32"/>
  <c r="N77" i="32"/>
  <c r="M77" i="32"/>
  <c r="L77" i="32"/>
  <c r="K77" i="32"/>
  <c r="J77" i="32"/>
  <c r="I77" i="32"/>
  <c r="H77" i="32"/>
  <c r="AX76" i="32"/>
  <c r="AW76" i="32"/>
  <c r="AV76" i="32"/>
  <c r="AU76" i="32"/>
  <c r="AT76" i="32"/>
  <c r="AS76" i="32"/>
  <c r="AR76" i="32"/>
  <c r="AQ76" i="32"/>
  <c r="AP76" i="32"/>
  <c r="AO76" i="32"/>
  <c r="AN76" i="32"/>
  <c r="AM76" i="32"/>
  <c r="AL76" i="32"/>
  <c r="AK76" i="32"/>
  <c r="AJ76" i="32"/>
  <c r="AI76" i="32"/>
  <c r="AH76" i="32"/>
  <c r="AG76" i="32"/>
  <c r="AF76" i="32"/>
  <c r="AE76" i="32"/>
  <c r="AD76" i="32"/>
  <c r="AC76" i="32"/>
  <c r="AB76" i="32"/>
  <c r="T76" i="32"/>
  <c r="S76" i="32"/>
  <c r="R76" i="32"/>
  <c r="Q76" i="32"/>
  <c r="P76" i="32"/>
  <c r="O76" i="32"/>
  <c r="N76" i="32"/>
  <c r="M76" i="32"/>
  <c r="L76" i="32"/>
  <c r="K76" i="32"/>
  <c r="J76" i="32"/>
  <c r="I76" i="32"/>
  <c r="H76" i="32"/>
  <c r="AX75" i="32"/>
  <c r="AW75" i="32"/>
  <c r="AV75" i="32"/>
  <c r="AU75" i="32"/>
  <c r="AT75" i="32"/>
  <c r="AS75" i="32"/>
  <c r="AR75" i="32"/>
  <c r="AQ75" i="32"/>
  <c r="AP75" i="32"/>
  <c r="AO75" i="32"/>
  <c r="AN75" i="32"/>
  <c r="AM75" i="32"/>
  <c r="AL75" i="32"/>
  <c r="AK75" i="32"/>
  <c r="AJ75" i="32"/>
  <c r="AI75" i="32"/>
  <c r="AH75" i="32"/>
  <c r="AG75" i="32"/>
  <c r="AF75" i="32"/>
  <c r="AE75" i="32"/>
  <c r="AD75" i="32"/>
  <c r="AC75" i="32"/>
  <c r="AB75" i="32"/>
  <c r="T75" i="32"/>
  <c r="S75" i="32"/>
  <c r="R75" i="32"/>
  <c r="Q75" i="32"/>
  <c r="P75" i="32"/>
  <c r="O75" i="32"/>
  <c r="N75" i="32"/>
  <c r="M75" i="32"/>
  <c r="L75" i="32"/>
  <c r="K75" i="32"/>
  <c r="J75" i="32"/>
  <c r="I75" i="32"/>
  <c r="H75" i="32"/>
  <c r="AX74" i="32"/>
  <c r="AW74" i="32"/>
  <c r="AV74" i="32"/>
  <c r="AU74" i="32"/>
  <c r="AT74" i="32"/>
  <c r="AS74" i="32"/>
  <c r="AR74" i="32"/>
  <c r="AQ74" i="32"/>
  <c r="AP74" i="32"/>
  <c r="AO74" i="32"/>
  <c r="AN74" i="32"/>
  <c r="AM74" i="32"/>
  <c r="AL74" i="32"/>
  <c r="AK74" i="32"/>
  <c r="AJ74" i="32"/>
  <c r="AI74" i="32"/>
  <c r="AH74" i="32"/>
  <c r="AG74" i="32"/>
  <c r="AF74" i="32"/>
  <c r="AE74" i="32"/>
  <c r="AD74" i="32"/>
  <c r="AC74" i="32"/>
  <c r="AB74" i="32"/>
  <c r="T74" i="32"/>
  <c r="S74" i="32"/>
  <c r="R74" i="32"/>
  <c r="Q74" i="32"/>
  <c r="P74" i="32"/>
  <c r="O74" i="32"/>
  <c r="N74" i="32"/>
  <c r="M74" i="32"/>
  <c r="L74" i="32"/>
  <c r="K74" i="32"/>
  <c r="J74" i="32"/>
  <c r="I74" i="32"/>
  <c r="H74" i="32"/>
  <c r="AX73" i="32"/>
  <c r="AW73" i="32"/>
  <c r="AV73" i="32"/>
  <c r="AU73" i="32"/>
  <c r="AT73" i="32"/>
  <c r="AS73" i="32"/>
  <c r="AR73" i="32"/>
  <c r="AQ73" i="32"/>
  <c r="AP73" i="32"/>
  <c r="AO73" i="32"/>
  <c r="AN73" i="32"/>
  <c r="AM73" i="32"/>
  <c r="AL73" i="32"/>
  <c r="AK73" i="32"/>
  <c r="AJ73" i="32"/>
  <c r="AI73" i="32"/>
  <c r="AH73" i="32"/>
  <c r="AG73" i="32"/>
  <c r="AF73" i="32"/>
  <c r="AE73" i="32"/>
  <c r="AD73" i="32"/>
  <c r="AC73" i="32"/>
  <c r="AB73" i="32"/>
  <c r="T73" i="32"/>
  <c r="S73" i="32"/>
  <c r="R73" i="32"/>
  <c r="Q73" i="32"/>
  <c r="P73" i="32"/>
  <c r="O73" i="32"/>
  <c r="N73" i="32"/>
  <c r="M73" i="32"/>
  <c r="L73" i="32"/>
  <c r="K73" i="32"/>
  <c r="J73" i="32"/>
  <c r="I73" i="32"/>
  <c r="H73" i="32"/>
  <c r="AX72" i="32"/>
  <c r="AW72" i="32"/>
  <c r="AV72" i="32"/>
  <c r="AU72" i="32"/>
  <c r="AT72" i="32"/>
  <c r="AS72" i="32"/>
  <c r="AR72" i="32"/>
  <c r="AQ72" i="32"/>
  <c r="AP72" i="32"/>
  <c r="AO72" i="32"/>
  <c r="AN72" i="32"/>
  <c r="AM72" i="32"/>
  <c r="AL72" i="32"/>
  <c r="AK72" i="32"/>
  <c r="AJ72" i="32"/>
  <c r="AI72" i="32"/>
  <c r="AH72" i="32"/>
  <c r="AG72" i="32"/>
  <c r="AF72" i="32"/>
  <c r="AE72" i="32"/>
  <c r="AD72" i="32"/>
  <c r="AC72" i="32"/>
  <c r="AB72" i="32"/>
  <c r="T72" i="32"/>
  <c r="S72" i="32"/>
  <c r="R72" i="32"/>
  <c r="Q72" i="32"/>
  <c r="P72" i="32"/>
  <c r="O72" i="32"/>
  <c r="N72" i="32"/>
  <c r="M72" i="32"/>
  <c r="L72" i="32"/>
  <c r="K72" i="32"/>
  <c r="J72" i="32"/>
  <c r="I72" i="32"/>
  <c r="H72" i="32"/>
  <c r="AX71" i="32"/>
  <c r="AW71" i="32"/>
  <c r="AV71" i="32"/>
  <c r="AU71" i="32"/>
  <c r="AT71" i="32"/>
  <c r="AS71" i="32"/>
  <c r="AR71" i="32"/>
  <c r="AQ71" i="32"/>
  <c r="AP71" i="32"/>
  <c r="AO71" i="32"/>
  <c r="AN71" i="32"/>
  <c r="AM71" i="32"/>
  <c r="AL71" i="32"/>
  <c r="AK71" i="32"/>
  <c r="AJ71" i="32"/>
  <c r="AI71" i="32"/>
  <c r="AH71" i="32"/>
  <c r="AG71" i="32"/>
  <c r="AF71" i="32"/>
  <c r="AE71" i="32"/>
  <c r="AD71" i="32"/>
  <c r="AC71" i="32"/>
  <c r="AB71" i="32"/>
  <c r="T71" i="32"/>
  <c r="S71" i="32"/>
  <c r="R71" i="32"/>
  <c r="Q71" i="32"/>
  <c r="P71" i="32"/>
  <c r="O71" i="32"/>
  <c r="N71" i="32"/>
  <c r="M71" i="32"/>
  <c r="L71" i="32"/>
  <c r="K71" i="32"/>
  <c r="J71" i="32"/>
  <c r="I71" i="32"/>
  <c r="H71" i="32"/>
  <c r="AX70" i="32"/>
  <c r="AW70" i="32"/>
  <c r="AV70" i="32"/>
  <c r="AU70" i="32"/>
  <c r="AT70" i="32"/>
  <c r="AS70" i="32"/>
  <c r="AR70" i="32"/>
  <c r="AQ70" i="32"/>
  <c r="AP70" i="32"/>
  <c r="AO70" i="32"/>
  <c r="AN70" i="32"/>
  <c r="AM70" i="32"/>
  <c r="AL70" i="32"/>
  <c r="AK70" i="32"/>
  <c r="AJ70" i="32"/>
  <c r="AI70" i="32"/>
  <c r="AH70" i="32"/>
  <c r="AG70" i="32"/>
  <c r="AF70" i="32"/>
  <c r="AE70" i="32"/>
  <c r="AD70" i="32"/>
  <c r="AC70" i="32"/>
  <c r="AB70" i="32"/>
  <c r="T70" i="32"/>
  <c r="S70" i="32"/>
  <c r="R70" i="32"/>
  <c r="Q70" i="32"/>
  <c r="P70" i="32"/>
  <c r="O70" i="32"/>
  <c r="N70" i="32"/>
  <c r="M70" i="32"/>
  <c r="L70" i="32"/>
  <c r="K70" i="32"/>
  <c r="J70" i="32"/>
  <c r="I70" i="32"/>
  <c r="H70" i="32"/>
  <c r="AX69" i="32"/>
  <c r="AW69" i="32"/>
  <c r="AV69" i="32"/>
  <c r="AU69" i="32"/>
  <c r="AT69" i="32"/>
  <c r="AS69" i="32"/>
  <c r="AR69" i="32"/>
  <c r="AQ69" i="32"/>
  <c r="AP69" i="32"/>
  <c r="AO69" i="32"/>
  <c r="AN69" i="32"/>
  <c r="AM69" i="32"/>
  <c r="AL69" i="32"/>
  <c r="AK69" i="32"/>
  <c r="AJ69" i="32"/>
  <c r="AI69" i="32"/>
  <c r="AH69" i="32"/>
  <c r="AG69" i="32"/>
  <c r="AF69" i="32"/>
  <c r="AE69" i="32"/>
  <c r="AD69" i="32"/>
  <c r="AC69" i="32"/>
  <c r="AB69" i="32"/>
  <c r="T69" i="32"/>
  <c r="S69" i="32"/>
  <c r="R69" i="32"/>
  <c r="Q69" i="32"/>
  <c r="P69" i="32"/>
  <c r="O69" i="32"/>
  <c r="N69" i="32"/>
  <c r="M69" i="32"/>
  <c r="L69" i="32"/>
  <c r="K69" i="32"/>
  <c r="J69" i="32"/>
  <c r="I69" i="32"/>
  <c r="H69" i="32"/>
  <c r="AX68" i="32"/>
  <c r="AW68" i="32"/>
  <c r="AV68" i="32"/>
  <c r="AU68" i="32"/>
  <c r="AT68" i="32"/>
  <c r="AS68" i="32"/>
  <c r="AR68" i="32"/>
  <c r="AQ68" i="32"/>
  <c r="AP68" i="32"/>
  <c r="AO68" i="32"/>
  <c r="AN68" i="32"/>
  <c r="AM68" i="32"/>
  <c r="AL68" i="32"/>
  <c r="AK68" i="32"/>
  <c r="AJ68" i="32"/>
  <c r="AI68" i="32"/>
  <c r="AH68" i="32"/>
  <c r="AG68" i="32"/>
  <c r="AF68" i="32"/>
  <c r="AE68" i="32"/>
  <c r="AD68" i="32"/>
  <c r="AC68" i="32"/>
  <c r="AB68" i="32"/>
  <c r="T68" i="32"/>
  <c r="S68" i="32"/>
  <c r="R68" i="32"/>
  <c r="Q68" i="32"/>
  <c r="P68" i="32"/>
  <c r="O68" i="32"/>
  <c r="N68" i="32"/>
  <c r="M68" i="32"/>
  <c r="L68" i="32"/>
  <c r="K68" i="32"/>
  <c r="J68" i="32"/>
  <c r="I68" i="32"/>
  <c r="H68" i="32"/>
  <c r="AX67" i="32"/>
  <c r="AW67" i="32"/>
  <c r="AV67" i="32"/>
  <c r="AU67" i="32"/>
  <c r="AT67" i="32"/>
  <c r="AS67" i="32"/>
  <c r="AR67" i="32"/>
  <c r="AQ67" i="32"/>
  <c r="AP67" i="32"/>
  <c r="AO67" i="32"/>
  <c r="AN67" i="32"/>
  <c r="AM67" i="32"/>
  <c r="AL67" i="32"/>
  <c r="AK67" i="32"/>
  <c r="AJ67" i="32"/>
  <c r="AI67" i="32"/>
  <c r="AH67" i="32"/>
  <c r="AG67" i="32"/>
  <c r="AF67" i="32"/>
  <c r="AE67" i="32"/>
  <c r="AD67" i="32"/>
  <c r="AC67" i="32"/>
  <c r="AB67" i="32"/>
  <c r="T67" i="32"/>
  <c r="S67" i="32"/>
  <c r="R67" i="32"/>
  <c r="Q67" i="32"/>
  <c r="P67" i="32"/>
  <c r="O67" i="32"/>
  <c r="N67" i="32"/>
  <c r="M67" i="32"/>
  <c r="L67" i="32"/>
  <c r="K67" i="32"/>
  <c r="J67" i="32"/>
  <c r="I67" i="32"/>
  <c r="H67" i="32"/>
  <c r="AX66" i="32"/>
  <c r="AW66" i="32"/>
  <c r="AV66" i="32"/>
  <c r="AU66" i="32"/>
  <c r="AT66" i="32"/>
  <c r="AS66" i="32"/>
  <c r="AR66" i="32"/>
  <c r="AQ66" i="32"/>
  <c r="AP66" i="32"/>
  <c r="AO66" i="32"/>
  <c r="AN66" i="32"/>
  <c r="AM66" i="32"/>
  <c r="AL66" i="32"/>
  <c r="AK66" i="32"/>
  <c r="AJ66" i="32"/>
  <c r="AI66" i="32"/>
  <c r="AH66" i="32"/>
  <c r="AG66" i="32"/>
  <c r="AF66" i="32"/>
  <c r="AE66" i="32"/>
  <c r="AD66" i="32"/>
  <c r="AC66" i="32"/>
  <c r="AB66" i="32"/>
  <c r="T66" i="32"/>
  <c r="S66" i="32"/>
  <c r="R66" i="32"/>
  <c r="Q66" i="32"/>
  <c r="P66" i="32"/>
  <c r="O66" i="32"/>
  <c r="N66" i="32"/>
  <c r="M66" i="32"/>
  <c r="L66" i="32"/>
  <c r="K66" i="32"/>
  <c r="J66" i="32"/>
  <c r="I66" i="32"/>
  <c r="H66" i="32"/>
  <c r="AX65" i="32"/>
  <c r="AW65" i="32"/>
  <c r="AV65" i="32"/>
  <c r="AU65" i="32"/>
  <c r="AT65" i="32"/>
  <c r="AS65" i="32"/>
  <c r="AR65" i="32"/>
  <c r="AQ65" i="32"/>
  <c r="AP65" i="32"/>
  <c r="AO65" i="32"/>
  <c r="AN65" i="32"/>
  <c r="AM65" i="32"/>
  <c r="AL65" i="32"/>
  <c r="AK65" i="32"/>
  <c r="AJ65" i="32"/>
  <c r="AI65" i="32"/>
  <c r="AH65" i="32"/>
  <c r="AG65" i="32"/>
  <c r="AF65" i="32"/>
  <c r="AE65" i="32"/>
  <c r="AD65" i="32"/>
  <c r="AC65" i="32"/>
  <c r="AB65" i="32"/>
  <c r="T65" i="32"/>
  <c r="S65" i="32"/>
  <c r="R65" i="32"/>
  <c r="Q65" i="32"/>
  <c r="P65" i="32"/>
  <c r="O65" i="32"/>
  <c r="N65" i="32"/>
  <c r="M65" i="32"/>
  <c r="L65" i="32"/>
  <c r="K65" i="32"/>
  <c r="J65" i="32"/>
  <c r="I65" i="32"/>
  <c r="H65" i="32"/>
  <c r="AX64" i="32"/>
  <c r="AW64" i="32"/>
  <c r="AV64" i="32"/>
  <c r="AU64" i="32"/>
  <c r="AT64" i="32"/>
  <c r="AS64" i="32"/>
  <c r="AR64" i="32"/>
  <c r="AQ64" i="32"/>
  <c r="AP64" i="32"/>
  <c r="AO64" i="32"/>
  <c r="AN64" i="32"/>
  <c r="AM64" i="32"/>
  <c r="AL64" i="32"/>
  <c r="AK64" i="32"/>
  <c r="AJ64" i="32"/>
  <c r="AI64" i="32"/>
  <c r="AH64" i="32"/>
  <c r="AG64" i="32"/>
  <c r="AF64" i="32"/>
  <c r="AE64" i="32"/>
  <c r="AD64" i="32"/>
  <c r="AC64" i="32"/>
  <c r="AB64" i="32"/>
  <c r="T64" i="32"/>
  <c r="S64" i="32"/>
  <c r="R64" i="32"/>
  <c r="Q64" i="32"/>
  <c r="P64" i="32"/>
  <c r="O64" i="32"/>
  <c r="N64" i="32"/>
  <c r="M64" i="32"/>
  <c r="L64" i="32"/>
  <c r="K64" i="32"/>
  <c r="J64" i="32"/>
  <c r="I64" i="32"/>
  <c r="H64" i="32"/>
  <c r="AX63" i="32"/>
  <c r="AW63" i="32"/>
  <c r="AV63" i="32"/>
  <c r="AU63" i="32"/>
  <c r="AT63" i="32"/>
  <c r="AS63" i="32"/>
  <c r="AR63" i="32"/>
  <c r="AQ63" i="32"/>
  <c r="AP63" i="32"/>
  <c r="AO63" i="32"/>
  <c r="AN63" i="32"/>
  <c r="AM63" i="32"/>
  <c r="AL63" i="32"/>
  <c r="AK63" i="32"/>
  <c r="AJ63" i="32"/>
  <c r="AI63" i="32"/>
  <c r="AH63" i="32"/>
  <c r="AG63" i="32"/>
  <c r="AF63" i="32"/>
  <c r="AE63" i="32"/>
  <c r="AD63" i="32"/>
  <c r="AC63" i="32"/>
  <c r="AB63" i="32"/>
  <c r="T63" i="32"/>
  <c r="S63" i="32"/>
  <c r="R63" i="32"/>
  <c r="Q63" i="32"/>
  <c r="P63" i="32"/>
  <c r="O63" i="32"/>
  <c r="N63" i="32"/>
  <c r="M63" i="32"/>
  <c r="L63" i="32"/>
  <c r="K63" i="32"/>
  <c r="J63" i="32"/>
  <c r="I63" i="32"/>
  <c r="H63" i="32"/>
  <c r="AX62" i="32"/>
  <c r="AW62" i="32"/>
  <c r="AV62" i="32"/>
  <c r="AU62" i="32"/>
  <c r="AT62" i="32"/>
  <c r="AS62" i="32"/>
  <c r="AR62" i="32"/>
  <c r="AQ62" i="32"/>
  <c r="AP62" i="32"/>
  <c r="AO62" i="32"/>
  <c r="AN62" i="32"/>
  <c r="AM62" i="32"/>
  <c r="AL62" i="32"/>
  <c r="AK62" i="32"/>
  <c r="AJ62" i="32"/>
  <c r="AI62" i="32"/>
  <c r="AH62" i="32"/>
  <c r="AG62" i="32"/>
  <c r="AF62" i="32"/>
  <c r="AE62" i="32"/>
  <c r="AD62" i="32"/>
  <c r="AC62" i="32"/>
  <c r="AB62" i="32"/>
  <c r="T62" i="32"/>
  <c r="S62" i="32"/>
  <c r="R62" i="32"/>
  <c r="Q62" i="32"/>
  <c r="P62" i="32"/>
  <c r="O62" i="32"/>
  <c r="N62" i="32"/>
  <c r="M62" i="32"/>
  <c r="L62" i="32"/>
  <c r="K62" i="32"/>
  <c r="J62" i="32"/>
  <c r="I62" i="32"/>
  <c r="H62" i="32"/>
  <c r="AX61" i="32"/>
  <c r="AW61" i="32"/>
  <c r="AV61" i="32"/>
  <c r="AU61" i="32"/>
  <c r="AT61" i="32"/>
  <c r="AS61" i="32"/>
  <c r="AR61" i="32"/>
  <c r="AQ61" i="32"/>
  <c r="AP61" i="32"/>
  <c r="AO61" i="32"/>
  <c r="AN61" i="32"/>
  <c r="AM61" i="32"/>
  <c r="AL61" i="32"/>
  <c r="AK61" i="32"/>
  <c r="AJ61" i="32"/>
  <c r="AI61" i="32"/>
  <c r="AH61" i="32"/>
  <c r="AG61" i="32"/>
  <c r="AF61" i="32"/>
  <c r="AE61" i="32"/>
  <c r="AD61" i="32"/>
  <c r="AC61" i="32"/>
  <c r="AB61" i="32"/>
  <c r="T61" i="32"/>
  <c r="S61" i="32"/>
  <c r="R61" i="32"/>
  <c r="Q61" i="32"/>
  <c r="P61" i="32"/>
  <c r="O61" i="32"/>
  <c r="N61" i="32"/>
  <c r="M61" i="32"/>
  <c r="L61" i="32"/>
  <c r="K61" i="32"/>
  <c r="J61" i="32"/>
  <c r="I61" i="32"/>
  <c r="H61" i="32"/>
  <c r="AX60" i="32"/>
  <c r="AW60" i="32"/>
  <c r="AV60" i="32"/>
  <c r="AU60" i="32"/>
  <c r="AT60" i="32"/>
  <c r="AS60" i="32"/>
  <c r="AR60" i="32"/>
  <c r="AQ60" i="32"/>
  <c r="AP60" i="32"/>
  <c r="AO60" i="32"/>
  <c r="AN60" i="32"/>
  <c r="AM60" i="32"/>
  <c r="AL60" i="32"/>
  <c r="AK60" i="32"/>
  <c r="AJ60" i="32"/>
  <c r="AI60" i="32"/>
  <c r="AH60" i="32"/>
  <c r="AG60" i="32"/>
  <c r="AF60" i="32"/>
  <c r="AE60" i="32"/>
  <c r="AD60" i="32"/>
  <c r="AC60" i="32"/>
  <c r="AB60" i="32"/>
  <c r="T60" i="32"/>
  <c r="S60" i="32"/>
  <c r="R60" i="32"/>
  <c r="Q60" i="32"/>
  <c r="P60" i="32"/>
  <c r="O60" i="32"/>
  <c r="N60" i="32"/>
  <c r="M60" i="32"/>
  <c r="L60" i="32"/>
  <c r="K60" i="32"/>
  <c r="J60" i="32"/>
  <c r="I60" i="32"/>
  <c r="H60" i="32"/>
  <c r="AX59" i="32"/>
  <c r="AW59" i="32"/>
  <c r="AV59" i="32"/>
  <c r="AU59" i="32"/>
  <c r="AT59" i="32"/>
  <c r="AS59" i="32"/>
  <c r="AR59" i="32"/>
  <c r="AQ59" i="32"/>
  <c r="AP59" i="32"/>
  <c r="AO59" i="32"/>
  <c r="AN59" i="32"/>
  <c r="AM59" i="32"/>
  <c r="AL59" i="32"/>
  <c r="AK59" i="32"/>
  <c r="AJ59" i="32"/>
  <c r="AI59" i="32"/>
  <c r="AH59" i="32"/>
  <c r="AG59" i="32"/>
  <c r="AF59" i="32"/>
  <c r="AE59" i="32"/>
  <c r="AD59" i="32"/>
  <c r="AC59" i="32"/>
  <c r="AB59" i="32"/>
  <c r="T59" i="32"/>
  <c r="S59" i="32"/>
  <c r="R59" i="32"/>
  <c r="Q59" i="32"/>
  <c r="P59" i="32"/>
  <c r="O59" i="32"/>
  <c r="N59" i="32"/>
  <c r="M59" i="32"/>
  <c r="L59" i="32"/>
  <c r="K59" i="32"/>
  <c r="J59" i="32"/>
  <c r="I59" i="32"/>
  <c r="H59" i="32"/>
  <c r="AX58" i="32"/>
  <c r="AW58" i="32"/>
  <c r="AV58" i="32"/>
  <c r="AU58" i="32"/>
  <c r="AT58" i="32"/>
  <c r="AS58" i="32"/>
  <c r="AR58" i="32"/>
  <c r="AQ58" i="32"/>
  <c r="AP58" i="32"/>
  <c r="AO58" i="32"/>
  <c r="AN58" i="32"/>
  <c r="AM58" i="32"/>
  <c r="AL58" i="32"/>
  <c r="AK58" i="32"/>
  <c r="AJ58" i="32"/>
  <c r="AI58" i="32"/>
  <c r="AH58" i="32"/>
  <c r="AG58" i="32"/>
  <c r="AF58" i="32"/>
  <c r="AE58" i="32"/>
  <c r="AD58" i="32"/>
  <c r="AC58" i="32"/>
  <c r="AB58" i="32"/>
  <c r="T58" i="32"/>
  <c r="S58" i="32"/>
  <c r="R58" i="32"/>
  <c r="Q58" i="32"/>
  <c r="P58" i="32"/>
  <c r="O58" i="32"/>
  <c r="N58" i="32"/>
  <c r="M58" i="32"/>
  <c r="L58" i="32"/>
  <c r="K58" i="32"/>
  <c r="J58" i="32"/>
  <c r="I58" i="32"/>
  <c r="H58" i="32"/>
  <c r="AX57" i="32"/>
  <c r="AW57" i="32"/>
  <c r="AV57" i="32"/>
  <c r="AU57" i="32"/>
  <c r="AT57" i="32"/>
  <c r="AS57" i="32"/>
  <c r="AR57" i="32"/>
  <c r="AQ57" i="32"/>
  <c r="AP57" i="32"/>
  <c r="AO57" i="32"/>
  <c r="AN57" i="32"/>
  <c r="AM57" i="32"/>
  <c r="AL57" i="32"/>
  <c r="AK57" i="32"/>
  <c r="AJ57" i="32"/>
  <c r="AI57" i="32"/>
  <c r="AH57" i="32"/>
  <c r="AG57" i="32"/>
  <c r="AF57" i="32"/>
  <c r="AE57" i="32"/>
  <c r="AD57" i="32"/>
  <c r="AC57" i="32"/>
  <c r="AB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E49" i="32"/>
  <c r="E48" i="32"/>
  <c r="E47" i="32"/>
  <c r="E46" i="32"/>
  <c r="E45" i="32"/>
  <c r="E44" i="32"/>
  <c r="E43" i="32"/>
  <c r="E42" i="32"/>
  <c r="E41" i="32"/>
  <c r="E40" i="32"/>
  <c r="E39" i="32"/>
  <c r="E38" i="32"/>
  <c r="E37" i="32"/>
  <c r="E36" i="32"/>
  <c r="E35" i="32"/>
  <c r="E34" i="32"/>
  <c r="E33" i="32"/>
  <c r="E32" i="32"/>
  <c r="E31" i="32"/>
  <c r="E30" i="32"/>
  <c r="E29" i="32"/>
  <c r="E28" i="32"/>
  <c r="E27" i="32"/>
  <c r="E26" i="32"/>
  <c r="E25" i="32"/>
  <c r="E24" i="32"/>
  <c r="E23" i="32"/>
  <c r="E22" i="32"/>
  <c r="E21" i="32"/>
  <c r="E20" i="32"/>
  <c r="E19" i="32"/>
  <c r="E18" i="32"/>
  <c r="E17" i="32"/>
  <c r="E16" i="32"/>
  <c r="E15" i="32"/>
  <c r="E14" i="32"/>
  <c r="E13" i="32"/>
  <c r="E12" i="32"/>
  <c r="E11" i="32"/>
  <c r="E10" i="32"/>
  <c r="E9" i="32"/>
  <c r="E8" i="32"/>
  <c r="E7" i="32"/>
  <c r="E6" i="32"/>
  <c r="E5" i="32"/>
  <c r="E4" i="32"/>
  <c r="E3" i="32"/>
  <c r="E51" i="32" l="1"/>
  <c r="E266" i="44" l="1"/>
  <c r="G288" i="44"/>
  <c r="G271" i="44"/>
  <c r="G299" i="44"/>
  <c r="F260" i="44"/>
  <c r="I276" i="44"/>
  <c r="D260" i="44"/>
  <c r="I261" i="44"/>
  <c r="F298" i="44"/>
  <c r="G289" i="44"/>
  <c r="F297" i="44"/>
  <c r="I262" i="44"/>
  <c r="C266" i="44"/>
  <c r="E271" i="44"/>
  <c r="D274" i="44"/>
  <c r="E298" i="44"/>
  <c r="D263" i="44"/>
  <c r="G294" i="44"/>
  <c r="E263" i="44"/>
  <c r="E270" i="44"/>
  <c r="C282" i="44"/>
  <c r="I292" i="44"/>
  <c r="F273" i="44"/>
  <c r="I294" i="44"/>
  <c r="C267" i="44"/>
  <c r="F287" i="44"/>
  <c r="E291" i="44"/>
  <c r="I266" i="44"/>
  <c r="F264" i="44"/>
  <c r="G255" i="44"/>
  <c r="C271" i="44"/>
  <c r="C283" i="44"/>
  <c r="F275" i="44"/>
  <c r="E287" i="44"/>
  <c r="G283" i="44"/>
  <c r="F288" i="44"/>
  <c r="F281" i="44"/>
  <c r="C289" i="44"/>
  <c r="F259" i="44"/>
  <c r="G285" i="44"/>
  <c r="D252" i="44"/>
  <c r="C294" i="44"/>
  <c r="E272" i="44"/>
  <c r="C274" i="44"/>
  <c r="D285" i="44"/>
  <c r="D265" i="44"/>
  <c r="I299" i="44"/>
  <c r="D289" i="44"/>
  <c r="E274" i="44"/>
  <c r="I260" i="44"/>
  <c r="G296" i="44"/>
  <c r="D253" i="44"/>
  <c r="I277" i="44"/>
  <c r="D286" i="44"/>
  <c r="I255" i="44"/>
  <c r="E292" i="44"/>
  <c r="I258" i="44"/>
  <c r="I254" i="44"/>
  <c r="D279" i="44"/>
  <c r="D271" i="44"/>
  <c r="F282" i="44"/>
  <c r="C264" i="44"/>
  <c r="D293" i="44"/>
  <c r="C272" i="44"/>
  <c r="D282" i="44"/>
  <c r="G290" i="44"/>
  <c r="F262" i="44"/>
  <c r="F284" i="44"/>
  <c r="I284" i="44"/>
  <c r="F272" i="44"/>
  <c r="D295" i="44"/>
  <c r="E281" i="44"/>
  <c r="C295" i="44"/>
  <c r="I263" i="44"/>
  <c r="I257" i="44"/>
  <c r="E284" i="44"/>
  <c r="G276" i="44"/>
  <c r="E299" i="44"/>
  <c r="I279" i="44"/>
  <c r="I298" i="44"/>
  <c r="E296" i="44"/>
  <c r="F257" i="44"/>
  <c r="G279" i="44"/>
  <c r="F255" i="44"/>
  <c r="F269" i="44"/>
  <c r="D288" i="44"/>
  <c r="C296" i="44"/>
  <c r="I287" i="44"/>
  <c r="I291" i="44"/>
  <c r="D272" i="44"/>
  <c r="F254" i="44"/>
  <c r="I253" i="44"/>
  <c r="D276" i="44"/>
  <c r="D258" i="44"/>
  <c r="E264" i="44"/>
  <c r="E273" i="44"/>
  <c r="I272" i="44"/>
  <c r="D284" i="44"/>
  <c r="E276" i="44"/>
  <c r="G293" i="44"/>
  <c r="E252" i="44"/>
  <c r="G264" i="44"/>
  <c r="E256" i="44"/>
  <c r="F278" i="44"/>
  <c r="C285" i="44"/>
  <c r="F279" i="44"/>
  <c r="I268" i="44"/>
  <c r="I280" i="44"/>
  <c r="I289" i="44"/>
  <c r="C269" i="44"/>
  <c r="E290" i="44"/>
  <c r="I275" i="44"/>
  <c r="I290" i="44"/>
  <c r="C291" i="44"/>
  <c r="D256" i="44"/>
  <c r="C298" i="44"/>
  <c r="G284" i="44"/>
  <c r="G286" i="44"/>
  <c r="D257" i="44"/>
  <c r="C261" i="44"/>
  <c r="G281" i="44"/>
  <c r="E280" i="44"/>
  <c r="E278" i="44"/>
  <c r="D269" i="44"/>
  <c r="G298" i="44"/>
  <c r="C299" i="44"/>
  <c r="F276" i="44"/>
  <c r="C278" i="44"/>
  <c r="I278" i="44"/>
  <c r="F283" i="44"/>
  <c r="C270" i="44"/>
  <c r="I259" i="44"/>
  <c r="F291" i="44"/>
  <c r="G272" i="44"/>
  <c r="C273" i="44"/>
  <c r="F289" i="44"/>
  <c r="I273" i="44"/>
  <c r="G287" i="44"/>
  <c r="D255" i="44"/>
  <c r="I256" i="44"/>
  <c r="F294" i="44"/>
  <c r="G254" i="44"/>
  <c r="G269" i="44"/>
  <c r="D298" i="44"/>
  <c r="G261" i="44"/>
  <c r="F277" i="44"/>
  <c r="C286" i="44"/>
  <c r="D281" i="44"/>
  <c r="C255" i="44"/>
  <c r="F293" i="44"/>
  <c r="D275" i="44"/>
  <c r="C262" i="44"/>
  <c r="F271" i="44"/>
  <c r="G270" i="44"/>
  <c r="I285" i="44"/>
  <c r="C252" i="44"/>
  <c r="D254" i="44"/>
  <c r="C265" i="44"/>
  <c r="I296" i="44"/>
  <c r="C297" i="44"/>
  <c r="I295" i="44"/>
  <c r="I281" i="44"/>
  <c r="C263" i="44"/>
  <c r="G274" i="44"/>
  <c r="I274" i="44"/>
  <c r="G295" i="44"/>
  <c r="E267" i="44"/>
  <c r="C277" i="44"/>
  <c r="G260" i="44"/>
  <c r="E285" i="44"/>
  <c r="D278" i="44"/>
  <c r="E255" i="44"/>
  <c r="F258" i="44"/>
  <c r="C280" i="44"/>
  <c r="D297" i="44"/>
  <c r="D287" i="44"/>
  <c r="G297" i="44"/>
  <c r="C288" i="44"/>
  <c r="C284" i="44"/>
  <c r="F299" i="44"/>
  <c r="C254" i="44"/>
  <c r="F268" i="44"/>
  <c r="E268" i="44"/>
  <c r="C253" i="44"/>
  <c r="E288" i="44"/>
  <c r="C293" i="44"/>
  <c r="I270" i="44"/>
  <c r="E258" i="44"/>
  <c r="G275" i="44"/>
  <c r="C260" i="44"/>
  <c r="I267" i="44"/>
  <c r="G282" i="44"/>
  <c r="D273" i="44"/>
  <c r="F296" i="44"/>
  <c r="E262" i="44"/>
  <c r="C287" i="44"/>
  <c r="I297" i="44"/>
  <c r="D299" i="44"/>
  <c r="I282" i="44"/>
  <c r="C256" i="44"/>
  <c r="G259" i="44"/>
  <c r="I252" i="44"/>
  <c r="D283" i="44"/>
  <c r="C292" i="44"/>
  <c r="E293" i="44"/>
  <c r="F256" i="44"/>
  <c r="C281" i="44"/>
  <c r="E261" i="44"/>
  <c r="F270" i="44"/>
  <c r="F285" i="44"/>
  <c r="I286" i="44"/>
  <c r="H276" i="44" l="1"/>
  <c r="H293" i="44"/>
  <c r="H259" i="44"/>
  <c r="H267" i="44"/>
  <c r="H261" i="44"/>
  <c r="H252" i="44"/>
  <c r="H282" i="44"/>
  <c r="H296" i="44"/>
  <c r="H290" i="44"/>
  <c r="H258" i="44"/>
  <c r="H263" i="44"/>
  <c r="H299" i="44"/>
  <c r="H279" i="44"/>
  <c r="H281" i="44"/>
  <c r="H269" i="44"/>
  <c r="H287" i="44"/>
  <c r="H283" i="44"/>
  <c r="H270" i="44"/>
  <c r="H260" i="44"/>
  <c r="H292" i="44"/>
  <c r="H288" i="44"/>
  <c r="H265" i="44"/>
  <c r="H294" i="44"/>
  <c r="H289" i="44"/>
  <c r="H271" i="44"/>
  <c r="H253" i="44"/>
  <c r="H274" i="44"/>
  <c r="H262" i="44"/>
  <c r="H254" i="44"/>
  <c r="H277" i="44"/>
  <c r="H257" i="44"/>
  <c r="H264" i="44"/>
  <c r="H266" i="44"/>
  <c r="H295" i="44"/>
  <c r="H285" i="44"/>
  <c r="H278" i="44"/>
  <c r="H255" i="44"/>
  <c r="H286" i="44"/>
  <c r="H280" i="44"/>
  <c r="H268" i="44"/>
  <c r="H291" i="44"/>
  <c r="H256" i="44"/>
  <c r="H275" i="44"/>
  <c r="H273" i="44"/>
  <c r="H297" i="44"/>
  <c r="I271" i="44" l="1"/>
  <c r="G265" i="44"/>
  <c r="G256" i="44"/>
  <c r="E286" i="44"/>
  <c r="C257" i="44"/>
  <c r="G257" i="44"/>
  <c r="E294" i="44"/>
  <c r="E297" i="44"/>
  <c r="F261" i="44"/>
  <c r="C259" i="44"/>
  <c r="G268" i="44"/>
  <c r="F267" i="44"/>
  <c r="F280" i="44"/>
  <c r="E275" i="44"/>
  <c r="G291" i="44"/>
  <c r="D280" i="44"/>
  <c r="G258" i="44"/>
  <c r="E289" i="44"/>
  <c r="G292" i="44"/>
  <c r="E282" i="44"/>
  <c r="D259" i="44"/>
  <c r="C268" i="44"/>
  <c r="E295" i="44"/>
  <c r="G277" i="44"/>
  <c r="E253" i="44"/>
  <c r="D270" i="44"/>
  <c r="C279" i="44"/>
  <c r="G262" i="44"/>
  <c r="E265" i="44"/>
  <c r="G266" i="44"/>
  <c r="F290" i="44"/>
  <c r="F253" i="44"/>
  <c r="C258" i="44"/>
  <c r="G263" i="44"/>
  <c r="F263" i="44"/>
  <c r="D264" i="44"/>
  <c r="E283" i="44"/>
  <c r="F266" i="44"/>
  <c r="F292" i="44"/>
  <c r="E254" i="44"/>
  <c r="C276" i="44"/>
  <c r="D268" i="44"/>
  <c r="G252" i="44"/>
  <c r="D261" i="44"/>
  <c r="D292" i="44"/>
  <c r="G273" i="44"/>
  <c r="D266" i="44"/>
  <c r="I265" i="44"/>
  <c r="F274" i="44"/>
  <c r="C290" i="44"/>
  <c r="I293" i="44"/>
  <c r="G253" i="44"/>
  <c r="G280" i="44"/>
  <c r="D277" i="44"/>
  <c r="C275" i="44"/>
  <c r="J275" i="44" s="1"/>
  <c r="H284" i="44"/>
  <c r="D290" i="44"/>
  <c r="I264" i="44"/>
  <c r="F295" i="44"/>
  <c r="E269" i="44"/>
  <c r="H272" i="44"/>
  <c r="E279" i="44"/>
  <c r="D267" i="44"/>
  <c r="E257" i="44"/>
  <c r="G267" i="44"/>
  <c r="D262" i="44"/>
  <c r="F265" i="44"/>
  <c r="I269" i="44"/>
  <c r="F286" i="44"/>
  <c r="D294" i="44"/>
  <c r="E259" i="44"/>
  <c r="G278" i="44"/>
  <c r="N278" i="44" s="1"/>
  <c r="AD278" i="44" s="1"/>
  <c r="H298" i="44"/>
  <c r="D296" i="44"/>
  <c r="F252" i="44"/>
  <c r="E277" i="44"/>
  <c r="I288" i="44"/>
  <c r="D291" i="44"/>
  <c r="K291" i="44" s="1"/>
  <c r="AA291" i="44" s="1"/>
  <c r="E260" i="44"/>
  <c r="L260" i="44" s="1"/>
  <c r="AB260" i="44" s="1"/>
  <c r="I283" i="44"/>
  <c r="P283" i="44" s="1"/>
  <c r="AF283" i="44" s="1"/>
  <c r="M286" i="44" l="1"/>
  <c r="AC286" i="44" s="1"/>
  <c r="M265" i="44"/>
  <c r="AC265" i="44" s="1"/>
  <c r="L277" i="44"/>
  <c r="AB277" i="44" s="1"/>
  <c r="K262" i="44"/>
  <c r="AA262" i="44" s="1"/>
  <c r="L257" i="44"/>
  <c r="AB257" i="44" s="1"/>
  <c r="O268" i="44"/>
  <c r="AE268" i="44" s="1"/>
  <c r="O295" i="44"/>
  <c r="AE295" i="44" s="1"/>
  <c r="O277" i="44"/>
  <c r="AE277" i="44" s="1"/>
  <c r="O252" i="44"/>
  <c r="AE252" i="44" s="1"/>
  <c r="O270" i="44"/>
  <c r="AE270" i="44" s="1"/>
  <c r="O283" i="44"/>
  <c r="AE283" i="44" s="1"/>
  <c r="O275" i="44"/>
  <c r="AE275" i="44" s="1"/>
  <c r="O262" i="44"/>
  <c r="AE262" i="44" s="1"/>
  <c r="O279" i="44"/>
  <c r="AE279" i="44" s="1"/>
  <c r="O294" i="44"/>
  <c r="AE294" i="44" s="1"/>
  <c r="O281" i="44"/>
  <c r="AE281" i="44" s="1"/>
  <c r="O257" i="44"/>
  <c r="AE257" i="44" s="1"/>
  <c r="O256" i="44"/>
  <c r="AE256" i="44" s="1"/>
  <c r="O255" i="44"/>
  <c r="AE255" i="44" s="1"/>
  <c r="O278" i="44"/>
  <c r="AE278" i="44" s="1"/>
  <c r="O274" i="44"/>
  <c r="AE274" i="44" s="1"/>
  <c r="O254" i="44"/>
  <c r="AE254" i="44" s="1"/>
  <c r="O271" i="44"/>
  <c r="AE271" i="44" s="1"/>
  <c r="O276" i="44"/>
  <c r="AE276" i="44" s="1"/>
  <c r="O288" i="44"/>
  <c r="AE288" i="44" s="1"/>
  <c r="O273" i="44"/>
  <c r="AE273" i="44" s="1"/>
  <c r="O258" i="44"/>
  <c r="AE258" i="44" s="1"/>
  <c r="O253" i="44"/>
  <c r="AE253" i="44" s="1"/>
  <c r="O272" i="44"/>
  <c r="AE272" i="44" s="1"/>
  <c r="O291" i="44"/>
  <c r="AE291" i="44" s="1"/>
  <c r="O297" i="44"/>
  <c r="AE297" i="44" s="1"/>
  <c r="O292" i="44"/>
  <c r="AE292" i="44" s="1"/>
  <c r="O280" i="44"/>
  <c r="AE280" i="44" s="1"/>
  <c r="O285" i="44"/>
  <c r="AE285" i="44" s="1"/>
  <c r="O290" i="44"/>
  <c r="AE290" i="44" s="1"/>
  <c r="O260" i="44"/>
  <c r="AE260" i="44" s="1"/>
  <c r="O286" i="44"/>
  <c r="AE286" i="44" s="1"/>
  <c r="O293" i="44"/>
  <c r="AE293" i="44" s="1"/>
  <c r="O296" i="44"/>
  <c r="AE296" i="44" s="1"/>
  <c r="O287" i="44"/>
  <c r="AE287" i="44" s="1"/>
  <c r="O299" i="44"/>
  <c r="AE299" i="44" s="1"/>
  <c r="O263" i="44"/>
  <c r="AE263" i="44" s="1"/>
  <c r="O259" i="44"/>
  <c r="AE259" i="44" s="1"/>
  <c r="O282" i="44"/>
  <c r="AE282" i="44" s="1"/>
  <c r="O269" i="44"/>
  <c r="AE269" i="44" s="1"/>
  <c r="O261" i="44"/>
  <c r="AE261" i="44" s="1"/>
  <c r="O267" i="44"/>
  <c r="AE267" i="44" s="1"/>
  <c r="O266" i="44"/>
  <c r="AE266" i="44" s="1"/>
  <c r="O289" i="44"/>
  <c r="AE289" i="44" s="1"/>
  <c r="O265" i="44"/>
  <c r="AE265" i="44" s="1"/>
  <c r="O264" i="44"/>
  <c r="AE264" i="44" s="1"/>
  <c r="L269" i="44"/>
  <c r="AB269" i="44" s="1"/>
  <c r="K290" i="44"/>
  <c r="AA290" i="44" s="1"/>
  <c r="O284" i="44"/>
  <c r="AE284" i="44" s="1"/>
  <c r="C25" i="32"/>
  <c r="D25" i="32" s="1"/>
  <c r="F25" i="32" s="1"/>
  <c r="Z275" i="44"/>
  <c r="N280" i="44"/>
  <c r="AD280" i="44" s="1"/>
  <c r="N253" i="44"/>
  <c r="AD253" i="44" s="1"/>
  <c r="P293" i="44"/>
  <c r="AF293" i="44" s="1"/>
  <c r="M274" i="44"/>
  <c r="AC274" i="44" s="1"/>
  <c r="P265" i="44"/>
  <c r="AF265" i="44" s="1"/>
  <c r="N273" i="44"/>
  <c r="AD273" i="44" s="1"/>
  <c r="K268" i="44"/>
  <c r="AA268" i="44" s="1"/>
  <c r="M292" i="44"/>
  <c r="AC292" i="44" s="1"/>
  <c r="L283" i="44"/>
  <c r="AB283" i="44" s="1"/>
  <c r="K264" i="44"/>
  <c r="AA264" i="44" s="1"/>
  <c r="M263" i="44"/>
  <c r="AC263" i="44" s="1"/>
  <c r="J258" i="44"/>
  <c r="M253" i="44"/>
  <c r="AC253" i="44" s="1"/>
  <c r="M290" i="44"/>
  <c r="AC290" i="44" s="1"/>
  <c r="L265" i="44"/>
  <c r="AB265" i="44" s="1"/>
  <c r="K270" i="44"/>
  <c r="AA270" i="44" s="1"/>
  <c r="L253" i="44"/>
  <c r="AB253" i="44" s="1"/>
  <c r="L284" i="44"/>
  <c r="AB284" i="44" s="1"/>
  <c r="L263" i="44"/>
  <c r="AB263" i="44" s="1"/>
  <c r="L288" i="44"/>
  <c r="AB288" i="44" s="1"/>
  <c r="L290" i="44"/>
  <c r="AB290" i="44" s="1"/>
  <c r="L298" i="44"/>
  <c r="AB298" i="44" s="1"/>
  <c r="L262" i="44"/>
  <c r="AB262" i="44" s="1"/>
  <c r="L258" i="44"/>
  <c r="AB258" i="44" s="1"/>
  <c r="L293" i="44"/>
  <c r="AB293" i="44" s="1"/>
  <c r="L292" i="44"/>
  <c r="AB292" i="44" s="1"/>
  <c r="L276" i="44"/>
  <c r="AB276" i="44" s="1"/>
  <c r="L273" i="44"/>
  <c r="AB273" i="44" s="1"/>
  <c r="L264" i="44"/>
  <c r="AB264" i="44" s="1"/>
  <c r="L287" i="44"/>
  <c r="AB287" i="44" s="1"/>
  <c r="L267" i="44"/>
  <c r="AB267" i="44" s="1"/>
  <c r="L252" i="44"/>
  <c r="AB252" i="44" s="1"/>
  <c r="L256" i="44"/>
  <c r="AB256" i="44" s="1"/>
  <c r="L271" i="44"/>
  <c r="AB271" i="44" s="1"/>
  <c r="L274" i="44"/>
  <c r="AB274" i="44" s="1"/>
  <c r="L299" i="44"/>
  <c r="AB299" i="44" s="1"/>
  <c r="L278" i="44"/>
  <c r="AB278" i="44" s="1"/>
  <c r="L255" i="44"/>
  <c r="AB255" i="44" s="1"/>
  <c r="L270" i="44"/>
  <c r="AB270" i="44" s="1"/>
  <c r="L280" i="44"/>
  <c r="AB280" i="44" s="1"/>
  <c r="L272" i="44"/>
  <c r="AB272" i="44" s="1"/>
  <c r="L296" i="44"/>
  <c r="AB296" i="44" s="1"/>
  <c r="L281" i="44"/>
  <c r="AB281" i="44" s="1"/>
  <c r="L261" i="44"/>
  <c r="AB261" i="44" s="1"/>
  <c r="L285" i="44"/>
  <c r="AB285" i="44" s="1"/>
  <c r="L291" i="44"/>
  <c r="AB291" i="44" s="1"/>
  <c r="L266" i="44"/>
  <c r="AB266" i="44" s="1"/>
  <c r="L268" i="44"/>
  <c r="AB268" i="44" s="1"/>
  <c r="N258" i="44"/>
  <c r="AD258" i="44" s="1"/>
  <c r="N291" i="44"/>
  <c r="AD291" i="44" s="1"/>
  <c r="L275" i="44"/>
  <c r="AB275" i="44" s="1"/>
  <c r="M280" i="44"/>
  <c r="AC280" i="44" s="1"/>
  <c r="N268" i="44"/>
  <c r="AD268" i="44" s="1"/>
  <c r="J259" i="44"/>
  <c r="M261" i="44"/>
  <c r="AC261" i="44" s="1"/>
  <c r="L297" i="44"/>
  <c r="AB297" i="44" s="1"/>
  <c r="N257" i="44"/>
  <c r="AD257" i="44" s="1"/>
  <c r="J283" i="44"/>
  <c r="J294" i="44"/>
  <c r="J270" i="44"/>
  <c r="J272" i="44"/>
  <c r="J281" i="44"/>
  <c r="J299" i="44"/>
  <c r="J256" i="44"/>
  <c r="J291" i="44"/>
  <c r="J252" i="44"/>
  <c r="J287" i="44"/>
  <c r="J265" i="44"/>
  <c r="J273" i="44"/>
  <c r="J280" i="44"/>
  <c r="J284" i="44"/>
  <c r="J292" i="44"/>
  <c r="J264" i="44"/>
  <c r="J261" i="44"/>
  <c r="J267" i="44"/>
  <c r="J269" i="44"/>
  <c r="J286" i="44"/>
  <c r="J285" i="44"/>
  <c r="J278" i="44"/>
  <c r="J271" i="44"/>
  <c r="J298" i="44"/>
  <c r="J263" i="44"/>
  <c r="J295" i="44"/>
  <c r="J274" i="44"/>
  <c r="J289" i="44"/>
  <c r="J254" i="44"/>
  <c r="J282" i="44"/>
  <c r="J297" i="44"/>
  <c r="J255" i="44"/>
  <c r="J266" i="44"/>
  <c r="J260" i="44"/>
  <c r="J293" i="44"/>
  <c r="J257" i="44"/>
  <c r="J262" i="44"/>
  <c r="J296" i="44"/>
  <c r="J288" i="44"/>
  <c r="J253" i="44"/>
  <c r="J277" i="44"/>
  <c r="N256" i="44"/>
  <c r="AD256" i="44" s="1"/>
  <c r="N265" i="44"/>
  <c r="AD265" i="44" s="1"/>
  <c r="P271" i="44"/>
  <c r="AF271" i="44" s="1"/>
  <c r="N267" i="44"/>
  <c r="AD267" i="44" s="1"/>
  <c r="K267" i="44"/>
  <c r="AA267" i="44" s="1"/>
  <c r="P288" i="44"/>
  <c r="AF288" i="44" s="1"/>
  <c r="M257" i="44"/>
  <c r="AC257" i="44" s="1"/>
  <c r="M297" i="44"/>
  <c r="AC297" i="44" s="1"/>
  <c r="M256" i="44"/>
  <c r="AC256" i="44" s="1"/>
  <c r="M254" i="44"/>
  <c r="AC254" i="44" s="1"/>
  <c r="M298" i="44"/>
  <c r="AC298" i="44" s="1"/>
  <c r="M268" i="44"/>
  <c r="AC268" i="44" s="1"/>
  <c r="M293" i="44"/>
  <c r="AC293" i="44" s="1"/>
  <c r="M285" i="44"/>
  <c r="AC285" i="44" s="1"/>
  <c r="M296" i="44"/>
  <c r="AC296" i="44" s="1"/>
  <c r="M260" i="44"/>
  <c r="AC260" i="44" s="1"/>
  <c r="M273" i="44"/>
  <c r="AC273" i="44" s="1"/>
  <c r="M271" i="44"/>
  <c r="AC271" i="44" s="1"/>
  <c r="M264" i="44"/>
  <c r="AC264" i="44" s="1"/>
  <c r="M276" i="44"/>
  <c r="AC276" i="44" s="1"/>
  <c r="M277" i="44"/>
  <c r="AC277" i="44" s="1"/>
  <c r="M255" i="44"/>
  <c r="AC255" i="44" s="1"/>
  <c r="M294" i="44"/>
  <c r="AC294" i="44" s="1"/>
  <c r="M270" i="44"/>
  <c r="AC270" i="44" s="1"/>
  <c r="M252" i="44"/>
  <c r="AC252" i="44" s="1"/>
  <c r="M291" i="44"/>
  <c r="AC291" i="44" s="1"/>
  <c r="M284" i="44"/>
  <c r="AC284" i="44" s="1"/>
  <c r="M282" i="44"/>
  <c r="AC282" i="44" s="1"/>
  <c r="M272" i="44"/>
  <c r="AC272" i="44" s="1"/>
  <c r="M262" i="44"/>
  <c r="AC262" i="44" s="1"/>
  <c r="M258" i="44"/>
  <c r="AC258" i="44" s="1"/>
  <c r="M269" i="44"/>
  <c r="AC269" i="44" s="1"/>
  <c r="M289" i="44"/>
  <c r="AC289" i="44" s="1"/>
  <c r="M278" i="44"/>
  <c r="AC278" i="44" s="1"/>
  <c r="M275" i="44"/>
  <c r="AC275" i="44" s="1"/>
  <c r="M287" i="44"/>
  <c r="AC287" i="44" s="1"/>
  <c r="M281" i="44"/>
  <c r="AC281" i="44" s="1"/>
  <c r="M259" i="44"/>
  <c r="AC259" i="44" s="1"/>
  <c r="M288" i="44"/>
  <c r="AC288" i="44" s="1"/>
  <c r="M299" i="44"/>
  <c r="AC299" i="44" s="1"/>
  <c r="M283" i="44"/>
  <c r="AC283" i="44" s="1"/>
  <c r="M279" i="44"/>
  <c r="AC279" i="44" s="1"/>
  <c r="K296" i="44"/>
  <c r="AA296" i="44" s="1"/>
  <c r="O298" i="44"/>
  <c r="AE298" i="44" s="1"/>
  <c r="L259" i="44"/>
  <c r="AB259" i="44" s="1"/>
  <c r="K294" i="44"/>
  <c r="AA294" i="44" s="1"/>
  <c r="P269" i="44"/>
  <c r="AF269" i="44" s="1"/>
  <c r="L279" i="44"/>
  <c r="AB279" i="44" s="1"/>
  <c r="M295" i="44"/>
  <c r="AC295" i="44" s="1"/>
  <c r="P289" i="44"/>
  <c r="AF289" i="44" s="1"/>
  <c r="P262" i="44"/>
  <c r="AF262" i="44" s="1"/>
  <c r="P299" i="44"/>
  <c r="AF299" i="44" s="1"/>
  <c r="P258" i="44"/>
  <c r="AF258" i="44" s="1"/>
  <c r="P278" i="44"/>
  <c r="AF278" i="44" s="1"/>
  <c r="P266" i="44"/>
  <c r="AF266" i="44" s="1"/>
  <c r="P272" i="44"/>
  <c r="AF272" i="44" s="1"/>
  <c r="P277" i="44"/>
  <c r="AF277" i="44" s="1"/>
  <c r="P253" i="44"/>
  <c r="AF253" i="44" s="1"/>
  <c r="P298" i="44"/>
  <c r="AF298" i="44" s="1"/>
  <c r="P268" i="44"/>
  <c r="AF268" i="44" s="1"/>
  <c r="P280" i="44"/>
  <c r="AF280" i="44" s="1"/>
  <c r="P291" i="44"/>
  <c r="AF291" i="44" s="1"/>
  <c r="P296" i="44"/>
  <c r="AF296" i="44" s="1"/>
  <c r="P292" i="44"/>
  <c r="AF292" i="44" s="1"/>
  <c r="P290" i="44"/>
  <c r="AF290" i="44" s="1"/>
  <c r="P287" i="44"/>
  <c r="AF287" i="44" s="1"/>
  <c r="P254" i="44"/>
  <c r="AF254" i="44" s="1"/>
  <c r="P273" i="44"/>
  <c r="AF273" i="44" s="1"/>
  <c r="P270" i="44"/>
  <c r="AF270" i="44" s="1"/>
  <c r="P260" i="44"/>
  <c r="AF260" i="44" s="1"/>
  <c r="P281" i="44"/>
  <c r="AF281" i="44" s="1"/>
  <c r="P274" i="44"/>
  <c r="AF274" i="44" s="1"/>
  <c r="P285" i="44"/>
  <c r="AF285" i="44" s="1"/>
  <c r="P276" i="44"/>
  <c r="AF276" i="44" s="1"/>
  <c r="P275" i="44"/>
  <c r="AF275" i="44" s="1"/>
  <c r="P255" i="44"/>
  <c r="AF255" i="44" s="1"/>
  <c r="P257" i="44"/>
  <c r="AF257" i="44" s="1"/>
  <c r="P279" i="44"/>
  <c r="AF279" i="44" s="1"/>
  <c r="P259" i="44"/>
  <c r="AF259" i="44" s="1"/>
  <c r="P297" i="44"/>
  <c r="AF297" i="44" s="1"/>
  <c r="P286" i="44"/>
  <c r="AF286" i="44" s="1"/>
  <c r="P252" i="44"/>
  <c r="AF252" i="44" s="1"/>
  <c r="P284" i="44"/>
  <c r="AF284" i="44" s="1"/>
  <c r="P256" i="44"/>
  <c r="AF256" i="44" s="1"/>
  <c r="P264" i="44"/>
  <c r="AF264" i="44" s="1"/>
  <c r="P267" i="44"/>
  <c r="AF267" i="44" s="1"/>
  <c r="P282" i="44"/>
  <c r="AF282" i="44" s="1"/>
  <c r="P263" i="44"/>
  <c r="AF263" i="44" s="1"/>
  <c r="P295" i="44"/>
  <c r="AF295" i="44" s="1"/>
  <c r="P261" i="44"/>
  <c r="AF261" i="44" s="1"/>
  <c r="P294" i="44"/>
  <c r="AF294" i="44" s="1"/>
  <c r="K277" i="44"/>
  <c r="AA277" i="44" s="1"/>
  <c r="J290" i="44"/>
  <c r="K266" i="44"/>
  <c r="AA266" i="44" s="1"/>
  <c r="K292" i="44"/>
  <c r="AA292" i="44" s="1"/>
  <c r="K261" i="44"/>
  <c r="AA261" i="44" s="1"/>
  <c r="N283" i="44"/>
  <c r="AD283" i="44" s="1"/>
  <c r="N293" i="44"/>
  <c r="AD293" i="44" s="1"/>
  <c r="N271" i="44"/>
  <c r="AD271" i="44" s="1"/>
  <c r="N287" i="44"/>
  <c r="AD287" i="44" s="1"/>
  <c r="N298" i="44"/>
  <c r="AD298" i="44" s="1"/>
  <c r="N264" i="44"/>
  <c r="AD264" i="44" s="1"/>
  <c r="N299" i="44"/>
  <c r="AD299" i="44" s="1"/>
  <c r="N294" i="44"/>
  <c r="AD294" i="44" s="1"/>
  <c r="N285" i="44"/>
  <c r="AD285" i="44" s="1"/>
  <c r="N297" i="44"/>
  <c r="AD297" i="44" s="1"/>
  <c r="N255" i="44"/>
  <c r="AD255" i="44" s="1"/>
  <c r="N269" i="44"/>
  <c r="AD269" i="44" s="1"/>
  <c r="N281" i="44"/>
  <c r="AD281" i="44" s="1"/>
  <c r="N296" i="44"/>
  <c r="AD296" i="44" s="1"/>
  <c r="N270" i="44"/>
  <c r="AD270" i="44" s="1"/>
  <c r="N290" i="44"/>
  <c r="AD290" i="44" s="1"/>
  <c r="N260" i="44"/>
  <c r="AD260" i="44" s="1"/>
  <c r="N286" i="44"/>
  <c r="AD286" i="44" s="1"/>
  <c r="N279" i="44"/>
  <c r="AD279" i="44" s="1"/>
  <c r="N274" i="44"/>
  <c r="AD274" i="44" s="1"/>
  <c r="N259" i="44"/>
  <c r="AD259" i="44" s="1"/>
  <c r="N288" i="44"/>
  <c r="AD288" i="44" s="1"/>
  <c r="N295" i="44"/>
  <c r="AD295" i="44" s="1"/>
  <c r="N276" i="44"/>
  <c r="AD276" i="44" s="1"/>
  <c r="N252" i="44"/>
  <c r="AD252" i="44" s="1"/>
  <c r="N272" i="44"/>
  <c r="AD272" i="44" s="1"/>
  <c r="N284" i="44"/>
  <c r="AD284" i="44" s="1"/>
  <c r="N282" i="44"/>
  <c r="AD282" i="44" s="1"/>
  <c r="N275" i="44"/>
  <c r="AD275" i="44" s="1"/>
  <c r="N254" i="44"/>
  <c r="AD254" i="44" s="1"/>
  <c r="N261" i="44"/>
  <c r="AD261" i="44" s="1"/>
  <c r="N289" i="44"/>
  <c r="AD289" i="44" s="1"/>
  <c r="J276" i="44"/>
  <c r="L254" i="44"/>
  <c r="AB254" i="44" s="1"/>
  <c r="M266" i="44"/>
  <c r="AC266" i="44" s="1"/>
  <c r="N263" i="44"/>
  <c r="AD263" i="44" s="1"/>
  <c r="N266" i="44"/>
  <c r="AD266" i="44" s="1"/>
  <c r="N262" i="44"/>
  <c r="AD262" i="44" s="1"/>
  <c r="J279" i="44"/>
  <c r="N277" i="44"/>
  <c r="AD277" i="44" s="1"/>
  <c r="L295" i="44"/>
  <c r="AB295" i="44" s="1"/>
  <c r="J268" i="44"/>
  <c r="K298" i="44"/>
  <c r="AA298" i="44" s="1"/>
  <c r="K260" i="44"/>
  <c r="AA260" i="44" s="1"/>
  <c r="K256" i="44"/>
  <c r="AA256" i="44" s="1"/>
  <c r="K253" i="44"/>
  <c r="AA253" i="44" s="1"/>
  <c r="K273" i="44"/>
  <c r="AA273" i="44" s="1"/>
  <c r="K283" i="44"/>
  <c r="AA283" i="44" s="1"/>
  <c r="K258" i="44"/>
  <c r="AA258" i="44" s="1"/>
  <c r="K265" i="44"/>
  <c r="AA265" i="44" s="1"/>
  <c r="K278" i="44"/>
  <c r="AA278" i="44" s="1"/>
  <c r="K275" i="44"/>
  <c r="AA275" i="44" s="1"/>
  <c r="K293" i="44"/>
  <c r="AA293" i="44" s="1"/>
  <c r="K255" i="44"/>
  <c r="AA255" i="44" s="1"/>
  <c r="K299" i="44"/>
  <c r="AA299" i="44" s="1"/>
  <c r="K263" i="44"/>
  <c r="AA263" i="44" s="1"/>
  <c r="K269" i="44"/>
  <c r="AA269" i="44" s="1"/>
  <c r="K287" i="44"/>
  <c r="AA287" i="44" s="1"/>
  <c r="K281" i="44"/>
  <c r="AA281" i="44" s="1"/>
  <c r="K288" i="44"/>
  <c r="AA288" i="44" s="1"/>
  <c r="K271" i="44"/>
  <c r="AA271" i="44" s="1"/>
  <c r="K284" i="44"/>
  <c r="AA284" i="44" s="1"/>
  <c r="K285" i="44"/>
  <c r="AA285" i="44" s="1"/>
  <c r="K297" i="44"/>
  <c r="AA297" i="44" s="1"/>
  <c r="K276" i="44"/>
  <c r="AA276" i="44" s="1"/>
  <c r="K286" i="44"/>
  <c r="AA286" i="44" s="1"/>
  <c r="K252" i="44"/>
  <c r="AA252" i="44" s="1"/>
  <c r="K272" i="44"/>
  <c r="AA272" i="44" s="1"/>
  <c r="K257" i="44"/>
  <c r="AA257" i="44" s="1"/>
  <c r="K259" i="44"/>
  <c r="AA259" i="44" s="1"/>
  <c r="K295" i="44"/>
  <c r="AA295" i="44" s="1"/>
  <c r="K282" i="44"/>
  <c r="AA282" i="44" s="1"/>
  <c r="K289" i="44"/>
  <c r="AA289" i="44" s="1"/>
  <c r="K279" i="44"/>
  <c r="AA279" i="44" s="1"/>
  <c r="K274" i="44"/>
  <c r="AA274" i="44" s="1"/>
  <c r="K254" i="44"/>
  <c r="AA254" i="44" s="1"/>
  <c r="L282" i="44"/>
  <c r="AB282" i="44" s="1"/>
  <c r="N292" i="44"/>
  <c r="AD292" i="44" s="1"/>
  <c r="L289" i="44"/>
  <c r="AB289" i="44" s="1"/>
  <c r="K280" i="44"/>
  <c r="AA280" i="44" s="1"/>
  <c r="M267" i="44"/>
  <c r="AC267" i="44" s="1"/>
  <c r="L294" i="44"/>
  <c r="AB294" i="44" s="1"/>
  <c r="L286" i="44"/>
  <c r="AB286" i="44" s="1"/>
  <c r="C18" i="32" l="1"/>
  <c r="D18" i="32" s="1"/>
  <c r="F18" i="32" s="1"/>
  <c r="Z268" i="44"/>
  <c r="Z277" i="44"/>
  <c r="C27" i="32"/>
  <c r="D27" i="32" s="1"/>
  <c r="F27" i="32" s="1"/>
  <c r="Z288" i="44"/>
  <c r="C38" i="32"/>
  <c r="D38" i="32" s="1"/>
  <c r="F38" i="32" s="1"/>
  <c r="Z262" i="44"/>
  <c r="C12" i="32"/>
  <c r="D12" i="32" s="1"/>
  <c r="F12" i="32" s="1"/>
  <c r="Z293" i="44"/>
  <c r="C43" i="32"/>
  <c r="D43" i="32" s="1"/>
  <c r="F43" i="32" s="1"/>
  <c r="Z266" i="44"/>
  <c r="C16" i="32"/>
  <c r="D16" i="32" s="1"/>
  <c r="F16" i="32" s="1"/>
  <c r="Z297" i="44"/>
  <c r="C47" i="32"/>
  <c r="D47" i="32" s="1"/>
  <c r="F47" i="32" s="1"/>
  <c r="Z254" i="44"/>
  <c r="C4" i="32"/>
  <c r="D4" i="32" s="1"/>
  <c r="F4" i="32" s="1"/>
  <c r="Z274" i="44"/>
  <c r="C24" i="32"/>
  <c r="D24" i="32" s="1"/>
  <c r="F24" i="32" s="1"/>
  <c r="Z263" i="44"/>
  <c r="C13" i="32"/>
  <c r="D13" i="32" s="1"/>
  <c r="F13" i="32" s="1"/>
  <c r="Z271" i="44"/>
  <c r="C21" i="32"/>
  <c r="D21" i="32" s="1"/>
  <c r="F21" i="32" s="1"/>
  <c r="Z285" i="44"/>
  <c r="C35" i="32"/>
  <c r="D35" i="32" s="1"/>
  <c r="F35" i="32" s="1"/>
  <c r="Z269" i="44"/>
  <c r="C19" i="32"/>
  <c r="D19" i="32" s="1"/>
  <c r="F19" i="32" s="1"/>
  <c r="Z261" i="44"/>
  <c r="C11" i="32"/>
  <c r="D11" i="32" s="1"/>
  <c r="F11" i="32" s="1"/>
  <c r="Z292" i="44"/>
  <c r="C42" i="32"/>
  <c r="D42" i="32" s="1"/>
  <c r="F42" i="32" s="1"/>
  <c r="Z280" i="44"/>
  <c r="C30" i="32"/>
  <c r="D30" i="32" s="1"/>
  <c r="F30" i="32" s="1"/>
  <c r="Z265" i="44"/>
  <c r="C15" i="32"/>
  <c r="D15" i="32" s="1"/>
  <c r="F15" i="32" s="1"/>
  <c r="Z252" i="44"/>
  <c r="C2" i="32"/>
  <c r="D2" i="32" s="1"/>
  <c r="Z256" i="44"/>
  <c r="C6" i="32"/>
  <c r="D6" i="32" s="1"/>
  <c r="F6" i="32" s="1"/>
  <c r="Z281" i="44"/>
  <c r="C31" i="32"/>
  <c r="D31" i="32" s="1"/>
  <c r="F31" i="32" s="1"/>
  <c r="Z270" i="44"/>
  <c r="C20" i="32"/>
  <c r="D20" i="32" s="1"/>
  <c r="F20" i="32" s="1"/>
  <c r="Z283" i="44"/>
  <c r="C33" i="32"/>
  <c r="D33" i="32" s="1"/>
  <c r="F33" i="32" s="1"/>
  <c r="Z259" i="44"/>
  <c r="C9" i="32"/>
  <c r="D9" i="32" s="1"/>
  <c r="F9" i="32" s="1"/>
  <c r="Z258" i="44"/>
  <c r="C8" i="32"/>
  <c r="D8" i="32" s="1"/>
  <c r="F8" i="32" s="1"/>
  <c r="Z279" i="44"/>
  <c r="C29" i="32"/>
  <c r="D29" i="32" s="1"/>
  <c r="F29" i="32" s="1"/>
  <c r="Z276" i="44"/>
  <c r="C26" i="32"/>
  <c r="D26" i="32" s="1"/>
  <c r="F26" i="32" s="1"/>
  <c r="Z290" i="44"/>
  <c r="C40" i="32"/>
  <c r="D40" i="32" s="1"/>
  <c r="F40" i="32" s="1"/>
  <c r="Z253" i="44"/>
  <c r="C3" i="32"/>
  <c r="D3" i="32" s="1"/>
  <c r="F3" i="32" s="1"/>
  <c r="Z296" i="44"/>
  <c r="C46" i="32"/>
  <c r="D46" i="32" s="1"/>
  <c r="F46" i="32" s="1"/>
  <c r="Z257" i="44"/>
  <c r="C7" i="32"/>
  <c r="D7" i="32" s="1"/>
  <c r="F7" i="32" s="1"/>
  <c r="Z260" i="44"/>
  <c r="C10" i="32"/>
  <c r="D10" i="32" s="1"/>
  <c r="F10" i="32" s="1"/>
  <c r="Z255" i="44"/>
  <c r="C5" i="32"/>
  <c r="D5" i="32" s="1"/>
  <c r="F5" i="32" s="1"/>
  <c r="Z282" i="44"/>
  <c r="C32" i="32"/>
  <c r="D32" i="32" s="1"/>
  <c r="F32" i="32" s="1"/>
  <c r="Z289" i="44"/>
  <c r="C39" i="32"/>
  <c r="D39" i="32" s="1"/>
  <c r="F39" i="32" s="1"/>
  <c r="Z295" i="44"/>
  <c r="C45" i="32"/>
  <c r="D45" i="32" s="1"/>
  <c r="F45" i="32" s="1"/>
  <c r="Z298" i="44"/>
  <c r="C48" i="32"/>
  <c r="D48" i="32" s="1"/>
  <c r="F48" i="32" s="1"/>
  <c r="Z278" i="44"/>
  <c r="C28" i="32"/>
  <c r="D28" i="32" s="1"/>
  <c r="F28" i="32" s="1"/>
  <c r="Z286" i="44"/>
  <c r="C36" i="32"/>
  <c r="D36" i="32" s="1"/>
  <c r="F36" i="32" s="1"/>
  <c r="Z267" i="44"/>
  <c r="C17" i="32"/>
  <c r="D17" i="32" s="1"/>
  <c r="F17" i="32" s="1"/>
  <c r="Z264" i="44"/>
  <c r="C14" i="32"/>
  <c r="D14" i="32" s="1"/>
  <c r="F14" i="32" s="1"/>
  <c r="Z284" i="44"/>
  <c r="C34" i="32"/>
  <c r="D34" i="32" s="1"/>
  <c r="F34" i="32" s="1"/>
  <c r="Z273" i="44"/>
  <c r="C23" i="32"/>
  <c r="D23" i="32" s="1"/>
  <c r="F23" i="32" s="1"/>
  <c r="Z287" i="44"/>
  <c r="C37" i="32"/>
  <c r="D37" i="32" s="1"/>
  <c r="F37" i="32" s="1"/>
  <c r="Z291" i="44"/>
  <c r="C41" i="32"/>
  <c r="D41" i="32" s="1"/>
  <c r="F41" i="32" s="1"/>
  <c r="Z299" i="44"/>
  <c r="C49" i="32"/>
  <c r="D49" i="32" s="1"/>
  <c r="F49" i="32" s="1"/>
  <c r="Z272" i="44"/>
  <c r="C22" i="32"/>
  <c r="D22" i="32" s="1"/>
  <c r="F22" i="32" s="1"/>
  <c r="Z294" i="44"/>
  <c r="C44" i="32"/>
  <c r="D44" i="32" s="1"/>
  <c r="F44" i="32" s="1"/>
  <c r="F2" i="32" l="1"/>
  <c r="D51" i="32"/>
  <c r="E53" i="32" s="1"/>
</calcChain>
</file>

<file path=xl/sharedStrings.xml><?xml version="1.0" encoding="utf-8"?>
<sst xmlns="http://schemas.openxmlformats.org/spreadsheetml/2006/main" count="208" uniqueCount="105">
  <si>
    <t>пн</t>
  </si>
  <si>
    <t>вт</t>
  </si>
  <si>
    <t>ср</t>
  </si>
  <si>
    <t>чт</t>
  </si>
  <si>
    <t>пт</t>
  </si>
  <si>
    <t>сб</t>
  </si>
  <si>
    <t>вс</t>
  </si>
  <si>
    <t>Кол-во поступивших звонков</t>
  </si>
  <si>
    <t>Среднее время разговора принятых вызовов</t>
  </si>
  <si>
    <t>ServLA</t>
  </si>
  <si>
    <t>TST</t>
  </si>
  <si>
    <t>%UTZ</t>
  </si>
  <si>
    <t>%LCR</t>
  </si>
  <si>
    <t>Итого</t>
  </si>
  <si>
    <t>FTE</t>
  </si>
  <si>
    <t>Необходимое кол-во операторов по дням</t>
  </si>
  <si>
    <t>2/2</t>
  </si>
  <si>
    <t>19.00 - 07.00</t>
  </si>
  <si>
    <t>5/2</t>
  </si>
  <si>
    <t>Необходимое кол-во сотрудников для одной смены</t>
  </si>
  <si>
    <t>Кол-во сотрудников ночной смены 2/2</t>
  </si>
  <si>
    <t>Сотрудников в отпуске</t>
  </si>
  <si>
    <t>Итого штат с учетом отпусков и больничных</t>
  </si>
  <si>
    <t>HandingTime</t>
  </si>
  <si>
    <t>Необходимо операторов на функционал 1 линия УС 70/60</t>
  </si>
  <si>
    <t>(((((100%-LCR)*Кол-во_звонков*AHT)/OCC)/UTZ)/85%текучка)/26,11)</t>
  </si>
  <si>
    <t>(((((100%-LCR)*Кол-во_звонков*AHT))/UTZ)/85%текучка)/26,11)</t>
  </si>
  <si>
    <t>5/2 ЧЗ</t>
  </si>
  <si>
    <t>5/2 обычный</t>
  </si>
  <si>
    <t>2 через 2</t>
  </si>
  <si>
    <t>5/2 осн. день</t>
  </si>
  <si>
    <t>2/2 ночь</t>
  </si>
  <si>
    <t>ФОТ 1 грейда</t>
  </si>
  <si>
    <t>2/2 день</t>
  </si>
  <si>
    <t>Всего сотрудников</t>
  </si>
  <si>
    <t>Итого затраты на ФОТ в месяц</t>
  </si>
  <si>
    <t>Необходимое кол-во рабочих мест</t>
  </si>
  <si>
    <t>Необходимое кол-во операторов по дням без пиков</t>
  </si>
  <si>
    <t>Факт</t>
  </si>
  <si>
    <t>Ставок в бюджете</t>
  </si>
  <si>
    <t>Необходимо ставок в бюджете</t>
  </si>
  <si>
    <t>Основной вариант</t>
  </si>
  <si>
    <t>row_date</t>
  </si>
  <si>
    <t>starttime_utc</t>
  </si>
  <si>
    <t>split</t>
  </si>
  <si>
    <t>acdcalls</t>
  </si>
  <si>
    <t>acdtime</t>
  </si>
  <si>
    <t>acwtime</t>
  </si>
  <si>
    <t>abncalls</t>
  </si>
  <si>
    <t>auxoutcalls</t>
  </si>
  <si>
    <t>acwoutcalls</t>
  </si>
  <si>
    <t>holdtime</t>
  </si>
  <si>
    <t>ringtime</t>
  </si>
  <si>
    <t>transferred</t>
  </si>
  <si>
    <t>acwouttime</t>
  </si>
  <si>
    <t>auxouttime</t>
  </si>
  <si>
    <t>Графики</t>
  </si>
  <si>
    <t>График 5/2</t>
  </si>
  <si>
    <t>График 2/2</t>
  </si>
  <si>
    <t>График 5/2 Частичная занятость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</si>
  <si>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</si>
  <si>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</si>
  <si>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</si>
  <si>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</si>
  <si>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</si>
  <si>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</si>
  <si>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</si>
  <si>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Даты</t>
  </si>
  <si>
    <t>Дни</t>
  </si>
  <si>
    <t>Время</t>
  </si>
  <si>
    <t>Потребность</t>
  </si>
  <si>
    <t>Распределение графиков</t>
  </si>
  <si>
    <t>1. Лист "Исход"</t>
  </si>
  <si>
    <t>Необходимо проверить наличие исходников на листе "Исход" и убедиться в том, что вставлены исходы по интересующему направлению и за интересующий нас период.
Обратите внимание на столбец "О". В нем должна быть формула:
=ЕСЛИ([@acdcalls]=0;0;([@acdtime]+[@acwtime]+[@holdtime]+[@ringtime]))+
ЕСЛИ([@auxoutcalls]=0;0;([@auxouttime]))+
ЕСЛИ([@acwoutcalls]=0;0;([@acwouttime]))+
ЕСЛИ([@acdcalls]=0;0;([@acdtime]+[@acwtime]+[@holdtime]+[@ringtime])/[@acdcalls]*[@abncalls])</t>
  </si>
  <si>
    <t>2. Лист "Расчеты"</t>
  </si>
  <si>
    <t>В листе расчеты производится настройка под требуемые параметры, такие как: SLA; Период; Дни недели.
Пройдемся по каждой настройке по порядку.
SLA:
Для настройки SLA нам понадобится 2 ячейки: "AH2" и "AI2".
В "AH2" мы указываем % звонков, которые мы должны обслужить.
В "AI2" мы указываем время, в которое должен быть обслужен % звонков, указанный в "AH2".
Ячейки залиты фиолетовым, что бы их было проще найти.
Период:
В первой строке в промежутке столбцов с "С" по "AG" указывается интересующий нас период. Как правило берется целый месяц с 1 по последнее число(28, 29, 30, 31), в зависимости от месяца. Эти же даты должны быть указаны в столбце "А" листа "Исход"
Дни недели:
Во второй строке в промежутке столбцов с "С" по "AG" указаны дни, которые принимают участие в расчетах. На ячейки установлено условное форматирование и если они залиты зеленым, значит день принимает участие в расчетах. В данной строке день высчитывается через формулу, так что если в ячейке нет дня недели и она не залита зеленым, то формулу нужно просто скопировать из ячейки, в которой она уже имеется.</t>
  </si>
  <si>
    <t>3. Листы "Расчет графиков" и "Распределение по графикам"</t>
  </si>
  <si>
    <t>Эти два листа работают сообща. В листе "Расчет графиков" происходит расчет каждого дня индивидуально, после чего информация за каждый день вставляется в соответствующий блок листа "Распределение по графикам".
Как это происходит:
В ячейке "А1" листа "Расчет графиков" в ниспадающем списке необходимо выбрать день недели, их 7. Следовательно для того, что бы получить необходимое кол-во графиков на каждый день, нам нужно провести 7 расчетов(На деле 14, т.к. нужно еще определить какое кол-во сотрудников на графике 2/2 будет оптимальным). После каждого расчета, информация из оранжевой таблицы "Н57:АХ104" листа "Расчет графиков" копируется как значение в лист "Распределение по графикам". Копирование происходит в таблицу того же дня, которй выбран в ячейке "А1".
Расчеты в листе "Расчет графиков" происходят с помощью функции Excel "Поиск решения", которая находится в панели инструментов, раздел "Данные". Если данная надстройка у вас не подключена, то нужно пройти по пути "Файл/Параметны/Надстройки". Внизу открывшегося окда будет ниспадающий список, где должно быть выбрано "Надстройки Excel". Следом, напротив данного текста, есть кнопка "Перейти". Нажимаем на нее, устанавливаем галочку на "Поиск решения" и он у вас появляется в панели инструментов.
Сам расчет:
Формулы при работе с Поиском решения должны быть установлены на автоматический режим.
В "А1" выбираем первый день недели - Пн(Понедельник).
После того, как произошел пересчет, заходим в меню "Данные" и нажимаем на кнопку "Поиск решения".
Справа от этого блока инструкции расположен скриншот настроек.
Далее по пунктам:
Оптимизировать целевую функцию - Всегда должна быть на ячейке Е51, поэтому она там и закреплена.
Изменения ячейки переменных - Всегда выбран диапазон Н1-АХ1.
В поле "В соотвтетсвии с ограничениями" имеется 4 настройки, 2 из которых не изменяются, ниже указано что менять можно.
1) Ячейка F51 - Выбрав данную настройку и нажав кнопку "Изменить" можно изменить кол-во сотрудников на графике 2/2 под которых совершается расчет
2) Ячейка F52 - Выбрав данную настройку и нажав кнопку "Изменить" можно изменить кол-во сотрудников на графике 5/2 ч.з. Так же хочу обратить внимание, что если в данной ячейке будет указан 1 сотрудник графика ч.з., то расчет будет происходить под 2 сотрудника. В зависимости от установленного значения всегда будет +1
Следом нажимаем "Найти решение" и после расчеотв, копируем таблицу "Н57:АХ104" и вставляем её в лист "Распределение по графикам" в таблицу, которая соответствуют дню, выбранному в "А1" листа "Расчет графиков".
И так каждый день индивидуально.</t>
  </si>
  <si>
    <t>4. Лист "Свод по нагрузке".</t>
  </si>
  <si>
    <t>Работа в данном листе происходит так же через "Поиск решений", справа скрин настроек.
Менять можно все диапазоны, которые указываются в зависимости от таблицы, в которой происходит расчет.
Таблиц 3: Для графика 5/2, 5/2 ч.з. и графика 2/2.
Всего на данном листе нужно будет совершить 3 расчета через поиск решений.
Рассмотрим скриншот выше, как пример.
В правом нижнем углу каждой из 3-х таблиц значение для поля "Оптимизировать целевую функцию".
Ниже таблицы из скрина расположена еще 1 таблица, левый столбец которой залит зеленым - это диапазон для поля "Изменяя ячейки переменных".
В соотвтетсвии с ограничениями:
Тот же диапазон, который используется для поля "Изменяя ячейки переменных", используется, что бы был целым
В последней настройке верхняя строка из скрина выше должна быть &lt;= строке ниже.
Нажимаем "Найти решение" и проделываем то же самое с двумя другими графиками.</t>
  </si>
  <si>
    <t>Наилучшее решение по распределению графиков</t>
  </si>
  <si>
    <t>Дельта</t>
  </si>
  <si>
    <t>ПН</t>
  </si>
  <si>
    <t>ВТ</t>
  </si>
  <si>
    <t>СР</t>
  </si>
  <si>
    <t>ЧТ</t>
  </si>
  <si>
    <t>ПТ</t>
  </si>
  <si>
    <t>СБ</t>
  </si>
  <si>
    <t>ВС</t>
  </si>
  <si>
    <t>Значение для поиска</t>
  </si>
  <si>
    <t>Дата начала</t>
  </si>
  <si>
    <t>Дата окончания</t>
  </si>
  <si>
    <t>График</t>
  </si>
  <si>
    <t>2\2</t>
  </si>
  <si>
    <t>5\2 Осн.</t>
  </si>
  <si>
    <t>5\2 ЧЗ</t>
  </si>
  <si>
    <t>Фиксированые значения</t>
  </si>
  <si>
    <t>Тип сопоставления</t>
  </si>
  <si>
    <t>Строки ниже не трогать</t>
  </si>
  <si>
    <t>Расчет 2\2</t>
  </si>
  <si>
    <t>Если нужно указать какие то из параметров расчета для 2\2, 5\2 то нужно заполнить таблицу ниже
В ячейки H14 и I14 вписываем даты начала и окончания и заполняем таблицу А15:I19
Если указать значения в определенный день недели то оно и будет использоваться, если нужно чтоб в поиске решения значения не фиксировалось то пишем в ячейку слово нет.
Пример в таблице ниже будет расчитывать нагрузку с Условиями 2\2 на каждый день не больше 10, 5\2 чз = 0, 5\2 в будни найдет сам, 5\2 в выходные = 0
В поле тип сопостовления нужно указать , что нужно сделать , есть три варианты, 1 это &lt;=, 2 это =, 3 это &gt;=, значения указывать цифрами пустыми не оставлять.
А ячейке А20 нужно выбрать тип расчета 2\2, минимальное, максимальное , среднее</t>
  </si>
  <si>
    <t>Укажи в ячейки H8 и I8 дату начала и дату окончания,в ячейке А3 выбрать тип расчета 2\2 после жми на кнопку
PS: Ячейки В таблице А1:I2 заполняются автоматический.</t>
  </si>
  <si>
    <t>Сред</t>
  </si>
  <si>
    <t>!После нажатия на кнопок все файлы Excel будут закрыты, в папке где запущен файл появится новый файл с посчитаной нагрузкой.
Предварительно сохраните и закройте все другие файлы.
Claim подключите через диск X</t>
  </si>
  <si>
    <t>Мин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</si>
</sst>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0.0"/>
    <numFmt numFmtId="166" formatCode="[$-419]d\ mmm;@"/>
    <numFmt numFmtId="167" formatCode="0.0%"/>
    <numFmt numFmtId="168" formatCode="#,##0.00&quot;р.&quot;"/>
    <numFmt numFmtId="169" formatCode="dd/mm"/>
  </numFmts>
  <fonts count="3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sz val="9"/>
      <name val="Arial"/>
      <family val="2"/>
      <charset val="204"/>
    </font>
    <font>
      <sz val="1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1"/>
      <color theme="0"/>
      <name val="Calibri"/>
      <family val="2"/>
      <scheme val="minor"/>
    </font>
    <font>
      <b/>
      <sz val="12"/>
      <name val="Arial"/>
      <family val="2"/>
      <charset val="204"/>
    </font>
    <font>
      <sz val="18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rgb="FFFF0000"/>
      <name val="Calibri"/>
      <family val="2"/>
      <charset val="204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</fills>
  <borders count="6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19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2" fillId="0" borderId="0"/>
    <xf numFmtId="9" fontId="22" fillId="0" borderId="0" applyFont="0" applyFill="0" applyBorder="0" applyAlignment="0" applyProtection="0"/>
    <xf numFmtId="164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20" fillId="0" borderId="0"/>
    <xf numFmtId="9" fontId="1" fillId="0" borderId="0" applyFont="0" applyFill="0" applyBorder="0" applyAlignment="0" applyProtection="0"/>
    <xf numFmtId="0" fontId="18" fillId="0" borderId="0"/>
    <xf numFmtId="164" fontId="1" fillId="0" borderId="0" applyFont="0" applyFill="0" applyBorder="0" applyAlignment="0" applyProtection="0"/>
  </cellStyleXfs>
  <cellXfs count="411">
    <xf numFmtId="0" fontId="0" fillId="0" borderId="0" xfId="0"/>
    <xf numFmtId="0" fontId="0" fillId="0" borderId="0" xfId="0" applyAlignment="1">
      <alignment wrapText="1"/>
    </xf>
    <xf numFmtId="0" fontId="0" fillId="0" borderId="10" xfId="0" applyBorder="1"/>
    <xf numFmtId="0" fontId="0" fillId="0" borderId="0" xfId="0"/>
    <xf numFmtId="165" fontId="0" fillId="0" borderId="10" xfId="0" applyNumberFormat="1" applyBorder="1"/>
    <xf numFmtId="20" fontId="16" fillId="0" borderId="12" xfId="0" applyNumberFormat="1" applyFont="1" applyFill="1" applyBorder="1"/>
    <xf numFmtId="9" fontId="0" fillId="0" borderId="10" xfId="116" applyFont="1" applyBorder="1"/>
    <xf numFmtId="167" fontId="0" fillId="0" borderId="10" xfId="116" applyNumberFormat="1" applyFont="1" applyBorder="1"/>
    <xf numFmtId="165" fontId="0" fillId="0" borderId="10" xfId="0" applyNumberFormat="1" applyBorder="1" applyAlignment="1">
      <alignment horizontal="center" vertical="center"/>
    </xf>
    <xf numFmtId="0" fontId="0" fillId="33" borderId="0" xfId="0" applyFill="1" applyAlignment="1">
      <alignment wrapText="1"/>
    </xf>
    <xf numFmtId="20" fontId="16" fillId="34" borderId="12" xfId="0" applyNumberFormat="1" applyFont="1" applyFill="1" applyBorder="1"/>
    <xf numFmtId="0" fontId="19" fillId="0" borderId="19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34" borderId="22" xfId="0" applyFont="1" applyFill="1" applyBorder="1" applyAlignment="1">
      <alignment horizontal="center" vertical="center"/>
    </xf>
    <xf numFmtId="0" fontId="19" fillId="34" borderId="23" xfId="0" applyFont="1" applyFill="1" applyBorder="1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0" fillId="0" borderId="0" xfId="0" applyFill="1" applyBorder="1"/>
    <xf numFmtId="0" fontId="19" fillId="38" borderId="25" xfId="117" applyFont="1" applyFill="1" applyBorder="1" applyAlignment="1">
      <alignment horizontal="center" vertical="center"/>
    </xf>
    <xf numFmtId="0" fontId="19" fillId="38" borderId="10" xfId="117" applyFont="1" applyFill="1" applyBorder="1" applyAlignment="1">
      <alignment horizontal="center" vertical="center"/>
    </xf>
    <xf numFmtId="0" fontId="19" fillId="38" borderId="26" xfId="117" applyFont="1" applyFill="1" applyBorder="1" applyAlignment="1">
      <alignment horizontal="center" vertical="center"/>
    </xf>
    <xf numFmtId="0" fontId="0" fillId="0" borderId="0" xfId="0"/>
    <xf numFmtId="14" fontId="0" fillId="0" borderId="0" xfId="0" applyNumberFormat="1"/>
    <xf numFmtId="0" fontId="19" fillId="41" borderId="25" xfId="117" applyFont="1" applyFill="1" applyBorder="1" applyAlignment="1">
      <alignment horizontal="center" vertical="center"/>
    </xf>
    <xf numFmtId="0" fontId="19" fillId="41" borderId="10" xfId="117" applyFont="1" applyFill="1" applyBorder="1" applyAlignment="1">
      <alignment horizontal="center" vertical="center"/>
    </xf>
    <xf numFmtId="0" fontId="19" fillId="41" borderId="26" xfId="117" applyFont="1" applyFill="1" applyBorder="1" applyAlignment="1">
      <alignment horizontal="center" vertical="center"/>
    </xf>
    <xf numFmtId="0" fontId="24" fillId="0" borderId="10" xfId="0" applyFont="1" applyFill="1" applyBorder="1" applyAlignment="1">
      <alignment horizontal="center" vertical="center" wrapText="1"/>
    </xf>
    <xf numFmtId="20" fontId="16" fillId="42" borderId="12" xfId="0" applyNumberFormat="1" applyFont="1" applyFill="1" applyBorder="1"/>
    <xf numFmtId="0" fontId="16" fillId="38" borderId="10" xfId="0" applyFont="1" applyFill="1" applyBorder="1" applyAlignment="1">
      <alignment horizontal="center" vertical="center" wrapText="1"/>
    </xf>
    <xf numFmtId="165" fontId="0" fillId="0" borderId="15" xfId="0" applyNumberFormat="1" applyBorder="1"/>
    <xf numFmtId="165" fontId="0" fillId="0" borderId="27" xfId="0" applyNumberFormat="1" applyBorder="1" applyAlignment="1">
      <alignment horizontal="center" vertical="center"/>
    </xf>
    <xf numFmtId="165" fontId="0" fillId="0" borderId="29" xfId="0" applyNumberFormat="1" applyBorder="1" applyAlignment="1">
      <alignment horizontal="center" vertical="center"/>
    </xf>
    <xf numFmtId="165" fontId="0" fillId="0" borderId="30" xfId="0" applyNumberFormat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165" fontId="0" fillId="0" borderId="26" xfId="0" applyNumberFormat="1" applyBorder="1" applyAlignment="1">
      <alignment horizontal="center" vertical="center"/>
    </xf>
    <xf numFmtId="166" fontId="19" fillId="0" borderId="28" xfId="41" applyNumberFormat="1" applyFont="1" applyBorder="1" applyAlignment="1">
      <alignment horizontal="center" vertical="center"/>
    </xf>
    <xf numFmtId="166" fontId="19" fillId="0" borderId="34" xfId="41" applyNumberFormat="1" applyFont="1" applyBorder="1" applyAlignment="1">
      <alignment horizontal="center" vertical="center"/>
    </xf>
    <xf numFmtId="166" fontId="19" fillId="0" borderId="35" xfId="41" applyNumberFormat="1" applyFont="1" applyBorder="1" applyAlignment="1">
      <alignment horizontal="center" vertical="center"/>
    </xf>
    <xf numFmtId="0" fontId="27" fillId="43" borderId="36" xfId="0" applyNumberFormat="1" applyFont="1" applyFill="1" applyBorder="1"/>
    <xf numFmtId="0" fontId="27" fillId="43" borderId="37" xfId="0" applyNumberFormat="1" applyFont="1" applyFill="1" applyBorder="1"/>
    <xf numFmtId="0" fontId="0" fillId="0" borderId="0" xfId="0" applyNumberFormat="1" applyBorder="1"/>
    <xf numFmtId="14" fontId="27" fillId="43" borderId="36" xfId="0" applyNumberFormat="1" applyFont="1" applyFill="1" applyBorder="1"/>
    <xf numFmtId="21" fontId="0" fillId="44" borderId="36" xfId="0" applyNumberFormat="1" applyFont="1" applyFill="1" applyBorder="1"/>
    <xf numFmtId="22" fontId="0" fillId="0" borderId="0" xfId="0" applyNumberFormat="1"/>
    <xf numFmtId="0" fontId="23" fillId="0" borderId="10" xfId="0" applyFont="1" applyFill="1" applyBorder="1" applyAlignment="1">
      <alignment horizontal="center"/>
    </xf>
    <xf numFmtId="166" fontId="21" fillId="0" borderId="28" xfId="41" applyNumberFormat="1" applyFont="1" applyFill="1" applyBorder="1" applyAlignment="1">
      <alignment horizontal="center" vertical="center"/>
    </xf>
    <xf numFmtId="166" fontId="21" fillId="0" borderId="34" xfId="41" applyNumberFormat="1" applyFont="1" applyFill="1" applyBorder="1" applyAlignment="1">
      <alignment horizontal="center" vertical="center"/>
    </xf>
    <xf numFmtId="166" fontId="21" fillId="0" borderId="35" xfId="41" applyNumberFormat="1" applyFont="1" applyFill="1" applyBorder="1" applyAlignment="1">
      <alignment horizontal="center" vertical="center"/>
    </xf>
    <xf numFmtId="165" fontId="0" fillId="0" borderId="29" xfId="0" applyNumberFormat="1" applyFill="1" applyBorder="1" applyAlignment="1">
      <alignment horizontal="center" vertical="center"/>
    </xf>
    <xf numFmtId="165" fontId="0" fillId="0" borderId="27" xfId="0" applyNumberFormat="1" applyFill="1" applyBorder="1" applyAlignment="1">
      <alignment horizontal="center" vertical="center"/>
    </xf>
    <xf numFmtId="165" fontId="0" fillId="0" borderId="30" xfId="0" applyNumberFormat="1" applyFill="1" applyBorder="1" applyAlignment="1">
      <alignment horizontal="center" vertical="center"/>
    </xf>
    <xf numFmtId="165" fontId="0" fillId="0" borderId="25" xfId="0" applyNumberFormat="1" applyFill="1" applyBorder="1" applyAlignment="1">
      <alignment horizontal="center" vertical="center"/>
    </xf>
    <xf numFmtId="165" fontId="0" fillId="0" borderId="10" xfId="0" applyNumberFormat="1" applyFill="1" applyBorder="1" applyAlignment="1">
      <alignment horizontal="center" vertical="center"/>
    </xf>
    <xf numFmtId="165" fontId="0" fillId="0" borderId="26" xfId="0" applyNumberFormat="1" applyFill="1" applyBorder="1" applyAlignment="1">
      <alignment horizontal="center" vertical="center"/>
    </xf>
    <xf numFmtId="20" fontId="16" fillId="0" borderId="25" xfId="0" applyNumberFormat="1" applyFont="1" applyFill="1" applyBorder="1"/>
    <xf numFmtId="0" fontId="0" fillId="0" borderId="26" xfId="0" applyBorder="1"/>
    <xf numFmtId="20" fontId="16" fillId="0" borderId="28" xfId="0" applyNumberFormat="1" applyFont="1" applyFill="1" applyBorder="1"/>
    <xf numFmtId="20" fontId="16" fillId="0" borderId="39" xfId="0" applyNumberFormat="1" applyFont="1" applyFill="1" applyBorder="1"/>
    <xf numFmtId="0" fontId="0" fillId="0" borderId="34" xfId="0" applyBorder="1"/>
    <xf numFmtId="0" fontId="0" fillId="0" borderId="35" xfId="0" applyBorder="1"/>
    <xf numFmtId="0" fontId="0" fillId="0" borderId="30" xfId="0" applyBorder="1"/>
    <xf numFmtId="0" fontId="0" fillId="0" borderId="25" xfId="0" applyBorder="1"/>
    <xf numFmtId="0" fontId="0" fillId="0" borderId="28" xfId="0" applyBorder="1"/>
    <xf numFmtId="20" fontId="16" fillId="0" borderId="29" xfId="0" applyNumberFormat="1" applyFont="1" applyFill="1" applyBorder="1"/>
    <xf numFmtId="20" fontId="16" fillId="0" borderId="13" xfId="0" applyNumberFormat="1" applyFont="1" applyFill="1" applyBorder="1"/>
    <xf numFmtId="0" fontId="0" fillId="0" borderId="29" xfId="0" applyBorder="1"/>
    <xf numFmtId="0" fontId="0" fillId="0" borderId="27" xfId="0" applyBorder="1"/>
    <xf numFmtId="0" fontId="23" fillId="40" borderId="28" xfId="0" applyFont="1" applyFill="1" applyBorder="1" applyAlignment="1">
      <alignment horizontal="center" vertical="center"/>
    </xf>
    <xf numFmtId="0" fontId="23" fillId="40" borderId="34" xfId="0" applyFont="1" applyFill="1" applyBorder="1" applyAlignment="1">
      <alignment horizontal="center" vertical="center"/>
    </xf>
    <xf numFmtId="0" fontId="16" fillId="47" borderId="34" xfId="0" applyFont="1" applyFill="1" applyBorder="1" applyAlignment="1">
      <alignment horizontal="center" vertical="center"/>
    </xf>
    <xf numFmtId="0" fontId="23" fillId="48" borderId="34" xfId="0" applyFont="1" applyFill="1" applyBorder="1" applyAlignment="1">
      <alignment horizontal="center" vertical="center"/>
    </xf>
    <xf numFmtId="0" fontId="23" fillId="40" borderId="35" xfId="0" applyFont="1" applyFill="1" applyBorder="1" applyAlignment="1">
      <alignment horizontal="center" vertical="center"/>
    </xf>
    <xf numFmtId="0" fontId="16" fillId="47" borderId="28" xfId="0" applyFont="1" applyFill="1" applyBorder="1" applyAlignment="1">
      <alignment horizontal="center" vertical="center"/>
    </xf>
    <xf numFmtId="0" fontId="16" fillId="47" borderId="35" xfId="0" applyFont="1" applyFill="1" applyBorder="1" applyAlignment="1">
      <alignment horizontal="center" vertical="center"/>
    </xf>
    <xf numFmtId="0" fontId="23" fillId="48" borderId="28" xfId="0" applyFont="1" applyFill="1" applyBorder="1" applyAlignment="1">
      <alignment horizontal="center" vertical="center"/>
    </xf>
    <xf numFmtId="0" fontId="23" fillId="48" borderId="35" xfId="0" applyFont="1" applyFill="1" applyBorder="1" applyAlignment="1">
      <alignment horizontal="center" vertical="center"/>
    </xf>
    <xf numFmtId="0" fontId="0" fillId="0" borderId="42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19" fillId="0" borderId="19" xfId="0" applyFont="1" applyFill="1" applyBorder="1" applyAlignment="1">
      <alignment horizontal="center" vertical="center"/>
    </xf>
    <xf numFmtId="0" fontId="19" fillId="0" borderId="20" xfId="0" applyFont="1" applyFill="1" applyBorder="1" applyAlignment="1">
      <alignment horizontal="center" vertical="center"/>
    </xf>
    <xf numFmtId="0" fontId="19" fillId="0" borderId="21" xfId="0" applyFont="1" applyFill="1" applyBorder="1" applyAlignment="1">
      <alignment horizontal="center" vertical="center"/>
    </xf>
    <xf numFmtId="0" fontId="0" fillId="0" borderId="16" xfId="0" applyBorder="1"/>
    <xf numFmtId="0" fontId="0" fillId="46" borderId="43" xfId="0" applyFill="1" applyBorder="1"/>
    <xf numFmtId="0" fontId="16" fillId="0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1" fontId="0" fillId="0" borderId="10" xfId="0" applyNumberFormat="1" applyBorder="1" applyAlignment="1">
      <alignment horizontal="center" vertical="center" wrapText="1"/>
    </xf>
    <xf numFmtId="168" fontId="0" fillId="0" borderId="10" xfId="0" applyNumberFormat="1" applyBorder="1" applyAlignment="1">
      <alignment horizontal="center" vertical="center" wrapText="1"/>
    </xf>
    <xf numFmtId="168" fontId="0" fillId="0" borderId="10" xfId="118" applyNumberFormat="1" applyFont="1" applyBorder="1" applyAlignment="1">
      <alignment horizontal="center" vertical="center" wrapText="1"/>
    </xf>
    <xf numFmtId="0" fontId="25" fillId="0" borderId="10" xfId="0" applyFont="1" applyFill="1" applyBorder="1" applyAlignment="1">
      <alignment horizontal="center" vertical="center" wrapText="1"/>
    </xf>
    <xf numFmtId="1" fontId="25" fillId="0" borderId="10" xfId="0" applyNumberFormat="1" applyFont="1" applyFill="1" applyBorder="1" applyAlignment="1">
      <alignment horizontal="center" vertical="center" wrapText="1"/>
    </xf>
    <xf numFmtId="168" fontId="25" fillId="0" borderId="10" xfId="118" applyNumberFormat="1" applyFont="1" applyFill="1" applyBorder="1" applyAlignment="1">
      <alignment horizontal="center" vertical="center" wrapText="1"/>
    </xf>
    <xf numFmtId="165" fontId="0" fillId="0" borderId="0" xfId="0" applyNumberFormat="1" applyBorder="1"/>
    <xf numFmtId="165" fontId="0" fillId="42" borderId="25" xfId="0" applyNumberFormat="1" applyFill="1" applyBorder="1" applyAlignment="1">
      <alignment horizontal="center" vertical="center"/>
    </xf>
    <xf numFmtId="165" fontId="0" fillId="42" borderId="10" xfId="0" applyNumberFormat="1" applyFill="1" applyBorder="1" applyAlignment="1">
      <alignment horizontal="center" vertical="center"/>
    </xf>
    <xf numFmtId="165" fontId="0" fillId="42" borderId="26" xfId="0" applyNumberFormat="1" applyFill="1" applyBorder="1" applyAlignment="1">
      <alignment horizontal="center" vertical="center"/>
    </xf>
    <xf numFmtId="165" fontId="0" fillId="42" borderId="28" xfId="0" applyNumberFormat="1" applyFill="1" applyBorder="1" applyAlignment="1">
      <alignment horizontal="center" vertical="center"/>
    </xf>
    <xf numFmtId="165" fontId="0" fillId="42" borderId="34" xfId="0" applyNumberFormat="1" applyFill="1" applyBorder="1" applyAlignment="1">
      <alignment horizontal="center" vertical="center"/>
    </xf>
    <xf numFmtId="165" fontId="0" fillId="42" borderId="35" xfId="0" applyNumberFormat="1" applyFill="1" applyBorder="1" applyAlignment="1">
      <alignment horizontal="center" vertical="center"/>
    </xf>
    <xf numFmtId="20" fontId="16" fillId="42" borderId="25" xfId="0" applyNumberFormat="1" applyFont="1" applyFill="1" applyBorder="1"/>
    <xf numFmtId="20" fontId="16" fillId="34" borderId="25" xfId="0" applyNumberFormat="1" applyFont="1" applyFill="1" applyBorder="1"/>
    <xf numFmtId="20" fontId="16" fillId="42" borderId="28" xfId="0" applyNumberFormat="1" applyFont="1" applyFill="1" applyBorder="1"/>
    <xf numFmtId="20" fontId="16" fillId="42" borderId="39" xfId="0" applyNumberFormat="1" applyFont="1" applyFill="1" applyBorder="1"/>
    <xf numFmtId="20" fontId="16" fillId="34" borderId="29" xfId="0" applyNumberFormat="1" applyFont="1" applyFill="1" applyBorder="1"/>
    <xf numFmtId="20" fontId="16" fillId="34" borderId="13" xfId="0" applyNumberFormat="1" applyFont="1" applyFill="1" applyBorder="1"/>
    <xf numFmtId="20" fontId="16" fillId="42" borderId="22" xfId="0" applyNumberFormat="1" applyFont="1" applyFill="1" applyBorder="1"/>
    <xf numFmtId="20" fontId="16" fillId="42" borderId="41" xfId="0" applyNumberFormat="1" applyFont="1" applyFill="1" applyBorder="1"/>
    <xf numFmtId="165" fontId="0" fillId="42" borderId="22" xfId="0" applyNumberFormat="1" applyFill="1" applyBorder="1" applyAlignment="1">
      <alignment horizontal="center" vertical="center"/>
    </xf>
    <xf numFmtId="165" fontId="0" fillId="42" borderId="23" xfId="0" applyNumberFormat="1" applyFill="1" applyBorder="1" applyAlignment="1">
      <alignment horizontal="center" vertical="center"/>
    </xf>
    <xf numFmtId="165" fontId="0" fillId="42" borderId="24" xfId="0" applyNumberFormat="1" applyFill="1" applyBorder="1" applyAlignment="1">
      <alignment horizontal="center" vertical="center"/>
    </xf>
    <xf numFmtId="20" fontId="16" fillId="34" borderId="47" xfId="0" applyNumberFormat="1" applyFont="1" applyFill="1" applyBorder="1"/>
    <xf numFmtId="20" fontId="16" fillId="34" borderId="48" xfId="0" applyNumberFormat="1" applyFont="1" applyFill="1" applyBorder="1"/>
    <xf numFmtId="165" fontId="0" fillId="0" borderId="47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165" fontId="0" fillId="0" borderId="49" xfId="0" applyNumberFormat="1" applyBorder="1" applyAlignment="1">
      <alignment horizontal="center" vertical="center"/>
    </xf>
    <xf numFmtId="165" fontId="0" fillId="0" borderId="47" xfId="0" applyNumberFormat="1" applyFill="1" applyBorder="1" applyAlignment="1">
      <alignment horizontal="center" vertical="center"/>
    </xf>
    <xf numFmtId="165" fontId="0" fillId="0" borderId="15" xfId="0" applyNumberFormat="1" applyFill="1" applyBorder="1" applyAlignment="1">
      <alignment horizontal="center" vertical="center"/>
    </xf>
    <xf numFmtId="165" fontId="0" fillId="0" borderId="49" xfId="0" applyNumberFormat="1" applyFill="1" applyBorder="1" applyAlignment="1">
      <alignment horizontal="center" vertical="center"/>
    </xf>
    <xf numFmtId="17" fontId="0" fillId="47" borderId="22" xfId="0" applyNumberFormat="1" applyFill="1" applyBorder="1" applyAlignment="1">
      <alignment horizontal="center" vertical="center"/>
    </xf>
    <xf numFmtId="17" fontId="0" fillId="47" borderId="24" xfId="0" applyNumberFormat="1" applyFill="1" applyBorder="1" applyAlignment="1">
      <alignment horizontal="center" vertical="center"/>
    </xf>
    <xf numFmtId="20" fontId="16" fillId="34" borderId="26" xfId="0" applyNumberFormat="1" applyFont="1" applyFill="1" applyBorder="1"/>
    <xf numFmtId="20" fontId="16" fillId="34" borderId="30" xfId="0" applyNumberFormat="1" applyFont="1" applyFill="1" applyBorder="1"/>
    <xf numFmtId="20" fontId="16" fillId="42" borderId="24" xfId="0" applyNumberFormat="1" applyFont="1" applyFill="1" applyBorder="1"/>
    <xf numFmtId="0" fontId="0" fillId="42" borderId="22" xfId="0" applyFill="1" applyBorder="1"/>
    <xf numFmtId="0" fontId="0" fillId="42" borderId="23" xfId="0" applyFill="1" applyBorder="1"/>
    <xf numFmtId="20" fontId="16" fillId="42" borderId="26" xfId="0" applyNumberFormat="1" applyFont="1" applyFill="1" applyBorder="1"/>
    <xf numFmtId="0" fontId="0" fillId="42" borderId="25" xfId="0" applyFill="1" applyBorder="1"/>
    <xf numFmtId="0" fontId="0" fillId="42" borderId="10" xfId="0" applyFill="1" applyBorder="1"/>
    <xf numFmtId="20" fontId="16" fillId="42" borderId="35" xfId="0" applyNumberFormat="1" applyFont="1" applyFill="1" applyBorder="1"/>
    <xf numFmtId="0" fontId="0" fillId="42" borderId="28" xfId="0" applyFill="1" applyBorder="1"/>
    <xf numFmtId="0" fontId="0" fillId="42" borderId="34" xfId="0" applyFill="1" applyBorder="1"/>
    <xf numFmtId="20" fontId="16" fillId="34" borderId="49" xfId="0" applyNumberFormat="1" applyFont="1" applyFill="1" applyBorder="1"/>
    <xf numFmtId="0" fontId="0" fillId="0" borderId="47" xfId="0" applyBorder="1"/>
    <xf numFmtId="0" fontId="0" fillId="0" borderId="15" xfId="0" applyBorder="1"/>
    <xf numFmtId="0" fontId="0" fillId="0" borderId="49" xfId="0" applyBorder="1"/>
    <xf numFmtId="0" fontId="0" fillId="34" borderId="20" xfId="0" applyFill="1" applyBorder="1"/>
    <xf numFmtId="0" fontId="0" fillId="34" borderId="21" xfId="0" applyFill="1" applyBorder="1"/>
    <xf numFmtId="0" fontId="0" fillId="34" borderId="53" xfId="0" applyFill="1" applyBorder="1"/>
    <xf numFmtId="165" fontId="0" fillId="0" borderId="27" xfId="0" applyNumberFormat="1" applyBorder="1"/>
    <xf numFmtId="165" fontId="0" fillId="0" borderId="26" xfId="0" applyNumberFormat="1" applyBorder="1"/>
    <xf numFmtId="165" fontId="0" fillId="0" borderId="11" xfId="0" applyNumberFormat="1" applyBorder="1"/>
    <xf numFmtId="165" fontId="0" fillId="0" borderId="14" xfId="0" applyNumberFormat="1" applyBorder="1"/>
    <xf numFmtId="165" fontId="0" fillId="0" borderId="30" xfId="0" applyNumberFormat="1" applyBorder="1"/>
    <xf numFmtId="165" fontId="0" fillId="42" borderId="46" xfId="0" applyNumberFormat="1" applyFill="1" applyBorder="1"/>
    <xf numFmtId="165" fontId="0" fillId="42" borderId="23" xfId="0" applyNumberFormat="1" applyFill="1" applyBorder="1"/>
    <xf numFmtId="165" fontId="0" fillId="42" borderId="24" xfId="0" applyNumberFormat="1" applyFill="1" applyBorder="1"/>
    <xf numFmtId="165" fontId="0" fillId="42" borderId="11" xfId="0" applyNumberFormat="1" applyFill="1" applyBorder="1"/>
    <xf numFmtId="165" fontId="0" fillId="42" borderId="10" xfId="0" applyNumberFormat="1" applyFill="1" applyBorder="1"/>
    <xf numFmtId="165" fontId="0" fillId="42" borderId="26" xfId="0" applyNumberFormat="1" applyFill="1" applyBorder="1"/>
    <xf numFmtId="165" fontId="0" fillId="42" borderId="45" xfId="0" applyNumberFormat="1" applyFill="1" applyBorder="1"/>
    <xf numFmtId="165" fontId="0" fillId="42" borderId="34" xfId="0" applyNumberFormat="1" applyFill="1" applyBorder="1"/>
    <xf numFmtId="165" fontId="0" fillId="42" borderId="35" xfId="0" applyNumberFormat="1" applyFill="1" applyBorder="1"/>
    <xf numFmtId="165" fontId="0" fillId="0" borderId="54" xfId="0" applyNumberFormat="1" applyBorder="1"/>
    <xf numFmtId="165" fontId="0" fillId="0" borderId="49" xfId="0" applyNumberFormat="1" applyBorder="1"/>
    <xf numFmtId="167" fontId="0" fillId="0" borderId="27" xfId="116" applyNumberFormat="1" applyFont="1" applyBorder="1"/>
    <xf numFmtId="167" fontId="0" fillId="0" borderId="14" xfId="116" applyNumberFormat="1" applyFont="1" applyBorder="1"/>
    <xf numFmtId="167" fontId="0" fillId="0" borderId="11" xfId="116" applyNumberFormat="1" applyFont="1" applyBorder="1"/>
    <xf numFmtId="167" fontId="0" fillId="0" borderId="26" xfId="116" applyNumberFormat="1" applyFont="1" applyBorder="1"/>
    <xf numFmtId="167" fontId="0" fillId="0" borderId="54" xfId="116" applyNumberFormat="1" applyFont="1" applyBorder="1"/>
    <xf numFmtId="167" fontId="0" fillId="0" borderId="15" xfId="116" applyNumberFormat="1" applyFont="1" applyBorder="1"/>
    <xf numFmtId="167" fontId="0" fillId="0" borderId="49" xfId="116" applyNumberFormat="1" applyFont="1" applyBorder="1"/>
    <xf numFmtId="167" fontId="0" fillId="42" borderId="46" xfId="116" applyNumberFormat="1" applyFont="1" applyFill="1" applyBorder="1"/>
    <xf numFmtId="167" fontId="0" fillId="42" borderId="23" xfId="116" applyNumberFormat="1" applyFont="1" applyFill="1" applyBorder="1"/>
    <xf numFmtId="167" fontId="0" fillId="42" borderId="24" xfId="116" applyNumberFormat="1" applyFont="1" applyFill="1" applyBorder="1"/>
    <xf numFmtId="167" fontId="0" fillId="42" borderId="11" xfId="116" applyNumberFormat="1" applyFont="1" applyFill="1" applyBorder="1"/>
    <xf numFmtId="167" fontId="0" fillId="42" borderId="10" xfId="116" applyNumberFormat="1" applyFont="1" applyFill="1" applyBorder="1"/>
    <xf numFmtId="167" fontId="0" fillId="42" borderId="26" xfId="116" applyNumberFormat="1" applyFont="1" applyFill="1" applyBorder="1"/>
    <xf numFmtId="167" fontId="0" fillId="42" borderId="45" xfId="116" applyNumberFormat="1" applyFont="1" applyFill="1" applyBorder="1"/>
    <xf numFmtId="167" fontId="0" fillId="42" borderId="34" xfId="116" applyNumberFormat="1" applyFont="1" applyFill="1" applyBorder="1"/>
    <xf numFmtId="167" fontId="0" fillId="42" borderId="35" xfId="116" applyNumberFormat="1" applyFont="1" applyFill="1" applyBorder="1"/>
    <xf numFmtId="167" fontId="0" fillId="0" borderId="30" xfId="116" applyNumberFormat="1" applyFont="1" applyBorder="1"/>
    <xf numFmtId="9" fontId="0" fillId="0" borderId="27" xfId="116" applyFont="1" applyBorder="1"/>
    <xf numFmtId="9" fontId="0" fillId="0" borderId="14" xfId="116" applyFont="1" applyBorder="1"/>
    <xf numFmtId="9" fontId="0" fillId="0" borderId="11" xfId="116" applyFont="1" applyBorder="1"/>
    <xf numFmtId="9" fontId="0" fillId="0" borderId="26" xfId="116" applyFont="1" applyBorder="1"/>
    <xf numFmtId="9" fontId="0" fillId="0" borderId="54" xfId="116" applyFont="1" applyBorder="1"/>
    <xf numFmtId="9" fontId="0" fillId="0" borderId="15" xfId="116" applyFont="1" applyBorder="1"/>
    <xf numFmtId="9" fontId="0" fillId="0" borderId="49" xfId="116" applyFont="1" applyBorder="1"/>
    <xf numFmtId="9" fontId="0" fillId="42" borderId="46" xfId="116" applyFont="1" applyFill="1" applyBorder="1"/>
    <xf numFmtId="9" fontId="0" fillId="42" borderId="23" xfId="116" applyFont="1" applyFill="1" applyBorder="1"/>
    <xf numFmtId="9" fontId="0" fillId="42" borderId="24" xfId="116" applyFont="1" applyFill="1" applyBorder="1"/>
    <xf numFmtId="9" fontId="0" fillId="42" borderId="11" xfId="116" applyFont="1" applyFill="1" applyBorder="1"/>
    <xf numFmtId="9" fontId="0" fillId="42" borderId="10" xfId="116" applyFont="1" applyFill="1" applyBorder="1"/>
    <xf numFmtId="9" fontId="0" fillId="42" borderId="26" xfId="116" applyFont="1" applyFill="1" applyBorder="1"/>
    <xf numFmtId="9" fontId="0" fillId="42" borderId="45" xfId="116" applyFont="1" applyFill="1" applyBorder="1"/>
    <xf numFmtId="9" fontId="0" fillId="42" borderId="34" xfId="116" applyFont="1" applyFill="1" applyBorder="1"/>
    <xf numFmtId="9" fontId="0" fillId="42" borderId="35" xfId="116" applyFont="1" applyFill="1" applyBorder="1"/>
    <xf numFmtId="9" fontId="0" fillId="0" borderId="30" xfId="116" applyFont="1" applyBorder="1"/>
    <xf numFmtId="0" fontId="19" fillId="34" borderId="34" xfId="0" applyFont="1" applyFill="1" applyBorder="1" applyAlignment="1">
      <alignment horizontal="center" vertical="center"/>
    </xf>
    <xf numFmtId="0" fontId="19" fillId="38" borderId="32" xfId="117" applyFont="1" applyFill="1" applyBorder="1" applyAlignment="1">
      <alignment horizontal="center" vertical="center"/>
    </xf>
    <xf numFmtId="0" fontId="19" fillId="38" borderId="23" xfId="117" applyFont="1" applyFill="1" applyBorder="1" applyAlignment="1">
      <alignment horizontal="center" vertical="center"/>
    </xf>
    <xf numFmtId="0" fontId="19" fillId="38" borderId="24" xfId="117" applyFont="1" applyFill="1" applyBorder="1" applyAlignment="1">
      <alignment horizontal="center" vertical="center"/>
    </xf>
    <xf numFmtId="0" fontId="19" fillId="38" borderId="28" xfId="117" applyFont="1" applyFill="1" applyBorder="1" applyAlignment="1">
      <alignment horizontal="center" vertical="center"/>
    </xf>
    <xf numFmtId="0" fontId="19" fillId="38" borderId="34" xfId="117" applyFont="1" applyFill="1" applyBorder="1" applyAlignment="1">
      <alignment horizontal="center" vertical="center"/>
    </xf>
    <xf numFmtId="0" fontId="19" fillId="38" borderId="35" xfId="117" applyFont="1" applyFill="1" applyBorder="1" applyAlignment="1">
      <alignment horizontal="center" vertical="center"/>
    </xf>
    <xf numFmtId="0" fontId="19" fillId="41" borderId="22" xfId="117" applyFont="1" applyFill="1" applyBorder="1" applyAlignment="1">
      <alignment horizontal="center" vertical="center"/>
    </xf>
    <xf numFmtId="0" fontId="19" fillId="41" borderId="23" xfId="117" applyFont="1" applyFill="1" applyBorder="1" applyAlignment="1">
      <alignment horizontal="center" vertical="center"/>
    </xf>
    <xf numFmtId="0" fontId="19" fillId="41" borderId="24" xfId="117" applyFont="1" applyFill="1" applyBorder="1" applyAlignment="1">
      <alignment horizontal="center" vertical="center"/>
    </xf>
    <xf numFmtId="0" fontId="19" fillId="41" borderId="28" xfId="117" applyFont="1" applyFill="1" applyBorder="1" applyAlignment="1">
      <alignment horizontal="center" vertical="center"/>
    </xf>
    <xf numFmtId="0" fontId="19" fillId="41" borderId="34" xfId="117" applyFont="1" applyFill="1" applyBorder="1" applyAlignment="1">
      <alignment horizontal="center" vertical="center"/>
    </xf>
    <xf numFmtId="0" fontId="19" fillId="41" borderId="35" xfId="117" applyFont="1" applyFill="1" applyBorder="1" applyAlignment="1">
      <alignment horizontal="center" vertical="center"/>
    </xf>
    <xf numFmtId="0" fontId="19" fillId="0" borderId="50" xfId="0" applyFont="1" applyBorder="1" applyAlignment="1">
      <alignment horizontal="center" vertical="center"/>
    </xf>
    <xf numFmtId="0" fontId="19" fillId="0" borderId="51" xfId="0" applyFont="1" applyBorder="1" applyAlignment="1">
      <alignment horizontal="center" vertical="center"/>
    </xf>
    <xf numFmtId="0" fontId="19" fillId="0" borderId="52" xfId="0" applyFont="1" applyBorder="1" applyAlignment="1">
      <alignment horizontal="center" vertical="center"/>
    </xf>
    <xf numFmtId="165" fontId="19" fillId="0" borderId="19" xfId="0" applyNumberFormat="1" applyFont="1" applyBorder="1" applyAlignment="1">
      <alignment horizontal="center" vertical="center"/>
    </xf>
    <xf numFmtId="165" fontId="19" fillId="0" borderId="20" xfId="0" applyNumberFormat="1" applyFont="1" applyBorder="1" applyAlignment="1">
      <alignment horizontal="center" vertical="center"/>
    </xf>
    <xf numFmtId="165" fontId="19" fillId="0" borderId="21" xfId="0" applyNumberFormat="1" applyFont="1" applyBorder="1" applyAlignment="1">
      <alignment horizontal="center" vertical="center"/>
    </xf>
    <xf numFmtId="166" fontId="19" fillId="0" borderId="20" xfId="41" applyNumberFormat="1" applyFont="1" applyFill="1" applyBorder="1" applyAlignment="1">
      <alignment horizontal="center" vertical="center"/>
    </xf>
    <xf numFmtId="9" fontId="0" fillId="49" borderId="28" xfId="0" applyNumberFormat="1" applyFill="1" applyBorder="1" applyAlignment="1">
      <alignment horizontal="center" vertical="center"/>
    </xf>
    <xf numFmtId="0" fontId="0" fillId="49" borderId="35" xfId="0" applyFill="1" applyBorder="1" applyAlignment="1">
      <alignment horizontal="center" vertical="center"/>
    </xf>
    <xf numFmtId="0" fontId="0" fillId="46" borderId="42" xfId="0" applyFill="1" applyBorder="1"/>
    <xf numFmtId="0" fontId="0" fillId="46" borderId="44" xfId="0" applyFill="1" applyBorder="1"/>
    <xf numFmtId="0" fontId="0" fillId="46" borderId="22" xfId="0" applyFill="1" applyBorder="1"/>
    <xf numFmtId="0" fontId="0" fillId="46" borderId="23" xfId="0" applyFill="1" applyBorder="1"/>
    <xf numFmtId="0" fontId="0" fillId="46" borderId="24" xfId="0" applyFill="1" applyBorder="1"/>
    <xf numFmtId="0" fontId="0" fillId="46" borderId="28" xfId="0" applyFill="1" applyBorder="1"/>
    <xf numFmtId="0" fontId="0" fillId="46" borderId="34" xfId="0" applyFill="1" applyBorder="1"/>
    <xf numFmtId="0" fontId="0" fillId="46" borderId="35" xfId="0" applyFill="1" applyBorder="1"/>
    <xf numFmtId="0" fontId="0" fillId="0" borderId="0" xfId="0" applyAlignment="1">
      <alignment vertical="center" wrapText="1"/>
    </xf>
    <xf numFmtId="165" fontId="0" fillId="0" borderId="23" xfId="0" applyNumberFormat="1" applyBorder="1"/>
    <xf numFmtId="165" fontId="0" fillId="0" borderId="24" xfId="0" applyNumberFormat="1" applyBorder="1"/>
    <xf numFmtId="165" fontId="0" fillId="0" borderId="34" xfId="0" applyNumberFormat="1" applyBorder="1"/>
    <xf numFmtId="165" fontId="0" fillId="0" borderId="35" xfId="0" applyNumberFormat="1" applyBorder="1"/>
    <xf numFmtId="165" fontId="0" fillId="0" borderId="46" xfId="0" applyNumberFormat="1" applyBorder="1"/>
    <xf numFmtId="165" fontId="0" fillId="0" borderId="45" xfId="0" applyNumberFormat="1" applyBorder="1"/>
    <xf numFmtId="0" fontId="23" fillId="40" borderId="22" xfId="0" applyFont="1" applyFill="1" applyBorder="1" applyAlignment="1">
      <alignment horizontal="center" vertical="center"/>
    </xf>
    <xf numFmtId="0" fontId="23" fillId="40" borderId="23" xfId="0" applyFont="1" applyFill="1" applyBorder="1" applyAlignment="1">
      <alignment horizontal="center" vertical="center"/>
    </xf>
    <xf numFmtId="0" fontId="16" fillId="47" borderId="23" xfId="0" applyFont="1" applyFill="1" applyBorder="1" applyAlignment="1">
      <alignment horizontal="center" vertical="center"/>
    </xf>
    <xf numFmtId="0" fontId="23" fillId="48" borderId="23" xfId="0" applyFont="1" applyFill="1" applyBorder="1" applyAlignment="1">
      <alignment horizontal="center" vertical="center"/>
    </xf>
    <xf numFmtId="0" fontId="23" fillId="0" borderId="25" xfId="0" applyFont="1" applyFill="1" applyBorder="1" applyAlignment="1">
      <alignment horizontal="center"/>
    </xf>
    <xf numFmtId="0" fontId="23" fillId="0" borderId="26" xfId="0" applyFont="1" applyFill="1" applyBorder="1" applyAlignment="1">
      <alignment horizontal="center"/>
    </xf>
    <xf numFmtId="0" fontId="16" fillId="47" borderId="46" xfId="0" applyFont="1" applyFill="1" applyBorder="1" applyAlignment="1">
      <alignment horizontal="center" vertical="center"/>
    </xf>
    <xf numFmtId="0" fontId="23" fillId="0" borderId="11" xfId="0" applyFont="1" applyFill="1" applyBorder="1" applyAlignment="1">
      <alignment horizontal="center"/>
    </xf>
    <xf numFmtId="0" fontId="0" fillId="0" borderId="11" xfId="0" applyBorder="1"/>
    <xf numFmtId="0" fontId="16" fillId="47" borderId="45" xfId="0" applyFont="1" applyFill="1" applyBorder="1" applyAlignment="1">
      <alignment horizontal="center" vertical="center"/>
    </xf>
    <xf numFmtId="0" fontId="23" fillId="40" borderId="24" xfId="0" applyFont="1" applyFill="1" applyBorder="1" applyAlignment="1">
      <alignment horizontal="center" vertical="center"/>
    </xf>
    <xf numFmtId="0" fontId="16" fillId="47" borderId="41" xfId="0" applyFont="1" applyFill="1" applyBorder="1" applyAlignment="1">
      <alignment horizontal="center" vertical="center"/>
    </xf>
    <xf numFmtId="0" fontId="23" fillId="0" borderId="12" xfId="0" applyFont="1" applyFill="1" applyBorder="1" applyAlignment="1">
      <alignment horizontal="center"/>
    </xf>
    <xf numFmtId="0" fontId="0" fillId="0" borderId="12" xfId="0" applyBorder="1"/>
    <xf numFmtId="0" fontId="16" fillId="47" borderId="39" xfId="0" applyFont="1" applyFill="1" applyBorder="1" applyAlignment="1">
      <alignment horizontal="center" vertical="center"/>
    </xf>
    <xf numFmtId="0" fontId="23" fillId="45" borderId="33" xfId="0" applyFont="1" applyFill="1" applyBorder="1" applyAlignment="1">
      <alignment horizontal="center" vertical="center"/>
    </xf>
    <xf numFmtId="0" fontId="23" fillId="0" borderId="40" xfId="0" applyFont="1" applyFill="1" applyBorder="1" applyAlignment="1">
      <alignment horizontal="center"/>
    </xf>
    <xf numFmtId="0" fontId="0" fillId="0" borderId="40" xfId="0" applyFill="1" applyBorder="1"/>
    <xf numFmtId="0" fontId="23" fillId="45" borderId="31" xfId="0" applyFont="1" applyFill="1" applyBorder="1" applyAlignment="1">
      <alignment horizontal="center" vertical="center"/>
    </xf>
    <xf numFmtId="0" fontId="23" fillId="48" borderId="22" xfId="0" applyFont="1" applyFill="1" applyBorder="1" applyAlignment="1">
      <alignment horizontal="center" vertical="center"/>
    </xf>
    <xf numFmtId="0" fontId="23" fillId="48" borderId="24" xfId="0" applyFont="1" applyFill="1" applyBorder="1" applyAlignment="1">
      <alignment horizontal="center" vertical="center"/>
    </xf>
    <xf numFmtId="0" fontId="26" fillId="40" borderId="64" xfId="0" applyFont="1" applyFill="1" applyBorder="1"/>
    <xf numFmtId="49" fontId="0" fillId="0" borderId="10" xfId="0" applyNumberFormat="1" applyBorder="1"/>
    <xf numFmtId="0" fontId="0" fillId="34" borderId="57" xfId="0" applyFill="1" applyBorder="1"/>
    <xf numFmtId="0" fontId="0" fillId="34" borderId="65" xfId="0" applyFill="1" applyBorder="1"/>
    <xf numFmtId="0" fontId="0" fillId="34" borderId="58" xfId="0" applyFill="1" applyBorder="1"/>
    <xf numFmtId="0" fontId="0" fillId="34" borderId="66" xfId="0" applyFill="1" applyBorder="1"/>
    <xf numFmtId="0" fontId="0" fillId="34" borderId="0" xfId="0" applyFill="1" applyBorder="1"/>
    <xf numFmtId="0" fontId="0" fillId="34" borderId="67" xfId="0" applyFill="1" applyBorder="1"/>
    <xf numFmtId="0" fontId="0" fillId="34" borderId="59" xfId="0" applyFill="1" applyBorder="1"/>
    <xf numFmtId="0" fontId="0" fillId="34" borderId="55" xfId="0" applyFill="1" applyBorder="1"/>
    <xf numFmtId="0" fontId="0" fillId="34" borderId="56" xfId="0" applyFill="1" applyBorder="1"/>
    <xf numFmtId="20" fontId="16" fillId="0" borderId="22" xfId="0" applyNumberFormat="1" applyFont="1" applyFill="1" applyBorder="1"/>
    <xf numFmtId="20" fontId="16" fillId="0" borderId="24" xfId="0" applyNumberFormat="1" applyFont="1" applyFill="1" applyBorder="1"/>
    <xf numFmtId="20" fontId="16" fillId="0" borderId="26" xfId="0" applyNumberFormat="1" applyFont="1" applyFill="1" applyBorder="1"/>
    <xf numFmtId="20" fontId="16" fillId="0" borderId="35" xfId="0" applyNumberFormat="1" applyFont="1" applyFill="1" applyBorder="1"/>
    <xf numFmtId="1" fontId="0" fillId="0" borderId="10" xfId="0" applyNumberFormat="1" applyBorder="1" applyAlignment="1">
      <alignment horizontal="center" vertical="center"/>
    </xf>
    <xf numFmtId="169" fontId="19" fillId="34" borderId="53" xfId="41" applyNumberFormat="1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4" fontId="0" fillId="44" borderId="38" xfId="0" applyNumberFormat="1" applyFont="1" applyFill="1" applyBorder="1"/>
    <xf numFmtId="0" fontId="0" fillId="44" borderId="36" xfId="0" applyFont="1" applyFill="1" applyBorder="1"/>
    <xf numFmtId="0" fontId="0" fillId="44" borderId="37" xfId="0" applyFont="1" applyFill="1" applyBorder="1"/>
    <xf numFmtId="14" fontId="19" fillId="34" borderId="53" xfId="41" applyNumberFormat="1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165" fontId="0" fillId="0" borderId="23" xfId="0" applyNumberFormat="1" applyBorder="1" applyAlignment="1">
      <alignment horizontal="center" vertical="center"/>
    </xf>
    <xf numFmtId="165" fontId="0" fillId="0" borderId="23" xfId="0" applyNumberFormat="1" applyFill="1" applyBorder="1" applyAlignment="1">
      <alignment horizontal="center" vertical="center"/>
    </xf>
    <xf numFmtId="0" fontId="0" fillId="0" borderId="0" xfId="0" applyBorder="1"/>
    <xf numFmtId="0" fontId="0" fillId="0" borderId="67" xfId="0" applyBorder="1"/>
    <xf numFmtId="0" fontId="0" fillId="0" borderId="66" xfId="0" applyBorder="1"/>
    <xf numFmtId="0" fontId="0" fillId="0" borderId="59" xfId="0" applyBorder="1"/>
    <xf numFmtId="0" fontId="0" fillId="0" borderId="55" xfId="0" applyBorder="1"/>
    <xf numFmtId="14" fontId="0" fillId="0" borderId="34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56" xfId="0" applyBorder="1"/>
    <xf numFmtId="1" fontId="0" fillId="0" borderId="0" xfId="0" applyNumberFormat="1" applyBorder="1"/>
    <xf numFmtId="0" fontId="0" fillId="0" borderId="65" xfId="0" applyBorder="1"/>
    <xf numFmtId="0" fontId="0" fillId="0" borderId="58" xfId="0" applyBorder="1"/>
    <xf numFmtId="0" fontId="0" fillId="0" borderId="28" xfId="0" applyFill="1" applyBorder="1" applyAlignment="1">
      <alignment horizontal="center" vertical="center"/>
    </xf>
    <xf numFmtId="0" fontId="0" fillId="0" borderId="34" xfId="0" applyFill="1" applyBorder="1" applyAlignment="1">
      <alignment horizontal="center" vertical="center"/>
    </xf>
    <xf numFmtId="0" fontId="0" fillId="0" borderId="35" xfId="0" applyFill="1" applyBorder="1" applyAlignment="1">
      <alignment horizontal="center" vertical="center"/>
    </xf>
    <xf numFmtId="165" fontId="0" fillId="0" borderId="27" xfId="0" applyNumberFormat="1" applyFill="1" applyBorder="1" applyAlignment="1">
      <alignment horizontal="center" vertical="center" wrapText="1"/>
    </xf>
    <xf numFmtId="0" fontId="0" fillId="0" borderId="47" xfId="0" applyBorder="1" applyAlignment="1">
      <alignment horizontal="center" vertical="center"/>
    </xf>
    <xf numFmtId="0" fontId="25" fillId="53" borderId="64" xfId="0" applyFont="1" applyFill="1" applyBorder="1" applyAlignment="1">
      <alignment horizontal="center" vertical="center"/>
    </xf>
    <xf numFmtId="0" fontId="0" fillId="53" borderId="64" xfId="0" applyFill="1" applyBorder="1"/>
    <xf numFmtId="0" fontId="31" fillId="0" borderId="0" xfId="0" applyFont="1" applyBorder="1" applyAlignment="1">
      <alignment vertical="center" wrapText="1"/>
    </xf>
    <xf numFmtId="0" fontId="0" fillId="51" borderId="22" xfId="0" applyFill="1" applyBorder="1" applyAlignment="1">
      <alignment horizontal="center" vertical="center" wrapText="1"/>
    </xf>
    <xf numFmtId="0" fontId="0" fillId="51" borderId="23" xfId="0" applyFill="1" applyBorder="1" applyAlignment="1">
      <alignment horizontal="center" vertical="center"/>
    </xf>
    <xf numFmtId="0" fontId="0" fillId="51" borderId="24" xfId="0" applyFill="1" applyBorder="1" applyAlignment="1">
      <alignment horizontal="center" vertical="center"/>
    </xf>
    <xf numFmtId="0" fontId="0" fillId="51" borderId="25" xfId="0" applyFill="1" applyBorder="1" applyAlignment="1">
      <alignment horizontal="center" vertical="center"/>
    </xf>
    <xf numFmtId="0" fontId="0" fillId="51" borderId="10" xfId="0" applyFill="1" applyBorder="1" applyAlignment="1">
      <alignment horizontal="center" vertical="center"/>
    </xf>
    <xf numFmtId="0" fontId="0" fillId="51" borderId="26" xfId="0" applyFill="1" applyBorder="1" applyAlignment="1">
      <alignment horizontal="center" vertical="center"/>
    </xf>
    <xf numFmtId="0" fontId="0" fillId="51" borderId="28" xfId="0" applyFill="1" applyBorder="1" applyAlignment="1">
      <alignment horizontal="center" vertical="center"/>
    </xf>
    <xf numFmtId="0" fontId="0" fillId="51" borderId="34" xfId="0" applyFill="1" applyBorder="1" applyAlignment="1">
      <alignment horizontal="center" vertical="center"/>
    </xf>
    <xf numFmtId="0" fontId="0" fillId="51" borderId="35" xfId="0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52" borderId="57" xfId="0" applyFont="1" applyFill="1" applyBorder="1" applyAlignment="1">
      <alignment horizontal="left" vertical="top" wrapText="1"/>
    </xf>
    <xf numFmtId="0" fontId="0" fillId="52" borderId="65" xfId="0" applyFont="1" applyFill="1" applyBorder="1" applyAlignment="1">
      <alignment horizontal="left" vertical="top" wrapText="1"/>
    </xf>
    <xf numFmtId="0" fontId="0" fillId="52" borderId="58" xfId="0" applyFont="1" applyFill="1" applyBorder="1" applyAlignment="1">
      <alignment horizontal="left" vertical="top" wrapText="1"/>
    </xf>
    <xf numFmtId="0" fontId="0" fillId="52" borderId="66" xfId="0" applyFont="1" applyFill="1" applyBorder="1" applyAlignment="1">
      <alignment horizontal="left" vertical="top" wrapText="1"/>
    </xf>
    <xf numFmtId="0" fontId="0" fillId="52" borderId="0" xfId="0" applyFont="1" applyFill="1" applyBorder="1" applyAlignment="1">
      <alignment horizontal="left" vertical="top" wrapText="1"/>
    </xf>
    <xf numFmtId="0" fontId="0" fillId="52" borderId="67" xfId="0" applyFont="1" applyFill="1" applyBorder="1" applyAlignment="1">
      <alignment horizontal="left" vertical="top" wrapText="1"/>
    </xf>
    <xf numFmtId="0" fontId="0" fillId="52" borderId="59" xfId="0" applyFont="1" applyFill="1" applyBorder="1" applyAlignment="1">
      <alignment horizontal="left" vertical="top" wrapText="1"/>
    </xf>
    <xf numFmtId="0" fontId="0" fillId="52" borderId="55" xfId="0" applyFont="1" applyFill="1" applyBorder="1" applyAlignment="1">
      <alignment horizontal="left" vertical="top" wrapText="1"/>
    </xf>
    <xf numFmtId="0" fontId="0" fillId="52" borderId="56" xfId="0" applyFont="1" applyFill="1" applyBorder="1" applyAlignment="1">
      <alignment horizontal="left" vertical="top" wrapText="1"/>
    </xf>
    <xf numFmtId="0" fontId="0" fillId="53" borderId="16" xfId="0" applyFill="1" applyBorder="1" applyAlignment="1">
      <alignment horizontal="center" vertical="center"/>
    </xf>
    <xf numFmtId="0" fontId="0" fillId="53" borderId="17" xfId="0" applyFill="1" applyBorder="1" applyAlignment="1">
      <alignment horizontal="center" vertical="center"/>
    </xf>
    <xf numFmtId="0" fontId="0" fillId="53" borderId="18" xfId="0" applyFill="1" applyBorder="1" applyAlignment="1">
      <alignment horizontal="center" vertical="center"/>
    </xf>
    <xf numFmtId="0" fontId="0" fillId="0" borderId="57" xfId="0" applyBorder="1" applyAlignment="1">
      <alignment horizontal="center" vertical="center" wrapText="1"/>
    </xf>
    <xf numFmtId="0" fontId="0" fillId="0" borderId="65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66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67" xfId="0" applyBorder="1" applyAlignment="1">
      <alignment horizontal="center" vertical="center" wrapText="1"/>
    </xf>
    <xf numFmtId="0" fontId="0" fillId="0" borderId="59" xfId="0" applyBorder="1" applyAlignment="1">
      <alignment horizontal="center" vertical="center" wrapText="1"/>
    </xf>
    <xf numFmtId="0" fontId="0" fillId="0" borderId="55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20" fontId="16" fillId="34" borderId="19" xfId="0" applyNumberFormat="1" applyFont="1" applyFill="1" applyBorder="1" applyAlignment="1">
      <alignment horizontal="center"/>
    </xf>
    <xf numFmtId="20" fontId="16" fillId="34" borderId="21" xfId="0" applyNumberFormat="1" applyFont="1" applyFill="1" applyBorder="1" applyAlignment="1">
      <alignment horizontal="center"/>
    </xf>
    <xf numFmtId="166" fontId="21" fillId="34" borderId="19" xfId="41" applyNumberFormat="1" applyFont="1" applyFill="1" applyBorder="1" applyAlignment="1">
      <alignment horizontal="center" vertical="center"/>
    </xf>
    <xf numFmtId="166" fontId="21" fillId="34" borderId="20" xfId="41" applyNumberFormat="1" applyFont="1" applyFill="1" applyBorder="1" applyAlignment="1">
      <alignment horizontal="center" vertical="center"/>
    </xf>
    <xf numFmtId="166" fontId="21" fillId="34" borderId="21" xfId="41" applyNumberFormat="1" applyFont="1" applyFill="1" applyBorder="1" applyAlignment="1">
      <alignment horizontal="center" vertical="center"/>
    </xf>
    <xf numFmtId="0" fontId="19" fillId="34" borderId="19" xfId="41" applyFont="1" applyFill="1" applyBorder="1" applyAlignment="1" applyProtection="1">
      <alignment horizontal="center" vertical="center" wrapText="1"/>
    </xf>
    <xf numFmtId="0" fontId="19" fillId="34" borderId="21" xfId="41" applyFont="1" applyFill="1" applyBorder="1" applyAlignment="1" applyProtection="1">
      <alignment horizontal="center" vertical="center" wrapText="1"/>
    </xf>
    <xf numFmtId="0" fontId="0" fillId="34" borderId="22" xfId="0" applyFill="1" applyBorder="1" applyAlignment="1">
      <alignment horizontal="center" vertical="center" wrapText="1"/>
    </xf>
    <xf numFmtId="0" fontId="0" fillId="34" borderId="41" xfId="0" applyFill="1" applyBorder="1" applyAlignment="1">
      <alignment horizontal="center" vertical="center" wrapText="1"/>
    </xf>
    <xf numFmtId="0" fontId="0" fillId="34" borderId="28" xfId="0" applyFill="1" applyBorder="1" applyAlignment="1">
      <alignment horizontal="center" vertical="center" wrapText="1"/>
    </xf>
    <xf numFmtId="0" fontId="0" fillId="34" borderId="39" xfId="0" applyFill="1" applyBorder="1" applyAlignment="1">
      <alignment horizontal="center" vertical="center" wrapText="1"/>
    </xf>
    <xf numFmtId="166" fontId="21" fillId="34" borderId="16" xfId="41" applyNumberFormat="1" applyFont="1" applyFill="1" applyBorder="1" applyAlignment="1">
      <alignment horizontal="center" vertical="center"/>
    </xf>
    <xf numFmtId="166" fontId="21" fillId="34" borderId="17" xfId="41" applyNumberFormat="1" applyFont="1" applyFill="1" applyBorder="1" applyAlignment="1">
      <alignment horizontal="center" vertical="center"/>
    </xf>
    <xf numFmtId="166" fontId="21" fillId="34" borderId="18" xfId="41" applyNumberFormat="1" applyFont="1" applyFill="1" applyBorder="1" applyAlignment="1">
      <alignment horizontal="center" vertical="center"/>
    </xf>
    <xf numFmtId="0" fontId="16" fillId="34" borderId="19" xfId="0" applyFont="1" applyFill="1" applyBorder="1" applyAlignment="1">
      <alignment horizontal="center"/>
    </xf>
    <xf numFmtId="0" fontId="16" fillId="34" borderId="20" xfId="0" applyFont="1" applyFill="1" applyBorder="1" applyAlignment="1">
      <alignment horizontal="center"/>
    </xf>
    <xf numFmtId="0" fontId="16" fillId="34" borderId="21" xfId="0" applyFont="1" applyFill="1" applyBorder="1" applyAlignment="1">
      <alignment horizontal="center"/>
    </xf>
    <xf numFmtId="0" fontId="16" fillId="34" borderId="22" xfId="0" applyFont="1" applyFill="1" applyBorder="1" applyAlignment="1">
      <alignment horizontal="center"/>
    </xf>
    <xf numFmtId="0" fontId="16" fillId="34" borderId="23" xfId="0" applyFont="1" applyFill="1" applyBorder="1" applyAlignment="1">
      <alignment horizontal="center"/>
    </xf>
    <xf numFmtId="0" fontId="16" fillId="34" borderId="24" xfId="0" applyFont="1" applyFill="1" applyBorder="1" applyAlignment="1">
      <alignment horizontal="center"/>
    </xf>
    <xf numFmtId="165" fontId="16" fillId="34" borderId="19" xfId="0" applyNumberFormat="1" applyFont="1" applyFill="1" applyBorder="1" applyAlignment="1">
      <alignment horizontal="center"/>
    </xf>
    <xf numFmtId="165" fontId="16" fillId="34" borderId="20" xfId="0" applyNumberFormat="1" applyFont="1" applyFill="1" applyBorder="1" applyAlignment="1">
      <alignment horizontal="center"/>
    </xf>
    <xf numFmtId="165" fontId="16" fillId="34" borderId="21" xfId="0" applyNumberFormat="1" applyFont="1" applyFill="1" applyBorder="1" applyAlignment="1">
      <alignment horizontal="center"/>
    </xf>
    <xf numFmtId="0" fontId="0" fillId="0" borderId="22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29" fillId="0" borderId="19" xfId="0" applyFont="1" applyBorder="1" applyAlignment="1">
      <alignment horizontal="center" vertical="center"/>
    </xf>
    <xf numFmtId="0" fontId="29" fillId="0" borderId="20" xfId="0" applyFont="1" applyBorder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21" fillId="0" borderId="17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0" fillId="50" borderId="19" xfId="0" applyFill="1" applyBorder="1" applyAlignment="1">
      <alignment horizontal="center"/>
    </xf>
    <xf numFmtId="0" fontId="0" fillId="50" borderId="20" xfId="0" applyFill="1" applyBorder="1" applyAlignment="1">
      <alignment horizontal="center"/>
    </xf>
    <xf numFmtId="0" fontId="0" fillId="50" borderId="21" xfId="0" applyFill="1" applyBorder="1" applyAlignment="1">
      <alignment horizontal="center"/>
    </xf>
    <xf numFmtId="16" fontId="0" fillId="50" borderId="19" xfId="0" applyNumberFormat="1" applyFill="1" applyBorder="1" applyAlignment="1">
      <alignment horizontal="center"/>
    </xf>
    <xf numFmtId="49" fontId="19" fillId="35" borderId="22" xfId="0" applyNumberFormat="1" applyFont="1" applyFill="1" applyBorder="1" applyAlignment="1" applyProtection="1">
      <alignment horizontal="center" vertical="center"/>
    </xf>
    <xf numFmtId="49" fontId="19" fillId="35" borderId="24" xfId="0" applyNumberFormat="1" applyFont="1" applyFill="1" applyBorder="1" applyAlignment="1" applyProtection="1">
      <alignment horizontal="center" vertical="center"/>
    </xf>
    <xf numFmtId="49" fontId="19" fillId="35" borderId="28" xfId="0" applyNumberFormat="1" applyFont="1" applyFill="1" applyBorder="1" applyAlignment="1" applyProtection="1">
      <alignment horizontal="center" vertical="center"/>
    </xf>
    <xf numFmtId="49" fontId="19" fillId="35" borderId="35" xfId="0" applyNumberFormat="1" applyFont="1" applyFill="1" applyBorder="1" applyAlignment="1" applyProtection="1">
      <alignment horizontal="center" vertical="center"/>
    </xf>
    <xf numFmtId="0" fontId="19" fillId="36" borderId="19" xfId="0" applyFont="1" applyFill="1" applyBorder="1" applyAlignment="1" applyProtection="1">
      <alignment horizontal="center" vertical="center"/>
    </xf>
    <xf numFmtId="0" fontId="19" fillId="36" borderId="21" xfId="0" applyFont="1" applyFill="1" applyBorder="1" applyAlignment="1" applyProtection="1">
      <alignment horizontal="center" vertical="center"/>
    </xf>
    <xf numFmtId="0" fontId="19" fillId="0" borderId="57" xfId="0" applyFont="1" applyBorder="1" applyAlignment="1">
      <alignment horizontal="center" vertical="center"/>
    </xf>
    <xf numFmtId="0" fontId="19" fillId="0" borderId="58" xfId="0" applyFont="1" applyBorder="1" applyAlignment="1">
      <alignment horizontal="center" vertical="center"/>
    </xf>
    <xf numFmtId="0" fontId="19" fillId="0" borderId="59" xfId="0" applyFont="1" applyBorder="1" applyAlignment="1">
      <alignment horizontal="center" vertical="center"/>
    </xf>
    <xf numFmtId="0" fontId="19" fillId="0" borderId="56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8" fillId="0" borderId="56" xfId="0" applyFont="1" applyBorder="1" applyAlignment="1">
      <alignment horizontal="center" vertical="center"/>
    </xf>
    <xf numFmtId="49" fontId="19" fillId="37" borderId="22" xfId="0" applyNumberFormat="1" applyFont="1" applyFill="1" applyBorder="1" applyAlignment="1" applyProtection="1">
      <alignment horizontal="center" vertical="center"/>
    </xf>
    <xf numFmtId="49" fontId="19" fillId="37" borderId="24" xfId="0" applyNumberFormat="1" applyFont="1" applyFill="1" applyBorder="1" applyAlignment="1" applyProtection="1">
      <alignment horizontal="center" vertical="center"/>
    </xf>
    <xf numFmtId="49" fontId="19" fillId="37" borderId="25" xfId="0" applyNumberFormat="1" applyFont="1" applyFill="1" applyBorder="1" applyAlignment="1" applyProtection="1">
      <alignment horizontal="center" vertical="center"/>
    </xf>
    <xf numFmtId="49" fontId="19" fillId="37" borderId="26" xfId="0" applyNumberFormat="1" applyFont="1" applyFill="1" applyBorder="1" applyAlignment="1" applyProtection="1">
      <alignment horizontal="center" vertical="center"/>
    </xf>
    <xf numFmtId="49" fontId="19" fillId="37" borderId="28" xfId="0" applyNumberFormat="1" applyFont="1" applyFill="1" applyBorder="1" applyAlignment="1" applyProtection="1">
      <alignment horizontal="center" vertical="center"/>
    </xf>
    <xf numFmtId="49" fontId="19" fillId="37" borderId="35" xfId="0" applyNumberFormat="1" applyFont="1" applyFill="1" applyBorder="1" applyAlignment="1" applyProtection="1">
      <alignment horizontal="center" vertical="center"/>
    </xf>
    <xf numFmtId="49" fontId="19" fillId="41" borderId="22" xfId="0" applyNumberFormat="1" applyFont="1" applyFill="1" applyBorder="1" applyAlignment="1" applyProtection="1">
      <alignment horizontal="center" vertical="center"/>
    </xf>
    <xf numFmtId="49" fontId="19" fillId="41" borderId="24" xfId="0" applyNumberFormat="1" applyFont="1" applyFill="1" applyBorder="1" applyAlignment="1" applyProtection="1">
      <alignment horizontal="center" vertical="center"/>
    </xf>
    <xf numFmtId="49" fontId="19" fillId="41" borderId="25" xfId="0" applyNumberFormat="1" applyFont="1" applyFill="1" applyBorder="1" applyAlignment="1" applyProtection="1">
      <alignment horizontal="center" vertical="center"/>
    </xf>
    <xf numFmtId="49" fontId="19" fillId="41" borderId="26" xfId="0" applyNumberFormat="1" applyFont="1" applyFill="1" applyBorder="1" applyAlignment="1" applyProtection="1">
      <alignment horizontal="center" vertical="center"/>
    </xf>
    <xf numFmtId="49" fontId="19" fillId="41" borderId="28" xfId="0" applyNumberFormat="1" applyFont="1" applyFill="1" applyBorder="1" applyAlignment="1" applyProtection="1">
      <alignment horizontal="center" vertical="center"/>
    </xf>
    <xf numFmtId="49" fontId="19" fillId="41" borderId="35" xfId="0" applyNumberFormat="1" applyFont="1" applyFill="1" applyBorder="1" applyAlignment="1" applyProtection="1">
      <alignment horizontal="center" vertical="center"/>
    </xf>
    <xf numFmtId="0" fontId="21" fillId="0" borderId="22" xfId="0" applyFont="1" applyFill="1" applyBorder="1" applyAlignment="1">
      <alignment horizontal="center" vertical="center" wrapText="1"/>
    </xf>
    <xf numFmtId="0" fontId="21" fillId="0" borderId="24" xfId="0" applyFont="1" applyFill="1" applyBorder="1" applyAlignment="1">
      <alignment horizontal="center" vertical="center" wrapText="1"/>
    </xf>
    <xf numFmtId="0" fontId="21" fillId="0" borderId="28" xfId="0" applyFont="1" applyFill="1" applyBorder="1" applyAlignment="1">
      <alignment horizontal="center" vertical="center" wrapText="1"/>
    </xf>
    <xf numFmtId="0" fontId="21" fillId="0" borderId="35" xfId="0" applyFont="1" applyFill="1" applyBorder="1" applyAlignment="1">
      <alignment horizontal="center" vertical="center" wrapText="1"/>
    </xf>
    <xf numFmtId="0" fontId="21" fillId="39" borderId="19" xfId="0" applyFont="1" applyFill="1" applyBorder="1" applyAlignment="1">
      <alignment horizontal="center" vertical="center" wrapText="1"/>
    </xf>
    <xf numFmtId="0" fontId="21" fillId="39" borderId="21" xfId="0" applyFont="1" applyFill="1" applyBorder="1" applyAlignment="1">
      <alignment horizontal="center" vertical="center" wrapText="1"/>
    </xf>
    <xf numFmtId="0" fontId="21" fillId="40" borderId="50" xfId="0" applyFont="1" applyFill="1" applyBorder="1" applyAlignment="1">
      <alignment horizontal="center" vertical="center" wrapText="1"/>
    </xf>
    <xf numFmtId="0" fontId="21" fillId="40" borderId="52" xfId="0" applyFont="1" applyFill="1" applyBorder="1" applyAlignment="1">
      <alignment horizontal="center" vertical="center" wrapText="1"/>
    </xf>
    <xf numFmtId="0" fontId="0" fillId="46" borderId="10" xfId="0" applyFill="1" applyBorder="1" applyAlignment="1">
      <alignment horizontal="center" vertical="center" wrapText="1"/>
    </xf>
    <xf numFmtId="0" fontId="0" fillId="0" borderId="10" xfId="0" applyBorder="1" applyAlignment="1">
      <alignment horizontal="left" vertical="center" wrapText="1"/>
    </xf>
    <xf numFmtId="0" fontId="0" fillId="0" borderId="6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8" xfId="0" applyBorder="1" applyAlignment="1">
      <alignment horizontal="left" vertical="center" wrapText="1"/>
    </xf>
    <xf numFmtId="0" fontId="0" fillId="0" borderId="61" xfId="0" applyBorder="1" applyAlignment="1">
      <alignment horizontal="left" vertical="center" wrapText="1"/>
    </xf>
    <xf numFmtId="0" fontId="0" fillId="0" borderId="54" xfId="0" applyBorder="1" applyAlignment="1">
      <alignment horizontal="left" vertical="center" wrapText="1"/>
    </xf>
    <xf numFmtId="0" fontId="0" fillId="0" borderId="60" xfId="0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0" fillId="0" borderId="62" xfId="0" applyBorder="1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0" fontId="0" fillId="0" borderId="63" xfId="0" applyBorder="1" applyAlignment="1">
      <alignment horizontal="left" vertical="center" wrapText="1"/>
    </xf>
    <xf numFmtId="0" fontId="0" fillId="0" borderId="14" xfId="0" applyBorder="1" applyAlignment="1">
      <alignment horizontal="left" vertical="center" wrapText="1"/>
    </xf>
  </cellXfs>
  <cellStyles count="119">
    <cellStyle name="20% — акцент1" xfId="18" builtinId="30" customBuiltin="1"/>
    <cellStyle name="20% — акцент2" xfId="22" builtinId="34" customBuiltin="1"/>
    <cellStyle name="20% — акцент3" xfId="26" builtinId="38" customBuiltin="1"/>
    <cellStyle name="20% — акцент4" xfId="30" builtinId="42" customBuiltin="1"/>
    <cellStyle name="20% — акцент5" xfId="34" builtinId="46" customBuiltin="1"/>
    <cellStyle name="20% — акцент6" xfId="38" builtinId="50" customBuiltin="1"/>
    <cellStyle name="40% — акцент1" xfId="19" builtinId="31" customBuiltin="1"/>
    <cellStyle name="40% — акцент2" xfId="23" builtinId="35" customBuiltin="1"/>
    <cellStyle name="40% — акцент3" xfId="27" builtinId="39" customBuiltin="1"/>
    <cellStyle name="40% — акцент4" xfId="31" builtinId="43" customBuiltin="1"/>
    <cellStyle name="40% — акцент5" xfId="35" builtinId="47" customBuiltin="1"/>
    <cellStyle name="40% — акцент6" xfId="39" builtinId="51" customBuiltin="1"/>
    <cellStyle name="60% — акцент1" xfId="20" builtinId="32" customBuiltin="1"/>
    <cellStyle name="60% — акцент2" xfId="24" builtinId="36" customBuiltin="1"/>
    <cellStyle name="60% — акцент3" xfId="28" builtinId="40" customBuiltin="1"/>
    <cellStyle name="60% — акцент4" xfId="32" builtinId="44" customBuiltin="1"/>
    <cellStyle name="60% — акцент5" xfId="36" builtinId="48" customBuiltin="1"/>
    <cellStyle name="60% — акцент6" xfId="40" builtinId="52" customBuiltin="1"/>
    <cellStyle name="Акцент1" xfId="17" builtinId="29" customBuiltin="1"/>
    <cellStyle name="Акцент2" xfId="21" builtinId="33" customBuiltin="1"/>
    <cellStyle name="Акцент3" xfId="25" builtinId="37" customBuiltin="1"/>
    <cellStyle name="Акцент4" xfId="29" builtinId="41" customBuiltin="1"/>
    <cellStyle name="Акцент5" xfId="33" builtinId="45" customBuiltin="1"/>
    <cellStyle name="Акцент6" xfId="37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6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10" xfId="42"/>
    <cellStyle name="Обычный 10 2" xfId="43"/>
    <cellStyle name="Обычный 10 2 2" xfId="115"/>
    <cellStyle name="Обычный 10 3" xfId="99"/>
    <cellStyle name="Обычный 11" xfId="44"/>
    <cellStyle name="Обычный 11 2" xfId="45"/>
    <cellStyle name="Обычный 11 3" xfId="100"/>
    <cellStyle name="Обычный 12" xfId="46"/>
    <cellStyle name="Обычный 12 2" xfId="47"/>
    <cellStyle name="Обычный 12 3" xfId="101"/>
    <cellStyle name="Обычный 13" xfId="48"/>
    <cellStyle name="Обычный 13 2" xfId="49"/>
    <cellStyle name="Обычный 13 3" xfId="102"/>
    <cellStyle name="Обычный 14" xfId="50"/>
    <cellStyle name="Обычный 14 2" xfId="51"/>
    <cellStyle name="Обычный 14 3" xfId="103"/>
    <cellStyle name="Обычный 15" xfId="52"/>
    <cellStyle name="Обычный 15 2" xfId="104"/>
    <cellStyle name="Обычный 16" xfId="53"/>
    <cellStyle name="Обычный 16 2" xfId="54"/>
    <cellStyle name="Обычный 16 3" xfId="106"/>
    <cellStyle name="Обычный 17" xfId="55"/>
    <cellStyle name="Обычный 17 2" xfId="56"/>
    <cellStyle name="Обычный 17 3" xfId="107"/>
    <cellStyle name="Обычный 18" xfId="57"/>
    <cellStyle name="Обычный 18 2" xfId="58"/>
    <cellStyle name="Обычный 18 3" xfId="108"/>
    <cellStyle name="Обычный 19" xfId="59"/>
    <cellStyle name="Обычный 19 2" xfId="60"/>
    <cellStyle name="Обычный 19 3" xfId="109"/>
    <cellStyle name="Обычный 2" xfId="61"/>
    <cellStyle name="Обычный 2 2" xfId="92"/>
    <cellStyle name="Обычный 20" xfId="62"/>
    <cellStyle name="Обычный 20 2" xfId="63"/>
    <cellStyle name="Обычный 20 3" xfId="110"/>
    <cellStyle name="Обычный 21" xfId="64"/>
    <cellStyle name="Обычный 21 2" xfId="65"/>
    <cellStyle name="Обычный 21 3" xfId="111"/>
    <cellStyle name="Обычный 22" xfId="66"/>
    <cellStyle name="Обычный 22 2" xfId="67"/>
    <cellStyle name="Обычный 22 3" xfId="112"/>
    <cellStyle name="Обычный 23" xfId="68"/>
    <cellStyle name="Обычный 23 2" xfId="69"/>
    <cellStyle name="Обычный 23 3" xfId="70"/>
    <cellStyle name="Обычный 23 4" xfId="89"/>
    <cellStyle name="Обычный 24" xfId="71"/>
    <cellStyle name="Обычный 24 2" xfId="72"/>
    <cellStyle name="Обычный 24 3" xfId="114"/>
    <cellStyle name="Обычный 25" xfId="73"/>
    <cellStyle name="Обычный 25 2" xfId="74"/>
    <cellStyle name="Обычный 26" xfId="75"/>
    <cellStyle name="Обычный 27" xfId="41"/>
    <cellStyle name="Обычный 27 2" xfId="88"/>
    <cellStyle name="Обычный 3" xfId="76"/>
    <cellStyle name="Обычный 3 2" xfId="93"/>
    <cellStyle name="Обычный 4" xfId="77"/>
    <cellStyle name="Обычный 5" xfId="78"/>
    <cellStyle name="Обычный 5 2" xfId="79"/>
    <cellStyle name="Обычный 5 3" xfId="94"/>
    <cellStyle name="Обычный 6" xfId="80"/>
    <cellStyle name="Обычный 6 2" xfId="81"/>
    <cellStyle name="Обычный 6 2 2" xfId="117"/>
    <cellStyle name="Обычный 6 3" xfId="95"/>
    <cellStyle name="Обычный 7" xfId="82"/>
    <cellStyle name="Обычный 7 2" xfId="83"/>
    <cellStyle name="Обычный 7 3" xfId="96"/>
    <cellStyle name="Обычный 8" xfId="84"/>
    <cellStyle name="Обычный 8 2" xfId="85"/>
    <cellStyle name="Обычный 8 3" xfId="97"/>
    <cellStyle name="Обычный 9" xfId="86"/>
    <cellStyle name="Обычный 9 2" xfId="87"/>
    <cellStyle name="Обычный 9 3" xfId="98"/>
    <cellStyle name="Плохой" xfId="7" builtinId="27" customBuiltin="1"/>
    <cellStyle name="Пояснение" xfId="15" builtinId="53" customBuiltin="1"/>
    <cellStyle name="Примечание 2" xfId="113"/>
    <cellStyle name="Процентный" xfId="116" builtinId="5"/>
    <cellStyle name="Процентный 2" xfId="105"/>
    <cellStyle name="Процентный 3" xfId="90"/>
    <cellStyle name="Связанная ячейка" xfId="12" builtinId="24" customBuiltin="1"/>
    <cellStyle name="Текст предупреждения" xfId="14" builtinId="11" customBuiltin="1"/>
    <cellStyle name="Финансовый" xfId="118" builtinId="3"/>
    <cellStyle name="Финансовый 2" xfId="91"/>
    <cellStyle name="Хороший" xfId="6" builtinId="26" customBuiltin="1"/>
  </cellStyles>
  <dxfs count="25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6" formatCode="h:mm:ss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4"/>
          <bgColor theme="4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200025</xdr:colOff>
          <xdr:row>0</xdr:row>
          <xdr:rowOff>28575</xdr:rowOff>
        </xdr:from>
        <xdr:to>
          <xdr:col>15</xdr:col>
          <xdr:colOff>133350</xdr:colOff>
          <xdr:row>5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Средний 2\2 будет расчитан, 5\2 чз = 0, 5\2 основной не указан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238125</xdr:colOff>
          <xdr:row>13</xdr:row>
          <xdr:rowOff>19050</xdr:rowOff>
        </xdr:from>
        <xdr:to>
          <xdr:col>15</xdr:col>
          <xdr:colOff>161925</xdr:colOff>
          <xdr:row>19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Расчет по заданным значениям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9525</xdr:colOff>
      <xdr:row>29</xdr:row>
      <xdr:rowOff>9525</xdr:rowOff>
    </xdr:from>
    <xdr:to>
      <xdr:col>26</xdr:col>
      <xdr:colOff>37411</xdr:colOff>
      <xdr:row>58</xdr:row>
      <xdr:rowOff>85025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72725" y="5534025"/>
          <a:ext cx="5514286" cy="56000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60</xdr:row>
      <xdr:rowOff>0</xdr:rowOff>
    </xdr:from>
    <xdr:to>
      <xdr:col>26</xdr:col>
      <xdr:colOff>18362</xdr:colOff>
      <xdr:row>89</xdr:row>
      <xdr:rowOff>65976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63200" y="11430000"/>
          <a:ext cx="5504762" cy="55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8</xdr:col>
      <xdr:colOff>475581</xdr:colOff>
      <xdr:row>67</xdr:row>
      <xdr:rowOff>28500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2192000"/>
          <a:ext cx="5352381" cy="600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Таблица1" displayName="Таблица1" ref="A1:O2" totalsRowShown="0" headerRowDxfId="24" dataDxfId="23" tableBorderDxfId="22">
  <autoFilter ref="A1:O2"/>
  <tableColumns count="15">
    <tableColumn id="1" name="row_date" dataDxfId="21"/>
    <tableColumn id="2" name="starttime_utc" dataDxfId="20"/>
    <tableColumn id="3" name="split" dataDxfId="19"/>
    <tableColumn id="4" name="acdcalls" dataDxfId="18"/>
    <tableColumn id="5" name="acdtime" dataDxfId="17"/>
    <tableColumn id="6" name="acwtime" dataDxfId="16"/>
    <tableColumn id="7" name="abncalls" dataDxfId="15"/>
    <tableColumn id="8" name="auxoutcalls" dataDxfId="14"/>
    <tableColumn id="9" name="acwoutcalls" dataDxfId="13"/>
    <tableColumn id="10" name="holdtime" dataDxfId="12"/>
    <tableColumn id="11" name="ringtime" dataDxfId="11"/>
    <tableColumn id="12" name="transferred" dataDxfId="10"/>
    <tableColumn id="13" name="acwouttime" dataDxfId="9"/>
    <tableColumn id="14" name="auxouttime" dataDxfId="8"/>
    <tableColumn id="15" name="HandingTime" dataDxfId="7">
      <calculatedColumnFormula>IF(Таблица1[[#This Row],[acdcalls]]=0,0,(Таблица1[[#This Row],[acdtime]]+Таблица1[[#This Row],[acwtime]]+Таблица1[[#This Row],[holdtime]]+Таблица1[[#This Row],[ringtime]]))+
IF(Таблица1[[#This Row],[auxoutcalls]]=0,0,(Таблица1[[#This Row],[auxouttime]]))+
IF(Таблица1[[#This Row],[acwoutcalls]]=0,0,(Таблица1[[#This Row],[acwouttime]]))+
IF(Таблица1[[#This Row],[acdcalls]]=0,0,(Таблица1[[#This Row],[acdtime]]+Таблица1[[#This Row],[acwtime]]+Таблица1[[#This Row],[holdtime]]+Таблица1[[#This Row],[ringtime]])/Таблица1[[#This Row],[acdcalls]]*Таблица1[[#This Row],[abncalls]])</calculatedColumnFormula>
    </tableColumn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Y24"/>
  <sheetViews>
    <sheetView tabSelected="1" workbookViewId="0">
      <selection activeCell="H14" sqref="H14:I14"/>
    </sheetView>
  </sheetViews>
  <sheetFormatPr defaultRowHeight="15" outlineLevelRow="1" x14ac:dyDescent="0.25"/>
  <cols>
    <col min="1" max="1" width="8.28515625" bestFit="1" customWidth="1"/>
    <col min="2" max="2" width="9.28515625" customWidth="1"/>
    <col min="4" max="4" width="9.140625" customWidth="1"/>
    <col min="8" max="8" width="22.140625" bestFit="1" customWidth="1"/>
    <col min="9" max="9" width="20.42578125" bestFit="1" customWidth="1"/>
    <col min="11" max="12" width="10.7109375" bestFit="1" customWidth="1"/>
    <col min="16" max="16" width="7.7109375" customWidth="1"/>
  </cols>
  <sheetData>
    <row r="1" spans="1:25" x14ac:dyDescent="0.25">
      <c r="A1" s="272" t="s">
        <v>82</v>
      </c>
      <c r="B1" s="273" t="s">
        <v>83</v>
      </c>
      <c r="C1" s="273" t="s">
        <v>84</v>
      </c>
      <c r="D1" s="273" t="s">
        <v>85</v>
      </c>
      <c r="E1" s="273" t="s">
        <v>86</v>
      </c>
      <c r="F1" s="273" t="s">
        <v>87</v>
      </c>
      <c r="G1" s="273" t="s">
        <v>88</v>
      </c>
      <c r="H1" s="274" t="s">
        <v>99</v>
      </c>
      <c r="I1" s="274" t="s">
        <v>89</v>
      </c>
      <c r="J1" s="284"/>
      <c r="K1" s="284"/>
      <c r="L1" s="284"/>
      <c r="M1" s="284"/>
      <c r="N1" s="284"/>
      <c r="O1" s="284"/>
      <c r="P1" s="285"/>
      <c r="R1" s="121" t="s">
        <v>9</v>
      </c>
      <c r="S1" s="122" t="s">
        <v>10</v>
      </c>
    </row>
    <row r="2" spans="1:25" ht="15.75" thickBot="1" x14ac:dyDescent="0.3">
      <c r="A2" s="115"/>
      <c r="B2" s="8"/>
      <c r="C2" s="8"/>
      <c r="D2" s="8"/>
      <c r="E2" s="8"/>
      <c r="F2" s="8"/>
      <c r="G2" s="8"/>
      <c r="H2" s="264" t="str">
        <f>IFERROR(CHOOSE(IF($A$3="макс",1,IF($A$3="мин",2,3)),ROUND(MAX(A2:G2),0),ROUND(MIN(A2:G2),0),ROUND(AVERAGE(A2:G2),0)),"")</f>
        <v/>
      </c>
      <c r="I2" s="264"/>
      <c r="J2" s="275"/>
      <c r="K2" s="275" t="str">
        <f>TEXT(H8,"ММ/ДД/ГГГГ")</f>
        <v>02/15/2022</v>
      </c>
      <c r="L2" s="275" t="str">
        <f>TEXT(I8,"ММ/ДД/ГГГГ")</f>
        <v>03/15/2022</v>
      </c>
      <c r="M2" s="275" t="str">
        <f>TEXT(I8,"ММММ")</f>
        <v>Март</v>
      </c>
      <c r="N2" s="275"/>
      <c r="O2" s="275"/>
      <c r="P2" s="276"/>
      <c r="R2" s="211">
        <v>0.7</v>
      </c>
      <c r="S2" s="212">
        <v>60</v>
      </c>
    </row>
    <row r="3" spans="1:25" ht="15.75" thickBot="1" x14ac:dyDescent="0.3">
      <c r="A3" s="292" t="s">
        <v>102</v>
      </c>
      <c r="B3" s="275"/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6"/>
    </row>
    <row r="4" spans="1:25" x14ac:dyDescent="0.25">
      <c r="A4" s="294" t="s">
        <v>101</v>
      </c>
      <c r="B4" s="295"/>
      <c r="C4" s="295"/>
      <c r="D4" s="295"/>
      <c r="E4" s="295"/>
      <c r="F4" s="295"/>
      <c r="G4" s="295"/>
      <c r="H4" s="295"/>
      <c r="I4" s="296"/>
      <c r="J4" s="275"/>
      <c r="K4" s="283"/>
      <c r="L4" s="275"/>
      <c r="M4" s="275"/>
      <c r="N4" s="275"/>
      <c r="O4" s="275"/>
      <c r="P4" s="276"/>
      <c r="R4" s="317" t="s">
        <v>103</v>
      </c>
      <c r="S4" s="318"/>
      <c r="T4" s="318"/>
      <c r="U4" s="318"/>
      <c r="V4" s="318"/>
      <c r="W4" s="318"/>
      <c r="X4" s="318"/>
      <c r="Y4" s="319"/>
    </row>
    <row r="5" spans="1:25" x14ac:dyDescent="0.25">
      <c r="A5" s="297"/>
      <c r="B5" s="298"/>
      <c r="C5" s="298"/>
      <c r="D5" s="298"/>
      <c r="E5" s="298"/>
      <c r="F5" s="298"/>
      <c r="G5" s="298"/>
      <c r="H5" s="298"/>
      <c r="I5" s="299"/>
      <c r="J5" s="275"/>
      <c r="K5" s="283"/>
      <c r="L5" s="275"/>
      <c r="M5" s="275"/>
      <c r="N5" s="275"/>
      <c r="O5" s="275"/>
      <c r="P5" s="276"/>
      <c r="R5" s="320"/>
      <c r="S5" s="321"/>
      <c r="T5" s="321"/>
      <c r="U5" s="321"/>
      <c r="V5" s="321"/>
      <c r="W5" s="321"/>
      <c r="X5" s="321"/>
      <c r="Y5" s="322"/>
    </row>
    <row r="6" spans="1:25" ht="15.75" thickBot="1" x14ac:dyDescent="0.3">
      <c r="A6" s="300"/>
      <c r="B6" s="301"/>
      <c r="C6" s="301"/>
      <c r="D6" s="301"/>
      <c r="E6" s="301"/>
      <c r="F6" s="301"/>
      <c r="G6" s="301"/>
      <c r="H6" s="301"/>
      <c r="I6" s="302"/>
      <c r="J6" s="275"/>
      <c r="K6" s="275"/>
      <c r="L6" s="275"/>
      <c r="M6" s="275"/>
      <c r="N6" s="275"/>
      <c r="O6" s="275"/>
      <c r="P6" s="276"/>
      <c r="R6" s="320"/>
      <c r="S6" s="321"/>
      <c r="T6" s="321"/>
      <c r="U6" s="321"/>
      <c r="V6" s="321"/>
      <c r="W6" s="321"/>
      <c r="X6" s="321"/>
      <c r="Y6" s="322"/>
    </row>
    <row r="7" spans="1:25" x14ac:dyDescent="0.25">
      <c r="A7" s="277"/>
      <c r="B7" s="275"/>
      <c r="C7" s="275"/>
      <c r="D7" s="275"/>
      <c r="E7" s="275"/>
      <c r="F7" s="275"/>
      <c r="G7" s="275"/>
      <c r="H7" s="266" t="s">
        <v>90</v>
      </c>
      <c r="I7" s="266" t="s">
        <v>91</v>
      </c>
      <c r="J7" s="275"/>
      <c r="K7" s="275"/>
      <c r="L7" s="275"/>
      <c r="M7" s="275"/>
      <c r="N7" s="275"/>
      <c r="O7" s="275"/>
      <c r="P7" s="276"/>
      <c r="R7" s="320"/>
      <c r="S7" s="321"/>
      <c r="T7" s="321"/>
      <c r="U7" s="321"/>
      <c r="V7" s="321"/>
      <c r="W7" s="321"/>
      <c r="X7" s="321"/>
      <c r="Y7" s="322"/>
    </row>
    <row r="8" spans="1:25" ht="15.75" thickBot="1" x14ac:dyDescent="0.3">
      <c r="A8" s="278"/>
      <c r="B8" s="279"/>
      <c r="C8" s="279"/>
      <c r="D8" s="279"/>
      <c r="E8" s="279"/>
      <c r="F8" s="279"/>
      <c r="G8" s="279"/>
      <c r="H8" s="280">
        <v>44607</v>
      </c>
      <c r="I8" s="280">
        <v>44635</v>
      </c>
      <c r="J8" s="279"/>
      <c r="K8" s="279"/>
      <c r="L8" s="279"/>
      <c r="M8" s="279"/>
      <c r="N8" s="279"/>
      <c r="O8" s="279"/>
      <c r="P8" s="282"/>
      <c r="R8" s="323"/>
      <c r="S8" s="324"/>
      <c r="T8" s="324"/>
      <c r="U8" s="324"/>
      <c r="V8" s="324"/>
      <c r="W8" s="324"/>
      <c r="X8" s="324"/>
      <c r="Y8" s="325"/>
    </row>
    <row r="9" spans="1:25" ht="15.75" outlineLevel="1" thickBot="1" x14ac:dyDescent="0.3">
      <c r="H9" s="24"/>
    </row>
    <row r="10" spans="1:25" ht="24" customHeight="1" outlineLevel="1" x14ac:dyDescent="0.25">
      <c r="A10" s="305" t="s">
        <v>100</v>
      </c>
      <c r="B10" s="306"/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7"/>
      <c r="R10" s="293"/>
      <c r="S10" s="293"/>
      <c r="T10" s="293"/>
      <c r="U10" s="293"/>
      <c r="V10" s="293"/>
      <c r="W10" s="293"/>
      <c r="X10" s="293"/>
    </row>
    <row r="11" spans="1:25" ht="33.75" customHeight="1" outlineLevel="1" x14ac:dyDescent="0.25">
      <c r="A11" s="308"/>
      <c r="B11" s="309"/>
      <c r="C11" s="309"/>
      <c r="D11" s="309"/>
      <c r="E11" s="309"/>
      <c r="F11" s="309"/>
      <c r="G11" s="309"/>
      <c r="H11" s="309"/>
      <c r="I11" s="309"/>
      <c r="J11" s="309"/>
      <c r="K11" s="309"/>
      <c r="L11" s="309"/>
      <c r="M11" s="309"/>
      <c r="N11" s="309"/>
      <c r="O11" s="309"/>
      <c r="P11" s="310"/>
      <c r="R11" s="293"/>
      <c r="S11" s="293"/>
      <c r="T11" s="293"/>
      <c r="U11" s="293"/>
      <c r="V11" s="293"/>
      <c r="W11" s="293"/>
      <c r="X11" s="293"/>
    </row>
    <row r="12" spans="1:25" ht="34.5" customHeight="1" outlineLevel="1" thickBot="1" x14ac:dyDescent="0.3">
      <c r="A12" s="311"/>
      <c r="B12" s="312"/>
      <c r="C12" s="312"/>
      <c r="D12" s="312"/>
      <c r="E12" s="312"/>
      <c r="F12" s="312"/>
      <c r="G12" s="312"/>
      <c r="H12" s="312"/>
      <c r="I12" s="312"/>
      <c r="J12" s="312"/>
      <c r="K12" s="312"/>
      <c r="L12" s="312"/>
      <c r="M12" s="312"/>
      <c r="N12" s="312"/>
      <c r="O12" s="312"/>
      <c r="P12" s="313"/>
      <c r="R12" s="293"/>
      <c r="S12" s="293"/>
      <c r="T12" s="293"/>
      <c r="U12" s="293"/>
      <c r="V12" s="293"/>
      <c r="W12" s="293"/>
      <c r="X12" s="293"/>
    </row>
    <row r="13" spans="1:25" outlineLevel="1" x14ac:dyDescent="0.25">
      <c r="A13" s="277"/>
      <c r="B13" s="275"/>
      <c r="C13" s="275"/>
      <c r="D13" s="275"/>
      <c r="E13" s="275"/>
      <c r="F13" s="275"/>
      <c r="G13" s="275"/>
      <c r="H13" s="266" t="s">
        <v>90</v>
      </c>
      <c r="I13" s="266" t="s">
        <v>91</v>
      </c>
      <c r="J13" s="275"/>
      <c r="K13" s="275"/>
      <c r="L13" s="275"/>
      <c r="M13" s="275"/>
      <c r="N13" s="275"/>
      <c r="O13" s="275"/>
      <c r="P13" s="276"/>
    </row>
    <row r="14" spans="1:25" ht="15.75" outlineLevel="1" thickBot="1" x14ac:dyDescent="0.3">
      <c r="A14" s="277"/>
      <c r="B14" s="275"/>
      <c r="C14" s="275"/>
      <c r="D14" s="275"/>
      <c r="E14" s="275"/>
      <c r="F14" s="275"/>
      <c r="G14" s="275"/>
      <c r="H14" s="280">
        <v>44607</v>
      </c>
      <c r="I14" s="280">
        <v>44635</v>
      </c>
      <c r="J14" s="275"/>
      <c r="K14" s="275"/>
      <c r="L14" s="275"/>
      <c r="M14" s="275"/>
      <c r="N14" s="275"/>
      <c r="O14" s="275"/>
      <c r="P14" s="276"/>
    </row>
    <row r="15" spans="1:25" outlineLevel="1" x14ac:dyDescent="0.25">
      <c r="A15" s="303" t="s">
        <v>96</v>
      </c>
      <c r="B15" s="304"/>
      <c r="C15" s="304"/>
      <c r="D15" s="304"/>
      <c r="E15" s="304"/>
      <c r="F15" s="304"/>
      <c r="G15" s="304"/>
      <c r="H15" s="304"/>
      <c r="I15" s="304"/>
      <c r="J15" s="275"/>
      <c r="K15" s="275"/>
      <c r="L15" s="275"/>
      <c r="M15" s="275"/>
      <c r="N15" s="275"/>
      <c r="O15" s="275"/>
      <c r="P15" s="276"/>
    </row>
    <row r="16" spans="1:25" outlineLevel="1" x14ac:dyDescent="0.25">
      <c r="A16" s="281" t="s">
        <v>92</v>
      </c>
      <c r="B16" s="8" t="s">
        <v>82</v>
      </c>
      <c r="C16" s="8" t="s">
        <v>83</v>
      </c>
      <c r="D16" s="8" t="s">
        <v>84</v>
      </c>
      <c r="E16" s="8" t="s">
        <v>85</v>
      </c>
      <c r="F16" s="8" t="s">
        <v>86</v>
      </c>
      <c r="G16" s="8" t="s">
        <v>87</v>
      </c>
      <c r="H16" s="8" t="s">
        <v>88</v>
      </c>
      <c r="I16" s="54" t="s">
        <v>97</v>
      </c>
      <c r="J16" s="275"/>
      <c r="K16" s="275" t="str">
        <f>TEXT(H14,"ММ/ДД/ГГГГ")</f>
        <v>02/15/2022</v>
      </c>
      <c r="L16" s="275" t="str">
        <f>TEXT(I14,"ММ/ДД/ГГГГ")</f>
        <v>03/15/2022</v>
      </c>
      <c r="M16" s="275" t="str">
        <f>TEXT(I14,"ММММ")</f>
        <v>Март</v>
      </c>
      <c r="N16" s="275"/>
      <c r="O16" s="275"/>
      <c r="P16" s="276"/>
    </row>
    <row r="17" spans="1:16" outlineLevel="1" x14ac:dyDescent="0.25">
      <c r="A17" s="281" t="s">
        <v>93</v>
      </c>
      <c r="B17" s="271">
        <v>4</v>
      </c>
      <c r="C17" s="271">
        <v>4</v>
      </c>
      <c r="D17" s="271">
        <v>4</v>
      </c>
      <c r="E17" s="271">
        <v>4</v>
      </c>
      <c r="F17" s="271">
        <v>4</v>
      </c>
      <c r="G17" s="271">
        <v>4</v>
      </c>
      <c r="H17" s="271">
        <v>4</v>
      </c>
      <c r="I17" s="264">
        <v>2</v>
      </c>
      <c r="J17" s="275"/>
      <c r="K17" s="275"/>
      <c r="L17" s="275"/>
      <c r="M17" s="275"/>
      <c r="N17" s="275"/>
      <c r="O17" s="275"/>
      <c r="P17" s="276"/>
    </row>
    <row r="18" spans="1:16" outlineLevel="1" x14ac:dyDescent="0.25">
      <c r="A18" s="281" t="s">
        <v>95</v>
      </c>
      <c r="B18" s="271">
        <v>0</v>
      </c>
      <c r="C18" s="271">
        <v>0</v>
      </c>
      <c r="D18" s="271">
        <v>0</v>
      </c>
      <c r="E18" s="271">
        <v>0</v>
      </c>
      <c r="F18" s="271">
        <v>0</v>
      </c>
      <c r="G18" s="271">
        <v>0</v>
      </c>
      <c r="H18" s="271">
        <v>0</v>
      </c>
      <c r="I18" s="264">
        <v>2</v>
      </c>
      <c r="J18" s="275"/>
      <c r="K18" s="275"/>
      <c r="L18" s="275"/>
      <c r="M18" s="275"/>
      <c r="N18" s="275"/>
      <c r="O18" s="275"/>
      <c r="P18" s="276"/>
    </row>
    <row r="19" spans="1:16" ht="15.75" outlineLevel="1" thickBot="1" x14ac:dyDescent="0.3">
      <c r="A19" s="290" t="s">
        <v>94</v>
      </c>
      <c r="B19" s="271">
        <v>0</v>
      </c>
      <c r="C19" s="271">
        <v>0</v>
      </c>
      <c r="D19" s="271">
        <v>0</v>
      </c>
      <c r="E19" s="271">
        <v>0</v>
      </c>
      <c r="F19" s="271">
        <v>0</v>
      </c>
      <c r="G19" s="271">
        <v>0</v>
      </c>
      <c r="H19" s="271">
        <v>0</v>
      </c>
      <c r="I19" s="264">
        <v>3</v>
      </c>
      <c r="J19" s="275"/>
      <c r="K19" s="275"/>
      <c r="L19" s="275"/>
      <c r="M19" s="275"/>
      <c r="N19" s="275"/>
      <c r="O19" s="275"/>
      <c r="P19" s="276"/>
    </row>
    <row r="20" spans="1:16" ht="15.75" outlineLevel="1" thickBot="1" x14ac:dyDescent="0.3">
      <c r="A20" s="291" t="s">
        <v>104</v>
      </c>
      <c r="B20" s="275"/>
      <c r="C20" s="275"/>
      <c r="D20" s="275"/>
      <c r="E20" s="275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6"/>
    </row>
    <row r="21" spans="1:16" ht="15.75" outlineLevel="1" thickBot="1" x14ac:dyDescent="0.3">
      <c r="A21" s="314" t="s">
        <v>98</v>
      </c>
      <c r="B21" s="315"/>
      <c r="C21" s="315"/>
      <c r="D21" s="315"/>
      <c r="E21" s="315"/>
      <c r="F21" s="315"/>
      <c r="G21" s="315"/>
      <c r="H21" s="315"/>
      <c r="I21" s="316"/>
      <c r="J21" s="275"/>
      <c r="K21" s="275"/>
      <c r="L21" s="275"/>
      <c r="M21" s="275"/>
      <c r="N21" s="275"/>
      <c r="O21" s="275"/>
      <c r="P21" s="276"/>
    </row>
    <row r="22" spans="1:16" outlineLevel="1" x14ac:dyDescent="0.25">
      <c r="A22" s="50" t="s">
        <v>82</v>
      </c>
      <c r="B22" s="51" t="s">
        <v>83</v>
      </c>
      <c r="C22" s="51" t="s">
        <v>84</v>
      </c>
      <c r="D22" s="51" t="s">
        <v>85</v>
      </c>
      <c r="E22" s="51" t="s">
        <v>86</v>
      </c>
      <c r="F22" s="51" t="s">
        <v>87</v>
      </c>
      <c r="G22" s="51" t="s">
        <v>88</v>
      </c>
      <c r="H22" s="289" t="s">
        <v>99</v>
      </c>
      <c r="I22" s="52" t="s">
        <v>89</v>
      </c>
      <c r="J22" s="275"/>
      <c r="K22" s="275"/>
      <c r="L22" s="275"/>
      <c r="M22" s="275"/>
      <c r="N22" s="275"/>
      <c r="O22" s="275"/>
      <c r="P22" s="276"/>
    </row>
    <row r="23" spans="1:16" ht="15.75" outlineLevel="1" thickBot="1" x14ac:dyDescent="0.3">
      <c r="A23" s="286"/>
      <c r="B23" s="287"/>
      <c r="C23" s="287"/>
      <c r="D23" s="287"/>
      <c r="E23" s="287"/>
      <c r="F23" s="287"/>
      <c r="G23" s="287"/>
      <c r="H23" s="287">
        <f>CHOOSE(IF($A$20="макс",1,IF($A$20="мин",2,3)),ROUND(MAX(A23:G23),0),ROUND(MIN(A23:G23),0),ROUND(AVERAGE(A23:G23),0))</f>
        <v>0</v>
      </c>
      <c r="I23" s="288"/>
      <c r="J23" s="279"/>
      <c r="K23" s="279"/>
      <c r="L23" s="279"/>
      <c r="M23" s="279"/>
      <c r="N23" s="279"/>
      <c r="O23" s="279"/>
      <c r="P23" s="282"/>
    </row>
    <row r="24" spans="1:16" outlineLevel="1" x14ac:dyDescent="0.25"/>
  </sheetData>
  <mergeCells count="5">
    <mergeCell ref="A4:I6"/>
    <mergeCell ref="A15:I15"/>
    <mergeCell ref="A10:P12"/>
    <mergeCell ref="A21:I21"/>
    <mergeCell ref="R4:Y8"/>
  </mergeCells>
  <dataValidations count="1">
    <dataValidation type="list" allowBlank="1" showInputMessage="1" showErrorMessage="1" sqref="A20 A3">
      <formula1>"Макс,Мин,Сред"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Исходник">
                <anchor>
                  <from>
                    <xdr:col>9</xdr:col>
                    <xdr:colOff>200025</xdr:colOff>
                    <xdr:row>0</xdr:row>
                    <xdr:rowOff>28575</xdr:rowOff>
                  </from>
                  <to>
                    <xdr:col>15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Исходник2">
                <anchor moveWithCells="1" sizeWithCells="1">
                  <from>
                    <xdr:col>9</xdr:col>
                    <xdr:colOff>238125</xdr:colOff>
                    <xdr:row>13</xdr:row>
                    <xdr:rowOff>19050</xdr:rowOff>
                  </from>
                  <to>
                    <xdr:col>15</xdr:col>
                    <xdr:colOff>161925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FF0000"/>
  </sheetPr>
  <dimension ref="A1:V2"/>
  <sheetViews>
    <sheetView zoomScale="85" zoomScaleNormal="85" workbookViewId="0">
      <pane xSplit="2" ySplit="1" topLeftCell="C2" activePane="bottomRight" state="frozen"/>
      <selection pane="topRight" activeCell="E1" sqref="E1"/>
      <selection pane="bottomLeft" activeCell="A3" sqref="A3"/>
      <selection pane="bottomRight" activeCell="A2" sqref="A2"/>
    </sheetView>
  </sheetViews>
  <sheetFormatPr defaultRowHeight="15" x14ac:dyDescent="0.25"/>
  <cols>
    <col min="1" max="1" width="11.7109375" style="24" bestFit="1" customWidth="1"/>
    <col min="2" max="2" width="15.140625" bestFit="1" customWidth="1"/>
    <col min="3" max="3" width="7.42578125" bestFit="1" customWidth="1"/>
    <col min="4" max="4" width="10.42578125" bestFit="1" customWidth="1"/>
    <col min="5" max="5" width="10.5703125" bestFit="1" customWidth="1"/>
    <col min="6" max="6" width="11" bestFit="1" customWidth="1"/>
    <col min="7" max="7" width="10.5703125" bestFit="1" customWidth="1"/>
    <col min="8" max="8" width="13.28515625" bestFit="1" customWidth="1"/>
    <col min="9" max="9" width="13.5703125" bestFit="1" customWidth="1"/>
    <col min="10" max="10" width="11.42578125" bestFit="1" customWidth="1"/>
    <col min="11" max="11" width="10.85546875" bestFit="1" customWidth="1"/>
    <col min="12" max="12" width="13.28515625" bestFit="1" customWidth="1"/>
    <col min="13" max="13" width="13.85546875" bestFit="1" customWidth="1"/>
    <col min="14" max="14" width="13.5703125" bestFit="1" customWidth="1"/>
    <col min="15" max="15" width="15.42578125" customWidth="1"/>
  </cols>
  <sheetData>
    <row r="1" spans="1:22" s="1" customFormat="1" ht="30" x14ac:dyDescent="0.25">
      <c r="A1" s="43" t="s">
        <v>42</v>
      </c>
      <c r="B1" s="40" t="s">
        <v>43</v>
      </c>
      <c r="C1" s="40" t="s">
        <v>44</v>
      </c>
      <c r="D1" s="40" t="s">
        <v>45</v>
      </c>
      <c r="E1" s="40" t="s">
        <v>46</v>
      </c>
      <c r="F1" s="40" t="s">
        <v>47</v>
      </c>
      <c r="G1" s="40" t="s">
        <v>48</v>
      </c>
      <c r="H1" s="40" t="s">
        <v>49</v>
      </c>
      <c r="I1" s="40" t="s">
        <v>50</v>
      </c>
      <c r="J1" s="40" t="s">
        <v>51</v>
      </c>
      <c r="K1" s="40" t="s">
        <v>52</v>
      </c>
      <c r="L1" s="40" t="s">
        <v>53</v>
      </c>
      <c r="M1" s="40" t="s">
        <v>54</v>
      </c>
      <c r="N1" s="41" t="s">
        <v>55</v>
      </c>
      <c r="O1" s="9" t="s">
        <v>23</v>
      </c>
      <c r="P1" s="3"/>
      <c r="Q1" s="3"/>
      <c r="R1" s="3"/>
      <c r="S1" s="3"/>
      <c r="T1" s="3"/>
      <c r="U1" s="3"/>
      <c r="V1" s="3"/>
    </row>
    <row r="2" spans="1:22" x14ac:dyDescent="0.25">
      <c r="A2" s="267"/>
      <c r="B2" s="44"/>
      <c r="C2" s="268"/>
      <c r="D2" s="268"/>
      <c r="E2" s="268"/>
      <c r="F2" s="268"/>
      <c r="G2" s="268"/>
      <c r="H2" s="268"/>
      <c r="I2" s="268"/>
      <c r="J2" s="268"/>
      <c r="K2" s="268"/>
      <c r="L2" s="268"/>
      <c r="M2" s="268"/>
      <c r="N2" s="269"/>
      <c r="O2" s="42">
        <f>IF(Таблица1[[#This Row],[acdcalls]]=0,0,(Таблица1[[#This Row],[acdtime]]+Таблица1[[#This Row],[acwtime]]+Таблица1[[#This Row],[holdtime]]+Таблица1[[#This Row],[ringtime]]))+
IF(Таблица1[[#This Row],[auxoutcalls]]=0,0,(Таблица1[[#This Row],[auxouttime]]))+
IF(Таблица1[[#This Row],[acwoutcalls]]=0,0,(Таблица1[[#This Row],[acwouttime]]))+
IF(Таблица1[[#This Row],[acdcalls]]=0,0,(Таблица1[[#This Row],[acdtime]]+Таблица1[[#This Row],[acwtime]]+Таблица1[[#This Row],[holdtime]]+Таблица1[[#This Row],[ringtime]])/Таблица1[[#This Row],[acdcalls]]*Таблица1[[#This Row],[abncalls]])</f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outlinePr summaryBelow="0"/>
  </sheetPr>
  <dimension ref="A1:BW324"/>
  <sheetViews>
    <sheetView zoomScale="70" zoomScaleNormal="70" workbookViewId="0">
      <pane xSplit="2" ySplit="2" topLeftCell="C3" activePane="bottomRight" state="frozen"/>
      <selection activeCell="C250" sqref="C250:AG297"/>
      <selection pane="topRight" activeCell="C250" sqref="C250:AG297"/>
      <selection pane="bottomLeft" activeCell="C250" sqref="C250:AG297"/>
      <selection pane="bottomRight" activeCell="C215" sqref="C215"/>
    </sheetView>
  </sheetViews>
  <sheetFormatPr defaultRowHeight="15" outlineLevelRow="1" x14ac:dyDescent="0.25"/>
  <cols>
    <col min="1" max="1" width="5.85546875" style="23" bestFit="1" customWidth="1"/>
    <col min="2" max="2" width="9.28515625" style="23" customWidth="1"/>
    <col min="3" max="3" width="6.7109375" style="23" bestFit="1" customWidth="1"/>
    <col min="4" max="5" width="5.85546875" style="23" bestFit="1" customWidth="1"/>
    <col min="6" max="7" width="6.42578125" style="23" bestFit="1" customWidth="1"/>
    <col min="8" max="8" width="5.85546875" style="23" bestFit="1" customWidth="1"/>
    <col min="9" max="9" width="6.42578125" style="23" bestFit="1" customWidth="1"/>
    <col min="10" max="10" width="6.85546875" style="23" bestFit="1" customWidth="1"/>
    <col min="11" max="11" width="5.85546875" style="23" bestFit="1" customWidth="1"/>
    <col min="12" max="33" width="6.85546875" style="23" bestFit="1" customWidth="1"/>
    <col min="34" max="34" width="7.140625" style="23" bestFit="1" customWidth="1"/>
    <col min="35" max="35" width="4.28515625" style="23" bestFit="1" customWidth="1"/>
    <col min="36" max="16384" width="9.140625" style="23"/>
  </cols>
  <sheetData>
    <row r="1" spans="1:35" ht="15" customHeight="1" thickBot="1" x14ac:dyDescent="0.3">
      <c r="A1" s="331" t="s">
        <v>67</v>
      </c>
      <c r="B1" s="332"/>
      <c r="C1" s="265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270"/>
      <c r="Q1" s="270"/>
      <c r="R1" s="270"/>
      <c r="S1" s="270"/>
      <c r="T1" s="270"/>
      <c r="U1" s="270"/>
      <c r="V1" s="270"/>
      <c r="W1" s="270"/>
      <c r="X1" s="270"/>
      <c r="Y1" s="270"/>
      <c r="Z1" s="270"/>
      <c r="AA1" s="270"/>
      <c r="AB1" s="270"/>
      <c r="AC1" s="270"/>
      <c r="AD1" s="270"/>
      <c r="AE1" s="270"/>
      <c r="AF1" s="270"/>
      <c r="AG1" s="270"/>
      <c r="AH1" s="121" t="s">
        <v>9</v>
      </c>
      <c r="AI1" s="122" t="s">
        <v>10</v>
      </c>
    </row>
    <row r="2" spans="1:35" ht="15.75" thickBot="1" x14ac:dyDescent="0.3">
      <c r="A2" s="331" t="s">
        <v>68</v>
      </c>
      <c r="B2" s="332"/>
      <c r="C2" s="210" t="str">
        <f>IF(COUNTIF(Исход!$A:$A,Расчеты!C$1)=0,"",TEXT(C$1,"ддд"))</f>
        <v/>
      </c>
      <c r="D2" s="210" t="str">
        <f>IF(COUNTIF(Исход!$A:$A,Расчеты!D$1)=0,"",TEXT(D$1,"ддд"))</f>
        <v/>
      </c>
      <c r="E2" s="210" t="str">
        <f>IF(COUNTIF(Исход!$A:$A,Расчеты!E$1)=0,"",TEXT(E$1,"ддд"))</f>
        <v/>
      </c>
      <c r="F2" s="210" t="str">
        <f>IF(COUNTIF(Исход!$A:$A,Расчеты!F$1)=0,"",TEXT(F$1,"ддд"))</f>
        <v/>
      </c>
      <c r="G2" s="210" t="str">
        <f>IF(COUNTIF(Исход!$A:$A,Расчеты!G$1)=0,"",TEXT(G$1,"ддд"))</f>
        <v/>
      </c>
      <c r="H2" s="210" t="str">
        <f>IF(COUNTIF(Исход!$A:$A,Расчеты!H$1)=0,"",TEXT(H$1,"ддд"))</f>
        <v/>
      </c>
      <c r="I2" s="210" t="str">
        <f>IF(COUNTIF(Исход!$A:$A,Расчеты!I$1)=0,"",TEXT(I$1,"ддд"))</f>
        <v/>
      </c>
      <c r="J2" s="210" t="str">
        <f>IF(COUNTIF(Исход!$A:$A,Расчеты!J$1)=0,"",TEXT(J$1,"ддд"))</f>
        <v/>
      </c>
      <c r="K2" s="210" t="str">
        <f>IF(COUNTIF(Исход!$A:$A,Расчеты!K$1)=0,"",TEXT(K$1,"ддд"))</f>
        <v/>
      </c>
      <c r="L2" s="210" t="str">
        <f>IF(COUNTIF(Исход!$A:$A,Расчеты!L$1)=0,"",TEXT(L$1,"ддд"))</f>
        <v/>
      </c>
      <c r="M2" s="210" t="str">
        <f>IF(COUNTIF(Исход!$A:$A,Расчеты!M$1)=0,"",TEXT(M$1,"ддд"))</f>
        <v/>
      </c>
      <c r="N2" s="210" t="str">
        <f>IF(COUNTIF(Исход!$A:$A,Расчеты!N$1)=0,"",TEXT(N$1,"ддд"))</f>
        <v/>
      </c>
      <c r="O2" s="210" t="str">
        <f>IF(COUNTIF(Исход!$A:$A,Расчеты!O$1)=0,"",TEXT(O$1,"ддд"))</f>
        <v/>
      </c>
      <c r="P2" s="210" t="str">
        <f>IF(COUNTIF(Исход!$A:$A,Расчеты!P$1)=0,"",TEXT(P$1,"ддд"))</f>
        <v/>
      </c>
      <c r="Q2" s="210" t="str">
        <f>IF(COUNTIF(Исход!$A:$A,Расчеты!Q$1)=0,"",TEXT(Q$1,"ддд"))</f>
        <v/>
      </c>
      <c r="R2" s="210" t="str">
        <f>IF(COUNTIF(Исход!$A:$A,Расчеты!R$1)=0,"",TEXT(R$1,"ддд"))</f>
        <v/>
      </c>
      <c r="S2" s="210" t="str">
        <f>IF(COUNTIF(Исход!$A:$A,Расчеты!S$1)=0,"",TEXT(S$1,"ддд"))</f>
        <v/>
      </c>
      <c r="T2" s="210" t="str">
        <f>IF(COUNTIF(Исход!$A:$A,Расчеты!T$1)=0,"",TEXT(T$1,"ддд"))</f>
        <v/>
      </c>
      <c r="U2" s="210" t="str">
        <f>IF(COUNTIF(Исход!$A:$A,Расчеты!U$1)=0,"",TEXT(U$1,"ддд"))</f>
        <v/>
      </c>
      <c r="V2" s="210" t="str">
        <f>IF(COUNTIF(Исход!$A:$A,Расчеты!V$1)=0,"",TEXT(V$1,"ддд"))</f>
        <v/>
      </c>
      <c r="W2" s="210" t="str">
        <f>IF(COUNTIF(Исход!$A:$A,Расчеты!W$1)=0,"",TEXT(W$1,"ддд"))</f>
        <v/>
      </c>
      <c r="X2" s="210" t="str">
        <f>IF(COUNTIF(Исход!$A:$A,Расчеты!X$1)=0,"",TEXT(X$1,"ддд"))</f>
        <v/>
      </c>
      <c r="Y2" s="210" t="str">
        <f>IF(COUNTIF(Исход!$A:$A,Расчеты!Y$1)=0,"",TEXT(Y$1,"ддд"))</f>
        <v/>
      </c>
      <c r="Z2" s="210" t="str">
        <f>IF(COUNTIF(Исход!$A:$A,Расчеты!Z$1)=0,"",TEXT(Z$1,"ддд"))</f>
        <v/>
      </c>
      <c r="AA2" s="210" t="str">
        <f>IF(COUNTIF(Исход!$A:$A,Расчеты!AA$1)=0,"",TEXT(AA$1,"ддд"))</f>
        <v/>
      </c>
      <c r="AB2" s="210" t="str">
        <f>IF(COUNTIF(Исход!$A:$A,Расчеты!AB$1)=0,"",TEXT(AB$1,"ддд"))</f>
        <v/>
      </c>
      <c r="AC2" s="210" t="str">
        <f>IF(COUNTIF(Исход!$A:$A,Расчеты!AC$1)=0,"",TEXT(AC$1,"ддд"))</f>
        <v/>
      </c>
      <c r="AD2" s="210" t="str">
        <f>IF(COUNTIF(Исход!$A:$A,Расчеты!AD$1)=0,"",TEXT(AD$1,"ддд"))</f>
        <v/>
      </c>
      <c r="AE2" s="210" t="str">
        <f>IF(COUNTIF(Исход!$A:$A,Расчеты!AE$1)=0,"",TEXT(AE$1,"ддд"))</f>
        <v/>
      </c>
      <c r="AF2" s="210" t="str">
        <f>IF(COUNTIF(Исход!$A:$A,Расчеты!AF$1)=0,"",TEXT(AF$1,"ддд"))</f>
        <v/>
      </c>
      <c r="AG2" s="210" t="str">
        <f>IF(COUNTIF(Исход!$A:$A,Расчеты!AG$1)=0,"",TEXT(AG$1,"ддд"))</f>
        <v/>
      </c>
      <c r="AH2" s="211">
        <f>'Парамметры расчета'!R2</f>
        <v>0.7</v>
      </c>
      <c r="AI2" s="212">
        <f>'Парамметры расчета'!S2</f>
        <v>60</v>
      </c>
    </row>
    <row r="3" spans="1:35" ht="15.75" collapsed="1" thickBot="1" x14ac:dyDescent="0.3">
      <c r="A3" s="331" t="s">
        <v>69</v>
      </c>
      <c r="B3" s="332"/>
      <c r="C3" s="328" t="s">
        <v>7</v>
      </c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29"/>
      <c r="W3" s="329"/>
      <c r="X3" s="329"/>
      <c r="Y3" s="329"/>
      <c r="Z3" s="329"/>
      <c r="AA3" s="329"/>
      <c r="AB3" s="329"/>
      <c r="AC3" s="329"/>
      <c r="AD3" s="329"/>
      <c r="AE3" s="329"/>
      <c r="AF3" s="329"/>
      <c r="AG3" s="330"/>
    </row>
    <row r="4" spans="1:35" hidden="1" outlineLevel="1" x14ac:dyDescent="0.25">
      <c r="A4" s="108">
        <v>0</v>
      </c>
      <c r="B4" s="125">
        <v>2.0833333333333332E-2</v>
      </c>
      <c r="C4" s="126">
        <f>SUMIFS(Исход!$D:$D,Исход!$A:$A,C$1,Исход!$B:$B,$A4)+
SUMIFS(Исход!$G:$G,Исход!$A:$A,C$1,Исход!$B:$B,$A4)+
SUMIFS(Исход!$H:$H,Исход!$A:$A,C$1,Исход!$B:$B,$A4)+
SUMIFS(Исход!$I:$I,Исход!$A:$A,C$1,Исход!$B:$B,$A4)-
SUMIFS(Исход!$L:$L,Исход!$A:$A,C$1,Исход!$B:$B,$A4)</f>
        <v>0</v>
      </c>
      <c r="D4" s="127">
        <f>SUMIFS(Исход!$D:$D,Исход!$A:$A,D$1,Исход!$B:$B,$A4)+
SUMIFS(Исход!$G:$G,Исход!$A:$A,D$1,Исход!$B:$B,$A4)+
SUMIFS(Исход!$H:$H,Исход!$A:$A,D$1,Исход!$B:$B,$A4)+
SUMIFS(Исход!$I:$I,Исход!$A:$A,D$1,Исход!$B:$B,$A4)-
SUMIFS(Исход!$L:$L,Исход!$A:$A,D$1,Исход!$B:$B,$A4)</f>
        <v>0</v>
      </c>
      <c r="E4" s="127">
        <f>SUMIFS(Исход!$D:$D,Исход!$A:$A,E$1,Исход!$B:$B,$A4)+
SUMIFS(Исход!$G:$G,Исход!$A:$A,E$1,Исход!$B:$B,$A4)+
SUMIFS(Исход!$H:$H,Исход!$A:$A,E$1,Исход!$B:$B,$A4)+
SUMIFS(Исход!$I:$I,Исход!$A:$A,E$1,Исход!$B:$B,$A4)-
SUMIFS(Исход!$L:$L,Исход!$A:$A,E$1,Исход!$B:$B,$A4)</f>
        <v>0</v>
      </c>
      <c r="F4" s="127">
        <f>SUMIFS(Исход!$D:$D,Исход!$A:$A,F$1,Исход!$B:$B,$A4)+
SUMIFS(Исход!$G:$G,Исход!$A:$A,F$1,Исход!$B:$B,$A4)+
SUMIFS(Исход!$H:$H,Исход!$A:$A,F$1,Исход!$B:$B,$A4)+
SUMIFS(Исход!$I:$I,Исход!$A:$A,F$1,Исход!$B:$B,$A4)-
SUMIFS(Исход!$L:$L,Исход!$A:$A,F$1,Исход!$B:$B,$A4)</f>
        <v>0</v>
      </c>
      <c r="G4" s="127">
        <f>SUMIFS(Исход!$D:$D,Исход!$A:$A,G$1,Исход!$B:$B,$A4)+
SUMIFS(Исход!$G:$G,Исход!$A:$A,G$1,Исход!$B:$B,$A4)+
SUMIFS(Исход!$H:$H,Исход!$A:$A,G$1,Исход!$B:$B,$A4)+
SUMIFS(Исход!$I:$I,Исход!$A:$A,G$1,Исход!$B:$B,$A4)-
SUMIFS(Исход!$L:$L,Исход!$A:$A,G$1,Исход!$B:$B,$A4)</f>
        <v>0</v>
      </c>
      <c r="H4" s="127">
        <f>SUMIFS(Исход!$D:$D,Исход!$A:$A,H$1,Исход!$B:$B,$A4)+
SUMIFS(Исход!$G:$G,Исход!$A:$A,H$1,Исход!$B:$B,$A4)+
SUMIFS(Исход!$H:$H,Исход!$A:$A,H$1,Исход!$B:$B,$A4)+
SUMIFS(Исход!$I:$I,Исход!$A:$A,H$1,Исход!$B:$B,$A4)-
SUMIFS(Исход!$L:$L,Исход!$A:$A,H$1,Исход!$B:$B,$A4)</f>
        <v>0</v>
      </c>
      <c r="I4" s="127">
        <f>SUMIFS(Исход!$D:$D,Исход!$A:$A,I$1,Исход!$B:$B,$A4)+
SUMIFS(Исход!$G:$G,Исход!$A:$A,I$1,Исход!$B:$B,$A4)+
SUMIFS(Исход!$H:$H,Исход!$A:$A,I$1,Исход!$B:$B,$A4)+
SUMIFS(Исход!$I:$I,Исход!$A:$A,I$1,Исход!$B:$B,$A4)-
SUMIFS(Исход!$L:$L,Исход!$A:$A,I$1,Исход!$B:$B,$A4)</f>
        <v>0</v>
      </c>
      <c r="J4" s="127">
        <f>SUMIFS(Исход!$D:$D,Исход!$A:$A,J$1,Исход!$B:$B,$A4)+
SUMIFS(Исход!$G:$G,Исход!$A:$A,J$1,Исход!$B:$B,$A4)+
SUMIFS(Исход!$H:$H,Исход!$A:$A,J$1,Исход!$B:$B,$A4)+
SUMIFS(Исход!$I:$I,Исход!$A:$A,J$1,Исход!$B:$B,$A4)-
SUMIFS(Исход!$L:$L,Исход!$A:$A,J$1,Исход!$B:$B,$A4)</f>
        <v>0</v>
      </c>
      <c r="K4" s="127">
        <f>SUMIFS(Исход!$D:$D,Исход!$A:$A,K$1,Исход!$B:$B,$A4)+
SUMIFS(Исход!$G:$G,Исход!$A:$A,K$1,Исход!$B:$B,$A4)+
SUMIFS(Исход!$H:$H,Исход!$A:$A,K$1,Исход!$B:$B,$A4)+
SUMIFS(Исход!$I:$I,Исход!$A:$A,K$1,Исход!$B:$B,$A4)-
SUMIFS(Исход!$L:$L,Исход!$A:$A,K$1,Исход!$B:$B,$A4)</f>
        <v>0</v>
      </c>
      <c r="L4" s="127">
        <f>SUMIFS(Исход!$D:$D,Исход!$A:$A,L$1,Исход!$B:$B,$A4)+
SUMIFS(Исход!$G:$G,Исход!$A:$A,L$1,Исход!$B:$B,$A4)+
SUMIFS(Исход!$H:$H,Исход!$A:$A,L$1,Исход!$B:$B,$A4)+
SUMIFS(Исход!$I:$I,Исход!$A:$A,L$1,Исход!$B:$B,$A4)-
SUMIFS(Исход!$L:$L,Исход!$A:$A,L$1,Исход!$B:$B,$A4)</f>
        <v>0</v>
      </c>
      <c r="M4" s="127">
        <f>SUMIFS(Исход!$D:$D,Исход!$A:$A,M$1,Исход!$B:$B,$A4)+
SUMIFS(Исход!$G:$G,Исход!$A:$A,M$1,Исход!$B:$B,$A4)+
SUMIFS(Исход!$H:$H,Исход!$A:$A,M$1,Исход!$B:$B,$A4)+
SUMIFS(Исход!$I:$I,Исход!$A:$A,M$1,Исход!$B:$B,$A4)-
SUMIFS(Исход!$L:$L,Исход!$A:$A,M$1,Исход!$B:$B,$A4)</f>
        <v>0</v>
      </c>
      <c r="N4" s="127">
        <f>SUMIFS(Исход!$D:$D,Исход!$A:$A,N$1,Исход!$B:$B,$A4)+
SUMIFS(Исход!$G:$G,Исход!$A:$A,N$1,Исход!$B:$B,$A4)+
SUMIFS(Исход!$H:$H,Исход!$A:$A,N$1,Исход!$B:$B,$A4)+
SUMIFS(Исход!$I:$I,Исход!$A:$A,N$1,Исход!$B:$B,$A4)-
SUMIFS(Исход!$L:$L,Исход!$A:$A,N$1,Исход!$B:$B,$A4)</f>
        <v>0</v>
      </c>
      <c r="O4" s="127">
        <f>SUMIFS(Исход!$D:$D,Исход!$A:$A,O$1,Исход!$B:$B,$A4)+
SUMIFS(Исход!$G:$G,Исход!$A:$A,O$1,Исход!$B:$B,$A4)+
SUMIFS(Исход!$H:$H,Исход!$A:$A,O$1,Исход!$B:$B,$A4)+
SUMIFS(Исход!$I:$I,Исход!$A:$A,O$1,Исход!$B:$B,$A4)-
SUMIFS(Исход!$L:$L,Исход!$A:$A,O$1,Исход!$B:$B,$A4)</f>
        <v>0</v>
      </c>
      <c r="P4" s="127">
        <f>SUMIFS(Исход!$D:$D,Исход!$A:$A,P$1,Исход!$B:$B,$A4)+
SUMIFS(Исход!$G:$G,Исход!$A:$A,P$1,Исход!$B:$B,$A4)+
SUMIFS(Исход!$H:$H,Исход!$A:$A,P$1,Исход!$B:$B,$A4)+
SUMIFS(Исход!$I:$I,Исход!$A:$A,P$1,Исход!$B:$B,$A4)-
SUMIFS(Исход!$L:$L,Исход!$A:$A,P$1,Исход!$B:$B,$A4)</f>
        <v>0</v>
      </c>
      <c r="Q4" s="127">
        <f>SUMIFS(Исход!$D:$D,Исход!$A:$A,Q$1,Исход!$B:$B,$A4)+
SUMIFS(Исход!$G:$G,Исход!$A:$A,Q$1,Исход!$B:$B,$A4)+
SUMIFS(Исход!$H:$H,Исход!$A:$A,Q$1,Исход!$B:$B,$A4)+
SUMIFS(Исход!$I:$I,Исход!$A:$A,Q$1,Исход!$B:$B,$A4)-
SUMIFS(Исход!$L:$L,Исход!$A:$A,Q$1,Исход!$B:$B,$A4)</f>
        <v>0</v>
      </c>
      <c r="R4" s="127">
        <f>SUMIFS(Исход!$D:$D,Исход!$A:$A,R$1,Исход!$B:$B,$A4)+
SUMIFS(Исход!$G:$G,Исход!$A:$A,R$1,Исход!$B:$B,$A4)+
SUMIFS(Исход!$H:$H,Исход!$A:$A,R$1,Исход!$B:$B,$A4)+
SUMIFS(Исход!$I:$I,Исход!$A:$A,R$1,Исход!$B:$B,$A4)-
SUMIFS(Исход!$L:$L,Исход!$A:$A,R$1,Исход!$B:$B,$A4)</f>
        <v>0</v>
      </c>
      <c r="S4" s="127">
        <f>SUMIFS(Исход!$D:$D,Исход!$A:$A,S$1,Исход!$B:$B,$A4)+
SUMIFS(Исход!$G:$G,Исход!$A:$A,S$1,Исход!$B:$B,$A4)+
SUMIFS(Исход!$H:$H,Исход!$A:$A,S$1,Исход!$B:$B,$A4)+
SUMIFS(Исход!$I:$I,Исход!$A:$A,S$1,Исход!$B:$B,$A4)-
SUMIFS(Исход!$L:$L,Исход!$A:$A,S$1,Исход!$B:$B,$A4)</f>
        <v>0</v>
      </c>
      <c r="T4" s="127">
        <f>SUMIFS(Исход!$D:$D,Исход!$A:$A,T$1,Исход!$B:$B,$A4)+
SUMIFS(Исход!$G:$G,Исход!$A:$A,T$1,Исход!$B:$B,$A4)+
SUMIFS(Исход!$H:$H,Исход!$A:$A,T$1,Исход!$B:$B,$A4)+
SUMIFS(Исход!$I:$I,Исход!$A:$A,T$1,Исход!$B:$B,$A4)-
SUMIFS(Исход!$L:$L,Исход!$A:$A,T$1,Исход!$B:$B,$A4)</f>
        <v>0</v>
      </c>
      <c r="U4" s="127">
        <f>SUMIFS(Исход!$D:$D,Исход!$A:$A,U$1,Исход!$B:$B,$A4)+
SUMIFS(Исход!$G:$G,Исход!$A:$A,U$1,Исход!$B:$B,$A4)+
SUMIFS(Исход!$H:$H,Исход!$A:$A,U$1,Исход!$B:$B,$A4)+
SUMIFS(Исход!$I:$I,Исход!$A:$A,U$1,Исход!$B:$B,$A4)-
SUMIFS(Исход!$L:$L,Исход!$A:$A,U$1,Исход!$B:$B,$A4)</f>
        <v>0</v>
      </c>
      <c r="V4" s="127">
        <f>SUMIFS(Исход!$D:$D,Исход!$A:$A,V$1,Исход!$B:$B,$A4)+
SUMIFS(Исход!$G:$G,Исход!$A:$A,V$1,Исход!$B:$B,$A4)+
SUMIFS(Исход!$H:$H,Исход!$A:$A,V$1,Исход!$B:$B,$A4)+
SUMIFS(Исход!$I:$I,Исход!$A:$A,V$1,Исход!$B:$B,$A4)-
SUMIFS(Исход!$L:$L,Исход!$A:$A,V$1,Исход!$B:$B,$A4)</f>
        <v>0</v>
      </c>
      <c r="W4" s="127">
        <f>SUMIFS(Исход!$D:$D,Исход!$A:$A,W$1,Исход!$B:$B,$A4)+
SUMIFS(Исход!$G:$G,Исход!$A:$A,W$1,Исход!$B:$B,$A4)+
SUMIFS(Исход!$H:$H,Исход!$A:$A,W$1,Исход!$B:$B,$A4)+
SUMIFS(Исход!$I:$I,Исход!$A:$A,W$1,Исход!$B:$B,$A4)-
SUMIFS(Исход!$L:$L,Исход!$A:$A,W$1,Исход!$B:$B,$A4)</f>
        <v>0</v>
      </c>
      <c r="X4" s="127">
        <f>SUMIFS(Исход!$D:$D,Исход!$A:$A,X$1,Исход!$B:$B,$A4)+
SUMIFS(Исход!$G:$G,Исход!$A:$A,X$1,Исход!$B:$B,$A4)+
SUMIFS(Исход!$H:$H,Исход!$A:$A,X$1,Исход!$B:$B,$A4)+
SUMIFS(Исход!$I:$I,Исход!$A:$A,X$1,Исход!$B:$B,$A4)-
SUMIFS(Исход!$L:$L,Исход!$A:$A,X$1,Исход!$B:$B,$A4)</f>
        <v>0</v>
      </c>
      <c r="Y4" s="127">
        <f>SUMIFS(Исход!$D:$D,Исход!$A:$A,Y$1,Исход!$B:$B,$A4)+
SUMIFS(Исход!$G:$G,Исход!$A:$A,Y$1,Исход!$B:$B,$A4)+
SUMIFS(Исход!$H:$H,Исход!$A:$A,Y$1,Исход!$B:$B,$A4)+
SUMIFS(Исход!$I:$I,Исход!$A:$A,Y$1,Исход!$B:$B,$A4)-
SUMIFS(Исход!$L:$L,Исход!$A:$A,Y$1,Исход!$B:$B,$A4)</f>
        <v>0</v>
      </c>
      <c r="Z4" s="127">
        <f>SUMIFS(Исход!$D:$D,Исход!$A:$A,Z$1,Исход!$B:$B,$A4)+
SUMIFS(Исход!$G:$G,Исход!$A:$A,Z$1,Исход!$B:$B,$A4)+
SUMIFS(Исход!$H:$H,Исход!$A:$A,Z$1,Исход!$B:$B,$A4)+
SUMIFS(Исход!$I:$I,Исход!$A:$A,Z$1,Исход!$B:$B,$A4)-
SUMIFS(Исход!$L:$L,Исход!$A:$A,Z$1,Исход!$B:$B,$A4)</f>
        <v>0</v>
      </c>
      <c r="AA4" s="127">
        <f>SUMIFS(Исход!$D:$D,Исход!$A:$A,AA$1,Исход!$B:$B,$A4)+
SUMIFS(Исход!$G:$G,Исход!$A:$A,AA$1,Исход!$B:$B,$A4)+
SUMIFS(Исход!$H:$H,Исход!$A:$A,AA$1,Исход!$B:$B,$A4)+
SUMIFS(Исход!$I:$I,Исход!$A:$A,AA$1,Исход!$B:$B,$A4)-
SUMIFS(Исход!$L:$L,Исход!$A:$A,AA$1,Исход!$B:$B,$A4)</f>
        <v>0</v>
      </c>
      <c r="AB4" s="127">
        <f>SUMIFS(Исход!$D:$D,Исход!$A:$A,AB$1,Исход!$B:$B,$A4)+
SUMIFS(Исход!$G:$G,Исход!$A:$A,AB$1,Исход!$B:$B,$A4)+
SUMIFS(Исход!$H:$H,Исход!$A:$A,AB$1,Исход!$B:$B,$A4)+
SUMIFS(Исход!$I:$I,Исход!$A:$A,AB$1,Исход!$B:$B,$A4)-
SUMIFS(Исход!$L:$L,Исход!$A:$A,AB$1,Исход!$B:$B,$A4)</f>
        <v>0</v>
      </c>
      <c r="AC4" s="127">
        <f>SUMIFS(Исход!$D:$D,Исход!$A:$A,AC$1,Исход!$B:$B,$A4)+
SUMIFS(Исход!$G:$G,Исход!$A:$A,AC$1,Исход!$B:$B,$A4)+
SUMIFS(Исход!$H:$H,Исход!$A:$A,AC$1,Исход!$B:$B,$A4)+
SUMIFS(Исход!$I:$I,Исход!$A:$A,AC$1,Исход!$B:$B,$A4)-
SUMIFS(Исход!$L:$L,Исход!$A:$A,AC$1,Исход!$B:$B,$A4)</f>
        <v>0</v>
      </c>
      <c r="AD4" s="127">
        <f>SUMIFS(Исход!$D:$D,Исход!$A:$A,AD$1,Исход!$B:$B,$A4)+
SUMIFS(Исход!$G:$G,Исход!$A:$A,AD$1,Исход!$B:$B,$A4)+
SUMIFS(Исход!$H:$H,Исход!$A:$A,AD$1,Исход!$B:$B,$A4)+
SUMIFS(Исход!$I:$I,Исход!$A:$A,AD$1,Исход!$B:$B,$A4)-
SUMIFS(Исход!$L:$L,Исход!$A:$A,AD$1,Исход!$B:$B,$A4)</f>
        <v>0</v>
      </c>
      <c r="AE4" s="127">
        <f>SUMIFS(Исход!$D:$D,Исход!$A:$A,AE$1,Исход!$B:$B,$A4)+
SUMIFS(Исход!$G:$G,Исход!$A:$A,AE$1,Исход!$B:$B,$A4)+
SUMIFS(Исход!$H:$H,Исход!$A:$A,AE$1,Исход!$B:$B,$A4)+
SUMIFS(Исход!$I:$I,Исход!$A:$A,AE$1,Исход!$B:$B,$A4)-
SUMIFS(Исход!$L:$L,Исход!$A:$A,AE$1,Исход!$B:$B,$A4)</f>
        <v>0</v>
      </c>
      <c r="AF4" s="127">
        <f>SUMIFS(Исход!$D:$D,Исход!$A:$A,AF$1,Исход!$B:$B,$A4)+
SUMIFS(Исход!$G:$G,Исход!$A:$A,AF$1,Исход!$B:$B,$A4)+
SUMIFS(Исход!$H:$H,Исход!$A:$A,AF$1,Исход!$B:$B,$A4)+
SUMIFS(Исход!$I:$I,Исход!$A:$A,AF$1,Исход!$B:$B,$A4)-
SUMIFS(Исход!$L:$L,Исход!$A:$A,AF$1,Исход!$B:$B,$A4)</f>
        <v>0</v>
      </c>
      <c r="AG4" s="127">
        <f>SUMIFS(Исход!$D:$D,Исход!$A:$A,AG$1,Исход!$B:$B,$A4)+
SUMIFS(Исход!$G:$G,Исход!$A:$A,AG$1,Исход!$B:$B,$A4)+
SUMIFS(Исход!$H:$H,Исход!$A:$A,AG$1,Исход!$B:$B,$A4)+
SUMIFS(Исход!$I:$I,Исход!$A:$A,AG$1,Исход!$B:$B,$A4)-
SUMIFS(Исход!$L:$L,Исход!$A:$A,AG$1,Исход!$B:$B,$A4)</f>
        <v>0</v>
      </c>
    </row>
    <row r="5" spans="1:35" hidden="1" outlineLevel="1" x14ac:dyDescent="0.25">
      <c r="A5" s="102">
        <v>2.0833333333333332E-2</v>
      </c>
      <c r="B5" s="128">
        <v>4.1666666666666664E-2</v>
      </c>
      <c r="C5" s="129">
        <f>SUMIFS(Исход!$D:$D,Исход!$A:$A,C$1,Исход!$B:$B,$A5)+
SUMIFS(Исход!$G:$G,Исход!$A:$A,C$1,Исход!$B:$B,$A5)+
SUMIFS(Исход!$H:$H,Исход!$A:$A,C$1,Исход!$B:$B,$A5)+
SUMIFS(Исход!$I:$I,Исход!$A:$A,C$1,Исход!$B:$B,$A5)-
SUMIFS(Исход!$L:$L,Исход!$A:$A,C$1,Исход!$B:$B,$A5)</f>
        <v>0</v>
      </c>
      <c r="D5" s="130">
        <f>SUMIFS(Исход!$D:$D,Исход!$A:$A,D$1,Исход!$B:$B,$A5)+
SUMIFS(Исход!$G:$G,Исход!$A:$A,D$1,Исход!$B:$B,$A5)+
SUMIFS(Исход!$H:$H,Исход!$A:$A,D$1,Исход!$B:$B,$A5)+
SUMIFS(Исход!$I:$I,Исход!$A:$A,D$1,Исход!$B:$B,$A5)-
SUMIFS(Исход!$L:$L,Исход!$A:$A,D$1,Исход!$B:$B,$A5)</f>
        <v>0</v>
      </c>
      <c r="E5" s="130">
        <f>SUMIFS(Исход!$D:$D,Исход!$A:$A,E$1,Исход!$B:$B,$A5)+
SUMIFS(Исход!$G:$G,Исход!$A:$A,E$1,Исход!$B:$B,$A5)+
SUMIFS(Исход!$H:$H,Исход!$A:$A,E$1,Исход!$B:$B,$A5)+
SUMIFS(Исход!$I:$I,Исход!$A:$A,E$1,Исход!$B:$B,$A5)-
SUMIFS(Исход!$L:$L,Исход!$A:$A,E$1,Исход!$B:$B,$A5)</f>
        <v>0</v>
      </c>
      <c r="F5" s="130">
        <f>SUMIFS(Исход!$D:$D,Исход!$A:$A,F$1,Исход!$B:$B,$A5)+
SUMIFS(Исход!$G:$G,Исход!$A:$A,F$1,Исход!$B:$B,$A5)+
SUMIFS(Исход!$H:$H,Исход!$A:$A,F$1,Исход!$B:$B,$A5)+
SUMIFS(Исход!$I:$I,Исход!$A:$A,F$1,Исход!$B:$B,$A5)-
SUMIFS(Исход!$L:$L,Исход!$A:$A,F$1,Исход!$B:$B,$A5)</f>
        <v>0</v>
      </c>
      <c r="G5" s="130">
        <f>SUMIFS(Исход!$D:$D,Исход!$A:$A,G$1,Исход!$B:$B,$A5)+
SUMIFS(Исход!$G:$G,Исход!$A:$A,G$1,Исход!$B:$B,$A5)+
SUMIFS(Исход!$H:$H,Исход!$A:$A,G$1,Исход!$B:$B,$A5)+
SUMIFS(Исход!$I:$I,Исход!$A:$A,G$1,Исход!$B:$B,$A5)-
SUMIFS(Исход!$L:$L,Исход!$A:$A,G$1,Исход!$B:$B,$A5)</f>
        <v>0</v>
      </c>
      <c r="H5" s="130">
        <f>SUMIFS(Исход!$D:$D,Исход!$A:$A,H$1,Исход!$B:$B,$A5)+
SUMIFS(Исход!$G:$G,Исход!$A:$A,H$1,Исход!$B:$B,$A5)+
SUMIFS(Исход!$H:$H,Исход!$A:$A,H$1,Исход!$B:$B,$A5)+
SUMIFS(Исход!$I:$I,Исход!$A:$A,H$1,Исход!$B:$B,$A5)-
SUMIFS(Исход!$L:$L,Исход!$A:$A,H$1,Исход!$B:$B,$A5)</f>
        <v>0</v>
      </c>
      <c r="I5" s="130">
        <f>SUMIFS(Исход!$D:$D,Исход!$A:$A,I$1,Исход!$B:$B,$A5)+
SUMIFS(Исход!$G:$G,Исход!$A:$A,I$1,Исход!$B:$B,$A5)+
SUMIFS(Исход!$H:$H,Исход!$A:$A,I$1,Исход!$B:$B,$A5)+
SUMIFS(Исход!$I:$I,Исход!$A:$A,I$1,Исход!$B:$B,$A5)-
SUMIFS(Исход!$L:$L,Исход!$A:$A,I$1,Исход!$B:$B,$A5)</f>
        <v>0</v>
      </c>
      <c r="J5" s="130">
        <f>SUMIFS(Исход!$D:$D,Исход!$A:$A,J$1,Исход!$B:$B,$A5)+
SUMIFS(Исход!$G:$G,Исход!$A:$A,J$1,Исход!$B:$B,$A5)+
SUMIFS(Исход!$H:$H,Исход!$A:$A,J$1,Исход!$B:$B,$A5)+
SUMIFS(Исход!$I:$I,Исход!$A:$A,J$1,Исход!$B:$B,$A5)-
SUMIFS(Исход!$L:$L,Исход!$A:$A,J$1,Исход!$B:$B,$A5)</f>
        <v>0</v>
      </c>
      <c r="K5" s="130">
        <f>SUMIFS(Исход!$D:$D,Исход!$A:$A,K$1,Исход!$B:$B,$A5)+
SUMIFS(Исход!$G:$G,Исход!$A:$A,K$1,Исход!$B:$B,$A5)+
SUMIFS(Исход!$H:$H,Исход!$A:$A,K$1,Исход!$B:$B,$A5)+
SUMIFS(Исход!$I:$I,Исход!$A:$A,K$1,Исход!$B:$B,$A5)-
SUMIFS(Исход!$L:$L,Исход!$A:$A,K$1,Исход!$B:$B,$A5)</f>
        <v>0</v>
      </c>
      <c r="L5" s="130">
        <f>SUMIFS(Исход!$D:$D,Исход!$A:$A,L$1,Исход!$B:$B,$A5)+
SUMIFS(Исход!$G:$G,Исход!$A:$A,L$1,Исход!$B:$B,$A5)+
SUMIFS(Исход!$H:$H,Исход!$A:$A,L$1,Исход!$B:$B,$A5)+
SUMIFS(Исход!$I:$I,Исход!$A:$A,L$1,Исход!$B:$B,$A5)-
SUMIFS(Исход!$L:$L,Исход!$A:$A,L$1,Исход!$B:$B,$A5)</f>
        <v>0</v>
      </c>
      <c r="M5" s="130">
        <f>SUMIFS(Исход!$D:$D,Исход!$A:$A,M$1,Исход!$B:$B,$A5)+
SUMIFS(Исход!$G:$G,Исход!$A:$A,M$1,Исход!$B:$B,$A5)+
SUMIFS(Исход!$H:$H,Исход!$A:$A,M$1,Исход!$B:$B,$A5)+
SUMIFS(Исход!$I:$I,Исход!$A:$A,M$1,Исход!$B:$B,$A5)-
SUMIFS(Исход!$L:$L,Исход!$A:$A,M$1,Исход!$B:$B,$A5)</f>
        <v>0</v>
      </c>
      <c r="N5" s="130">
        <f>SUMIFS(Исход!$D:$D,Исход!$A:$A,N$1,Исход!$B:$B,$A5)+
SUMIFS(Исход!$G:$G,Исход!$A:$A,N$1,Исход!$B:$B,$A5)+
SUMIFS(Исход!$H:$H,Исход!$A:$A,N$1,Исход!$B:$B,$A5)+
SUMIFS(Исход!$I:$I,Исход!$A:$A,N$1,Исход!$B:$B,$A5)-
SUMIFS(Исход!$L:$L,Исход!$A:$A,N$1,Исход!$B:$B,$A5)</f>
        <v>0</v>
      </c>
      <c r="O5" s="130">
        <f>SUMIFS(Исход!$D:$D,Исход!$A:$A,O$1,Исход!$B:$B,$A5)+
SUMIFS(Исход!$G:$G,Исход!$A:$A,O$1,Исход!$B:$B,$A5)+
SUMIFS(Исход!$H:$H,Исход!$A:$A,O$1,Исход!$B:$B,$A5)+
SUMIFS(Исход!$I:$I,Исход!$A:$A,O$1,Исход!$B:$B,$A5)-
SUMIFS(Исход!$L:$L,Исход!$A:$A,O$1,Исход!$B:$B,$A5)</f>
        <v>0</v>
      </c>
      <c r="P5" s="130">
        <f>SUMIFS(Исход!$D:$D,Исход!$A:$A,P$1,Исход!$B:$B,$A5)+
SUMIFS(Исход!$G:$G,Исход!$A:$A,P$1,Исход!$B:$B,$A5)+
SUMIFS(Исход!$H:$H,Исход!$A:$A,P$1,Исход!$B:$B,$A5)+
SUMIFS(Исход!$I:$I,Исход!$A:$A,P$1,Исход!$B:$B,$A5)-
SUMIFS(Исход!$L:$L,Исход!$A:$A,P$1,Исход!$B:$B,$A5)</f>
        <v>0</v>
      </c>
      <c r="Q5" s="130">
        <f>SUMIFS(Исход!$D:$D,Исход!$A:$A,Q$1,Исход!$B:$B,$A5)+
SUMIFS(Исход!$G:$G,Исход!$A:$A,Q$1,Исход!$B:$B,$A5)+
SUMIFS(Исход!$H:$H,Исход!$A:$A,Q$1,Исход!$B:$B,$A5)+
SUMIFS(Исход!$I:$I,Исход!$A:$A,Q$1,Исход!$B:$B,$A5)-
SUMIFS(Исход!$L:$L,Исход!$A:$A,Q$1,Исход!$B:$B,$A5)</f>
        <v>0</v>
      </c>
      <c r="R5" s="130">
        <f>SUMIFS(Исход!$D:$D,Исход!$A:$A,R$1,Исход!$B:$B,$A5)+
SUMIFS(Исход!$G:$G,Исход!$A:$A,R$1,Исход!$B:$B,$A5)+
SUMIFS(Исход!$H:$H,Исход!$A:$A,R$1,Исход!$B:$B,$A5)+
SUMIFS(Исход!$I:$I,Исход!$A:$A,R$1,Исход!$B:$B,$A5)-
SUMIFS(Исход!$L:$L,Исход!$A:$A,R$1,Исход!$B:$B,$A5)</f>
        <v>0</v>
      </c>
      <c r="S5" s="130">
        <f>SUMIFS(Исход!$D:$D,Исход!$A:$A,S$1,Исход!$B:$B,$A5)+
SUMIFS(Исход!$G:$G,Исход!$A:$A,S$1,Исход!$B:$B,$A5)+
SUMIFS(Исход!$H:$H,Исход!$A:$A,S$1,Исход!$B:$B,$A5)+
SUMIFS(Исход!$I:$I,Исход!$A:$A,S$1,Исход!$B:$B,$A5)-
SUMIFS(Исход!$L:$L,Исход!$A:$A,S$1,Исход!$B:$B,$A5)</f>
        <v>0</v>
      </c>
      <c r="T5" s="130">
        <f>SUMIFS(Исход!$D:$D,Исход!$A:$A,T$1,Исход!$B:$B,$A5)+
SUMIFS(Исход!$G:$G,Исход!$A:$A,T$1,Исход!$B:$B,$A5)+
SUMIFS(Исход!$H:$H,Исход!$A:$A,T$1,Исход!$B:$B,$A5)+
SUMIFS(Исход!$I:$I,Исход!$A:$A,T$1,Исход!$B:$B,$A5)-
SUMIFS(Исход!$L:$L,Исход!$A:$A,T$1,Исход!$B:$B,$A5)</f>
        <v>0</v>
      </c>
      <c r="U5" s="130">
        <f>SUMIFS(Исход!$D:$D,Исход!$A:$A,U$1,Исход!$B:$B,$A5)+
SUMIFS(Исход!$G:$G,Исход!$A:$A,U$1,Исход!$B:$B,$A5)+
SUMIFS(Исход!$H:$H,Исход!$A:$A,U$1,Исход!$B:$B,$A5)+
SUMIFS(Исход!$I:$I,Исход!$A:$A,U$1,Исход!$B:$B,$A5)-
SUMIFS(Исход!$L:$L,Исход!$A:$A,U$1,Исход!$B:$B,$A5)</f>
        <v>0</v>
      </c>
      <c r="V5" s="130">
        <f>SUMIFS(Исход!$D:$D,Исход!$A:$A,V$1,Исход!$B:$B,$A5)+
SUMIFS(Исход!$G:$G,Исход!$A:$A,V$1,Исход!$B:$B,$A5)+
SUMIFS(Исход!$H:$H,Исход!$A:$A,V$1,Исход!$B:$B,$A5)+
SUMIFS(Исход!$I:$I,Исход!$A:$A,V$1,Исход!$B:$B,$A5)-
SUMIFS(Исход!$L:$L,Исход!$A:$A,V$1,Исход!$B:$B,$A5)</f>
        <v>0</v>
      </c>
      <c r="W5" s="130">
        <f>SUMIFS(Исход!$D:$D,Исход!$A:$A,W$1,Исход!$B:$B,$A5)+
SUMIFS(Исход!$G:$G,Исход!$A:$A,W$1,Исход!$B:$B,$A5)+
SUMIFS(Исход!$H:$H,Исход!$A:$A,W$1,Исход!$B:$B,$A5)+
SUMIFS(Исход!$I:$I,Исход!$A:$A,W$1,Исход!$B:$B,$A5)-
SUMIFS(Исход!$L:$L,Исход!$A:$A,W$1,Исход!$B:$B,$A5)</f>
        <v>0</v>
      </c>
      <c r="X5" s="130">
        <f>SUMIFS(Исход!$D:$D,Исход!$A:$A,X$1,Исход!$B:$B,$A5)+
SUMIFS(Исход!$G:$G,Исход!$A:$A,X$1,Исход!$B:$B,$A5)+
SUMIFS(Исход!$H:$H,Исход!$A:$A,X$1,Исход!$B:$B,$A5)+
SUMIFS(Исход!$I:$I,Исход!$A:$A,X$1,Исход!$B:$B,$A5)-
SUMIFS(Исход!$L:$L,Исход!$A:$A,X$1,Исход!$B:$B,$A5)</f>
        <v>0</v>
      </c>
      <c r="Y5" s="130">
        <f>SUMIFS(Исход!$D:$D,Исход!$A:$A,Y$1,Исход!$B:$B,$A5)+
SUMIFS(Исход!$G:$G,Исход!$A:$A,Y$1,Исход!$B:$B,$A5)+
SUMIFS(Исход!$H:$H,Исход!$A:$A,Y$1,Исход!$B:$B,$A5)+
SUMIFS(Исход!$I:$I,Исход!$A:$A,Y$1,Исход!$B:$B,$A5)-
SUMIFS(Исход!$L:$L,Исход!$A:$A,Y$1,Исход!$B:$B,$A5)</f>
        <v>0</v>
      </c>
      <c r="Z5" s="130">
        <f>SUMIFS(Исход!$D:$D,Исход!$A:$A,Z$1,Исход!$B:$B,$A5)+
SUMIFS(Исход!$G:$G,Исход!$A:$A,Z$1,Исход!$B:$B,$A5)+
SUMIFS(Исход!$H:$H,Исход!$A:$A,Z$1,Исход!$B:$B,$A5)+
SUMIFS(Исход!$I:$I,Исход!$A:$A,Z$1,Исход!$B:$B,$A5)-
SUMIFS(Исход!$L:$L,Исход!$A:$A,Z$1,Исход!$B:$B,$A5)</f>
        <v>0</v>
      </c>
      <c r="AA5" s="130">
        <f>SUMIFS(Исход!$D:$D,Исход!$A:$A,AA$1,Исход!$B:$B,$A5)+
SUMIFS(Исход!$G:$G,Исход!$A:$A,AA$1,Исход!$B:$B,$A5)+
SUMIFS(Исход!$H:$H,Исход!$A:$A,AA$1,Исход!$B:$B,$A5)+
SUMIFS(Исход!$I:$I,Исход!$A:$A,AA$1,Исход!$B:$B,$A5)-
SUMIFS(Исход!$L:$L,Исход!$A:$A,AA$1,Исход!$B:$B,$A5)</f>
        <v>0</v>
      </c>
      <c r="AB5" s="130">
        <f>SUMIFS(Исход!$D:$D,Исход!$A:$A,AB$1,Исход!$B:$B,$A5)+
SUMIFS(Исход!$G:$G,Исход!$A:$A,AB$1,Исход!$B:$B,$A5)+
SUMIFS(Исход!$H:$H,Исход!$A:$A,AB$1,Исход!$B:$B,$A5)+
SUMIFS(Исход!$I:$I,Исход!$A:$A,AB$1,Исход!$B:$B,$A5)-
SUMIFS(Исход!$L:$L,Исход!$A:$A,AB$1,Исход!$B:$B,$A5)</f>
        <v>0</v>
      </c>
      <c r="AC5" s="130">
        <f>SUMIFS(Исход!$D:$D,Исход!$A:$A,AC$1,Исход!$B:$B,$A5)+
SUMIFS(Исход!$G:$G,Исход!$A:$A,AC$1,Исход!$B:$B,$A5)+
SUMIFS(Исход!$H:$H,Исход!$A:$A,AC$1,Исход!$B:$B,$A5)+
SUMIFS(Исход!$I:$I,Исход!$A:$A,AC$1,Исход!$B:$B,$A5)-
SUMIFS(Исход!$L:$L,Исход!$A:$A,AC$1,Исход!$B:$B,$A5)</f>
        <v>0</v>
      </c>
      <c r="AD5" s="130">
        <f>SUMIFS(Исход!$D:$D,Исход!$A:$A,AD$1,Исход!$B:$B,$A5)+
SUMIFS(Исход!$G:$G,Исход!$A:$A,AD$1,Исход!$B:$B,$A5)+
SUMIFS(Исход!$H:$H,Исход!$A:$A,AD$1,Исход!$B:$B,$A5)+
SUMIFS(Исход!$I:$I,Исход!$A:$A,AD$1,Исход!$B:$B,$A5)-
SUMIFS(Исход!$L:$L,Исход!$A:$A,AD$1,Исход!$B:$B,$A5)</f>
        <v>0</v>
      </c>
      <c r="AE5" s="130">
        <f>SUMIFS(Исход!$D:$D,Исход!$A:$A,AE$1,Исход!$B:$B,$A5)+
SUMIFS(Исход!$G:$G,Исход!$A:$A,AE$1,Исход!$B:$B,$A5)+
SUMIFS(Исход!$H:$H,Исход!$A:$A,AE$1,Исход!$B:$B,$A5)+
SUMIFS(Исход!$I:$I,Исход!$A:$A,AE$1,Исход!$B:$B,$A5)-
SUMIFS(Исход!$L:$L,Исход!$A:$A,AE$1,Исход!$B:$B,$A5)</f>
        <v>0</v>
      </c>
      <c r="AF5" s="130">
        <f>SUMIFS(Исход!$D:$D,Исход!$A:$A,AF$1,Исход!$B:$B,$A5)+
SUMIFS(Исход!$G:$G,Исход!$A:$A,AF$1,Исход!$B:$B,$A5)+
SUMIFS(Исход!$H:$H,Исход!$A:$A,AF$1,Исход!$B:$B,$A5)+
SUMIFS(Исход!$I:$I,Исход!$A:$A,AF$1,Исход!$B:$B,$A5)-
SUMIFS(Исход!$L:$L,Исход!$A:$A,AF$1,Исход!$B:$B,$A5)</f>
        <v>0</v>
      </c>
      <c r="AG5" s="130">
        <f>SUMIFS(Исход!$D:$D,Исход!$A:$A,AG$1,Исход!$B:$B,$A5)+
SUMIFS(Исход!$G:$G,Исход!$A:$A,AG$1,Исход!$B:$B,$A5)+
SUMIFS(Исход!$H:$H,Исход!$A:$A,AG$1,Исход!$B:$B,$A5)+
SUMIFS(Исход!$I:$I,Исход!$A:$A,AG$1,Исход!$B:$B,$A5)-
SUMIFS(Исход!$L:$L,Исход!$A:$A,AG$1,Исход!$B:$B,$A5)</f>
        <v>0</v>
      </c>
    </row>
    <row r="6" spans="1:35" hidden="1" outlineLevel="1" x14ac:dyDescent="0.25">
      <c r="A6" s="102">
        <v>4.1666666666666664E-2</v>
      </c>
      <c r="B6" s="128">
        <v>6.25E-2</v>
      </c>
      <c r="C6" s="129">
        <f>SUMIFS(Исход!$D:$D,Исход!$A:$A,C$1,Исход!$B:$B,$A6)+
SUMIFS(Исход!$G:$G,Исход!$A:$A,C$1,Исход!$B:$B,$A6)+
SUMIFS(Исход!$H:$H,Исход!$A:$A,C$1,Исход!$B:$B,$A6)+
SUMIFS(Исход!$I:$I,Исход!$A:$A,C$1,Исход!$B:$B,$A6)-
SUMIFS(Исход!$L:$L,Исход!$A:$A,C$1,Исход!$B:$B,$A6)</f>
        <v>0</v>
      </c>
      <c r="D6" s="130">
        <f>SUMIFS(Исход!$D:$D,Исход!$A:$A,D$1,Исход!$B:$B,$A6)+
SUMIFS(Исход!$G:$G,Исход!$A:$A,D$1,Исход!$B:$B,$A6)+
SUMIFS(Исход!$H:$H,Исход!$A:$A,D$1,Исход!$B:$B,$A6)+
SUMIFS(Исход!$I:$I,Исход!$A:$A,D$1,Исход!$B:$B,$A6)-
SUMIFS(Исход!$L:$L,Исход!$A:$A,D$1,Исход!$B:$B,$A6)</f>
        <v>0</v>
      </c>
      <c r="E6" s="130">
        <f>SUMIFS(Исход!$D:$D,Исход!$A:$A,E$1,Исход!$B:$B,$A6)+
SUMIFS(Исход!$G:$G,Исход!$A:$A,E$1,Исход!$B:$B,$A6)+
SUMIFS(Исход!$H:$H,Исход!$A:$A,E$1,Исход!$B:$B,$A6)+
SUMIFS(Исход!$I:$I,Исход!$A:$A,E$1,Исход!$B:$B,$A6)-
SUMIFS(Исход!$L:$L,Исход!$A:$A,E$1,Исход!$B:$B,$A6)</f>
        <v>0</v>
      </c>
      <c r="F6" s="130">
        <f>SUMIFS(Исход!$D:$D,Исход!$A:$A,F$1,Исход!$B:$B,$A6)+
SUMIFS(Исход!$G:$G,Исход!$A:$A,F$1,Исход!$B:$B,$A6)+
SUMIFS(Исход!$H:$H,Исход!$A:$A,F$1,Исход!$B:$B,$A6)+
SUMIFS(Исход!$I:$I,Исход!$A:$A,F$1,Исход!$B:$B,$A6)-
SUMIFS(Исход!$L:$L,Исход!$A:$A,F$1,Исход!$B:$B,$A6)</f>
        <v>0</v>
      </c>
      <c r="G6" s="130">
        <f>SUMIFS(Исход!$D:$D,Исход!$A:$A,G$1,Исход!$B:$B,$A6)+
SUMIFS(Исход!$G:$G,Исход!$A:$A,G$1,Исход!$B:$B,$A6)+
SUMIFS(Исход!$H:$H,Исход!$A:$A,G$1,Исход!$B:$B,$A6)+
SUMIFS(Исход!$I:$I,Исход!$A:$A,G$1,Исход!$B:$B,$A6)-
SUMIFS(Исход!$L:$L,Исход!$A:$A,G$1,Исход!$B:$B,$A6)</f>
        <v>0</v>
      </c>
      <c r="H6" s="130">
        <f>SUMIFS(Исход!$D:$D,Исход!$A:$A,H$1,Исход!$B:$B,$A6)+
SUMIFS(Исход!$G:$G,Исход!$A:$A,H$1,Исход!$B:$B,$A6)+
SUMIFS(Исход!$H:$H,Исход!$A:$A,H$1,Исход!$B:$B,$A6)+
SUMIFS(Исход!$I:$I,Исход!$A:$A,H$1,Исход!$B:$B,$A6)-
SUMIFS(Исход!$L:$L,Исход!$A:$A,H$1,Исход!$B:$B,$A6)</f>
        <v>0</v>
      </c>
      <c r="I6" s="130">
        <f>SUMIFS(Исход!$D:$D,Исход!$A:$A,I$1,Исход!$B:$B,$A6)+
SUMIFS(Исход!$G:$G,Исход!$A:$A,I$1,Исход!$B:$B,$A6)+
SUMIFS(Исход!$H:$H,Исход!$A:$A,I$1,Исход!$B:$B,$A6)+
SUMIFS(Исход!$I:$I,Исход!$A:$A,I$1,Исход!$B:$B,$A6)-
SUMIFS(Исход!$L:$L,Исход!$A:$A,I$1,Исход!$B:$B,$A6)</f>
        <v>0</v>
      </c>
      <c r="J6" s="130">
        <f>SUMIFS(Исход!$D:$D,Исход!$A:$A,J$1,Исход!$B:$B,$A6)+
SUMIFS(Исход!$G:$G,Исход!$A:$A,J$1,Исход!$B:$B,$A6)+
SUMIFS(Исход!$H:$H,Исход!$A:$A,J$1,Исход!$B:$B,$A6)+
SUMIFS(Исход!$I:$I,Исход!$A:$A,J$1,Исход!$B:$B,$A6)-
SUMIFS(Исход!$L:$L,Исход!$A:$A,J$1,Исход!$B:$B,$A6)</f>
        <v>0</v>
      </c>
      <c r="K6" s="130">
        <f>SUMIFS(Исход!$D:$D,Исход!$A:$A,K$1,Исход!$B:$B,$A6)+
SUMIFS(Исход!$G:$G,Исход!$A:$A,K$1,Исход!$B:$B,$A6)+
SUMIFS(Исход!$H:$H,Исход!$A:$A,K$1,Исход!$B:$B,$A6)+
SUMIFS(Исход!$I:$I,Исход!$A:$A,K$1,Исход!$B:$B,$A6)-
SUMIFS(Исход!$L:$L,Исход!$A:$A,K$1,Исход!$B:$B,$A6)</f>
        <v>0</v>
      </c>
      <c r="L6" s="130">
        <f>SUMIFS(Исход!$D:$D,Исход!$A:$A,L$1,Исход!$B:$B,$A6)+
SUMIFS(Исход!$G:$G,Исход!$A:$A,L$1,Исход!$B:$B,$A6)+
SUMIFS(Исход!$H:$H,Исход!$A:$A,L$1,Исход!$B:$B,$A6)+
SUMIFS(Исход!$I:$I,Исход!$A:$A,L$1,Исход!$B:$B,$A6)-
SUMIFS(Исход!$L:$L,Исход!$A:$A,L$1,Исход!$B:$B,$A6)</f>
        <v>0</v>
      </c>
      <c r="M6" s="130">
        <f>SUMIFS(Исход!$D:$D,Исход!$A:$A,M$1,Исход!$B:$B,$A6)+
SUMIFS(Исход!$G:$G,Исход!$A:$A,M$1,Исход!$B:$B,$A6)+
SUMIFS(Исход!$H:$H,Исход!$A:$A,M$1,Исход!$B:$B,$A6)+
SUMIFS(Исход!$I:$I,Исход!$A:$A,M$1,Исход!$B:$B,$A6)-
SUMIFS(Исход!$L:$L,Исход!$A:$A,M$1,Исход!$B:$B,$A6)</f>
        <v>0</v>
      </c>
      <c r="N6" s="130">
        <f>SUMIFS(Исход!$D:$D,Исход!$A:$A,N$1,Исход!$B:$B,$A6)+
SUMIFS(Исход!$G:$G,Исход!$A:$A,N$1,Исход!$B:$B,$A6)+
SUMIFS(Исход!$H:$H,Исход!$A:$A,N$1,Исход!$B:$B,$A6)+
SUMIFS(Исход!$I:$I,Исход!$A:$A,N$1,Исход!$B:$B,$A6)-
SUMIFS(Исход!$L:$L,Исход!$A:$A,N$1,Исход!$B:$B,$A6)</f>
        <v>0</v>
      </c>
      <c r="O6" s="130">
        <f>SUMIFS(Исход!$D:$D,Исход!$A:$A,O$1,Исход!$B:$B,$A6)+
SUMIFS(Исход!$G:$G,Исход!$A:$A,O$1,Исход!$B:$B,$A6)+
SUMIFS(Исход!$H:$H,Исход!$A:$A,O$1,Исход!$B:$B,$A6)+
SUMIFS(Исход!$I:$I,Исход!$A:$A,O$1,Исход!$B:$B,$A6)-
SUMIFS(Исход!$L:$L,Исход!$A:$A,O$1,Исход!$B:$B,$A6)</f>
        <v>0</v>
      </c>
      <c r="P6" s="130">
        <f>SUMIFS(Исход!$D:$D,Исход!$A:$A,P$1,Исход!$B:$B,$A6)+
SUMIFS(Исход!$G:$G,Исход!$A:$A,P$1,Исход!$B:$B,$A6)+
SUMIFS(Исход!$H:$H,Исход!$A:$A,P$1,Исход!$B:$B,$A6)+
SUMIFS(Исход!$I:$I,Исход!$A:$A,P$1,Исход!$B:$B,$A6)-
SUMIFS(Исход!$L:$L,Исход!$A:$A,P$1,Исход!$B:$B,$A6)</f>
        <v>0</v>
      </c>
      <c r="Q6" s="130">
        <f>SUMIFS(Исход!$D:$D,Исход!$A:$A,Q$1,Исход!$B:$B,$A6)+
SUMIFS(Исход!$G:$G,Исход!$A:$A,Q$1,Исход!$B:$B,$A6)+
SUMIFS(Исход!$H:$H,Исход!$A:$A,Q$1,Исход!$B:$B,$A6)+
SUMIFS(Исход!$I:$I,Исход!$A:$A,Q$1,Исход!$B:$B,$A6)-
SUMIFS(Исход!$L:$L,Исход!$A:$A,Q$1,Исход!$B:$B,$A6)</f>
        <v>0</v>
      </c>
      <c r="R6" s="130">
        <f>SUMIFS(Исход!$D:$D,Исход!$A:$A,R$1,Исход!$B:$B,$A6)+
SUMIFS(Исход!$G:$G,Исход!$A:$A,R$1,Исход!$B:$B,$A6)+
SUMIFS(Исход!$H:$H,Исход!$A:$A,R$1,Исход!$B:$B,$A6)+
SUMIFS(Исход!$I:$I,Исход!$A:$A,R$1,Исход!$B:$B,$A6)-
SUMIFS(Исход!$L:$L,Исход!$A:$A,R$1,Исход!$B:$B,$A6)</f>
        <v>0</v>
      </c>
      <c r="S6" s="130">
        <f>SUMIFS(Исход!$D:$D,Исход!$A:$A,S$1,Исход!$B:$B,$A6)+
SUMIFS(Исход!$G:$G,Исход!$A:$A,S$1,Исход!$B:$B,$A6)+
SUMIFS(Исход!$H:$H,Исход!$A:$A,S$1,Исход!$B:$B,$A6)+
SUMIFS(Исход!$I:$I,Исход!$A:$A,S$1,Исход!$B:$B,$A6)-
SUMIFS(Исход!$L:$L,Исход!$A:$A,S$1,Исход!$B:$B,$A6)</f>
        <v>0</v>
      </c>
      <c r="T6" s="130">
        <f>SUMIFS(Исход!$D:$D,Исход!$A:$A,T$1,Исход!$B:$B,$A6)+
SUMIFS(Исход!$G:$G,Исход!$A:$A,T$1,Исход!$B:$B,$A6)+
SUMIFS(Исход!$H:$H,Исход!$A:$A,T$1,Исход!$B:$B,$A6)+
SUMIFS(Исход!$I:$I,Исход!$A:$A,T$1,Исход!$B:$B,$A6)-
SUMIFS(Исход!$L:$L,Исход!$A:$A,T$1,Исход!$B:$B,$A6)</f>
        <v>0</v>
      </c>
      <c r="U6" s="130">
        <f>SUMIFS(Исход!$D:$D,Исход!$A:$A,U$1,Исход!$B:$B,$A6)+
SUMIFS(Исход!$G:$G,Исход!$A:$A,U$1,Исход!$B:$B,$A6)+
SUMIFS(Исход!$H:$H,Исход!$A:$A,U$1,Исход!$B:$B,$A6)+
SUMIFS(Исход!$I:$I,Исход!$A:$A,U$1,Исход!$B:$B,$A6)-
SUMIFS(Исход!$L:$L,Исход!$A:$A,U$1,Исход!$B:$B,$A6)</f>
        <v>0</v>
      </c>
      <c r="V6" s="130">
        <f>SUMIFS(Исход!$D:$D,Исход!$A:$A,V$1,Исход!$B:$B,$A6)+
SUMIFS(Исход!$G:$G,Исход!$A:$A,V$1,Исход!$B:$B,$A6)+
SUMIFS(Исход!$H:$H,Исход!$A:$A,V$1,Исход!$B:$B,$A6)+
SUMIFS(Исход!$I:$I,Исход!$A:$A,V$1,Исход!$B:$B,$A6)-
SUMIFS(Исход!$L:$L,Исход!$A:$A,V$1,Исход!$B:$B,$A6)</f>
        <v>0</v>
      </c>
      <c r="W6" s="130">
        <f>SUMIFS(Исход!$D:$D,Исход!$A:$A,W$1,Исход!$B:$B,$A6)+
SUMIFS(Исход!$G:$G,Исход!$A:$A,W$1,Исход!$B:$B,$A6)+
SUMIFS(Исход!$H:$H,Исход!$A:$A,W$1,Исход!$B:$B,$A6)+
SUMIFS(Исход!$I:$I,Исход!$A:$A,W$1,Исход!$B:$B,$A6)-
SUMIFS(Исход!$L:$L,Исход!$A:$A,W$1,Исход!$B:$B,$A6)</f>
        <v>0</v>
      </c>
      <c r="X6" s="130">
        <f>SUMIFS(Исход!$D:$D,Исход!$A:$A,X$1,Исход!$B:$B,$A6)+
SUMIFS(Исход!$G:$G,Исход!$A:$A,X$1,Исход!$B:$B,$A6)+
SUMIFS(Исход!$H:$H,Исход!$A:$A,X$1,Исход!$B:$B,$A6)+
SUMIFS(Исход!$I:$I,Исход!$A:$A,X$1,Исход!$B:$B,$A6)-
SUMIFS(Исход!$L:$L,Исход!$A:$A,X$1,Исход!$B:$B,$A6)</f>
        <v>0</v>
      </c>
      <c r="Y6" s="130">
        <f>SUMIFS(Исход!$D:$D,Исход!$A:$A,Y$1,Исход!$B:$B,$A6)+
SUMIFS(Исход!$G:$G,Исход!$A:$A,Y$1,Исход!$B:$B,$A6)+
SUMIFS(Исход!$H:$H,Исход!$A:$A,Y$1,Исход!$B:$B,$A6)+
SUMIFS(Исход!$I:$I,Исход!$A:$A,Y$1,Исход!$B:$B,$A6)-
SUMIFS(Исход!$L:$L,Исход!$A:$A,Y$1,Исход!$B:$B,$A6)</f>
        <v>0</v>
      </c>
      <c r="Z6" s="130">
        <f>SUMIFS(Исход!$D:$D,Исход!$A:$A,Z$1,Исход!$B:$B,$A6)+
SUMIFS(Исход!$G:$G,Исход!$A:$A,Z$1,Исход!$B:$B,$A6)+
SUMIFS(Исход!$H:$H,Исход!$A:$A,Z$1,Исход!$B:$B,$A6)+
SUMIFS(Исход!$I:$I,Исход!$A:$A,Z$1,Исход!$B:$B,$A6)-
SUMIFS(Исход!$L:$L,Исход!$A:$A,Z$1,Исход!$B:$B,$A6)</f>
        <v>0</v>
      </c>
      <c r="AA6" s="130">
        <f>SUMIFS(Исход!$D:$D,Исход!$A:$A,AA$1,Исход!$B:$B,$A6)+
SUMIFS(Исход!$G:$G,Исход!$A:$A,AA$1,Исход!$B:$B,$A6)+
SUMIFS(Исход!$H:$H,Исход!$A:$A,AA$1,Исход!$B:$B,$A6)+
SUMIFS(Исход!$I:$I,Исход!$A:$A,AA$1,Исход!$B:$B,$A6)-
SUMIFS(Исход!$L:$L,Исход!$A:$A,AA$1,Исход!$B:$B,$A6)</f>
        <v>0</v>
      </c>
      <c r="AB6" s="130">
        <f>SUMIFS(Исход!$D:$D,Исход!$A:$A,AB$1,Исход!$B:$B,$A6)+
SUMIFS(Исход!$G:$G,Исход!$A:$A,AB$1,Исход!$B:$B,$A6)+
SUMIFS(Исход!$H:$H,Исход!$A:$A,AB$1,Исход!$B:$B,$A6)+
SUMIFS(Исход!$I:$I,Исход!$A:$A,AB$1,Исход!$B:$B,$A6)-
SUMIFS(Исход!$L:$L,Исход!$A:$A,AB$1,Исход!$B:$B,$A6)</f>
        <v>0</v>
      </c>
      <c r="AC6" s="130">
        <f>SUMIFS(Исход!$D:$D,Исход!$A:$A,AC$1,Исход!$B:$B,$A6)+
SUMIFS(Исход!$G:$G,Исход!$A:$A,AC$1,Исход!$B:$B,$A6)+
SUMIFS(Исход!$H:$H,Исход!$A:$A,AC$1,Исход!$B:$B,$A6)+
SUMIFS(Исход!$I:$I,Исход!$A:$A,AC$1,Исход!$B:$B,$A6)-
SUMIFS(Исход!$L:$L,Исход!$A:$A,AC$1,Исход!$B:$B,$A6)</f>
        <v>0</v>
      </c>
      <c r="AD6" s="130">
        <f>SUMIFS(Исход!$D:$D,Исход!$A:$A,AD$1,Исход!$B:$B,$A6)+
SUMIFS(Исход!$G:$G,Исход!$A:$A,AD$1,Исход!$B:$B,$A6)+
SUMIFS(Исход!$H:$H,Исход!$A:$A,AD$1,Исход!$B:$B,$A6)+
SUMIFS(Исход!$I:$I,Исход!$A:$A,AD$1,Исход!$B:$B,$A6)-
SUMIFS(Исход!$L:$L,Исход!$A:$A,AD$1,Исход!$B:$B,$A6)</f>
        <v>0</v>
      </c>
      <c r="AE6" s="130">
        <f>SUMIFS(Исход!$D:$D,Исход!$A:$A,AE$1,Исход!$B:$B,$A6)+
SUMIFS(Исход!$G:$G,Исход!$A:$A,AE$1,Исход!$B:$B,$A6)+
SUMIFS(Исход!$H:$H,Исход!$A:$A,AE$1,Исход!$B:$B,$A6)+
SUMIFS(Исход!$I:$I,Исход!$A:$A,AE$1,Исход!$B:$B,$A6)-
SUMIFS(Исход!$L:$L,Исход!$A:$A,AE$1,Исход!$B:$B,$A6)</f>
        <v>0</v>
      </c>
      <c r="AF6" s="130">
        <f>SUMIFS(Исход!$D:$D,Исход!$A:$A,AF$1,Исход!$B:$B,$A6)+
SUMIFS(Исход!$G:$G,Исход!$A:$A,AF$1,Исход!$B:$B,$A6)+
SUMIFS(Исход!$H:$H,Исход!$A:$A,AF$1,Исход!$B:$B,$A6)+
SUMIFS(Исход!$I:$I,Исход!$A:$A,AF$1,Исход!$B:$B,$A6)-
SUMIFS(Исход!$L:$L,Исход!$A:$A,AF$1,Исход!$B:$B,$A6)</f>
        <v>0</v>
      </c>
      <c r="AG6" s="130">
        <f>SUMIFS(Исход!$D:$D,Исход!$A:$A,AG$1,Исход!$B:$B,$A6)+
SUMIFS(Исход!$G:$G,Исход!$A:$A,AG$1,Исход!$B:$B,$A6)+
SUMIFS(Исход!$H:$H,Исход!$A:$A,AG$1,Исход!$B:$B,$A6)+
SUMIFS(Исход!$I:$I,Исход!$A:$A,AG$1,Исход!$B:$B,$A6)-
SUMIFS(Исход!$L:$L,Исход!$A:$A,AG$1,Исход!$B:$B,$A6)</f>
        <v>0</v>
      </c>
    </row>
    <row r="7" spans="1:35" hidden="1" outlineLevel="1" x14ac:dyDescent="0.25">
      <c r="A7" s="102">
        <v>6.25E-2</v>
      </c>
      <c r="B7" s="128">
        <v>8.3333333333333329E-2</v>
      </c>
      <c r="C7" s="129">
        <f>SUMIFS(Исход!$D:$D,Исход!$A:$A,C$1,Исход!$B:$B,$A7)+
SUMIFS(Исход!$G:$G,Исход!$A:$A,C$1,Исход!$B:$B,$A7)+
SUMIFS(Исход!$H:$H,Исход!$A:$A,C$1,Исход!$B:$B,$A7)+
SUMIFS(Исход!$I:$I,Исход!$A:$A,C$1,Исход!$B:$B,$A7)-
SUMIFS(Исход!$L:$L,Исход!$A:$A,C$1,Исход!$B:$B,$A7)</f>
        <v>0</v>
      </c>
      <c r="D7" s="130">
        <f>SUMIFS(Исход!$D:$D,Исход!$A:$A,D$1,Исход!$B:$B,$A7)+
SUMIFS(Исход!$G:$G,Исход!$A:$A,D$1,Исход!$B:$B,$A7)+
SUMIFS(Исход!$H:$H,Исход!$A:$A,D$1,Исход!$B:$B,$A7)+
SUMIFS(Исход!$I:$I,Исход!$A:$A,D$1,Исход!$B:$B,$A7)-
SUMIFS(Исход!$L:$L,Исход!$A:$A,D$1,Исход!$B:$B,$A7)</f>
        <v>0</v>
      </c>
      <c r="E7" s="130">
        <f>SUMIFS(Исход!$D:$D,Исход!$A:$A,E$1,Исход!$B:$B,$A7)+
SUMIFS(Исход!$G:$G,Исход!$A:$A,E$1,Исход!$B:$B,$A7)+
SUMIFS(Исход!$H:$H,Исход!$A:$A,E$1,Исход!$B:$B,$A7)+
SUMIFS(Исход!$I:$I,Исход!$A:$A,E$1,Исход!$B:$B,$A7)-
SUMIFS(Исход!$L:$L,Исход!$A:$A,E$1,Исход!$B:$B,$A7)</f>
        <v>0</v>
      </c>
      <c r="F7" s="130">
        <f>SUMIFS(Исход!$D:$D,Исход!$A:$A,F$1,Исход!$B:$B,$A7)+
SUMIFS(Исход!$G:$G,Исход!$A:$A,F$1,Исход!$B:$B,$A7)+
SUMIFS(Исход!$H:$H,Исход!$A:$A,F$1,Исход!$B:$B,$A7)+
SUMIFS(Исход!$I:$I,Исход!$A:$A,F$1,Исход!$B:$B,$A7)-
SUMIFS(Исход!$L:$L,Исход!$A:$A,F$1,Исход!$B:$B,$A7)</f>
        <v>0</v>
      </c>
      <c r="G7" s="130">
        <f>SUMIFS(Исход!$D:$D,Исход!$A:$A,G$1,Исход!$B:$B,$A7)+
SUMIFS(Исход!$G:$G,Исход!$A:$A,G$1,Исход!$B:$B,$A7)+
SUMIFS(Исход!$H:$H,Исход!$A:$A,G$1,Исход!$B:$B,$A7)+
SUMIFS(Исход!$I:$I,Исход!$A:$A,G$1,Исход!$B:$B,$A7)-
SUMIFS(Исход!$L:$L,Исход!$A:$A,G$1,Исход!$B:$B,$A7)</f>
        <v>0</v>
      </c>
      <c r="H7" s="130">
        <f>SUMIFS(Исход!$D:$D,Исход!$A:$A,H$1,Исход!$B:$B,$A7)+
SUMIFS(Исход!$G:$G,Исход!$A:$A,H$1,Исход!$B:$B,$A7)+
SUMIFS(Исход!$H:$H,Исход!$A:$A,H$1,Исход!$B:$B,$A7)+
SUMIFS(Исход!$I:$I,Исход!$A:$A,H$1,Исход!$B:$B,$A7)-
SUMIFS(Исход!$L:$L,Исход!$A:$A,H$1,Исход!$B:$B,$A7)</f>
        <v>0</v>
      </c>
      <c r="I7" s="130">
        <f>SUMIFS(Исход!$D:$D,Исход!$A:$A,I$1,Исход!$B:$B,$A7)+
SUMIFS(Исход!$G:$G,Исход!$A:$A,I$1,Исход!$B:$B,$A7)+
SUMIFS(Исход!$H:$H,Исход!$A:$A,I$1,Исход!$B:$B,$A7)+
SUMIFS(Исход!$I:$I,Исход!$A:$A,I$1,Исход!$B:$B,$A7)-
SUMIFS(Исход!$L:$L,Исход!$A:$A,I$1,Исход!$B:$B,$A7)</f>
        <v>0</v>
      </c>
      <c r="J7" s="130">
        <f>SUMIFS(Исход!$D:$D,Исход!$A:$A,J$1,Исход!$B:$B,$A7)+
SUMIFS(Исход!$G:$G,Исход!$A:$A,J$1,Исход!$B:$B,$A7)+
SUMIFS(Исход!$H:$H,Исход!$A:$A,J$1,Исход!$B:$B,$A7)+
SUMIFS(Исход!$I:$I,Исход!$A:$A,J$1,Исход!$B:$B,$A7)-
SUMIFS(Исход!$L:$L,Исход!$A:$A,J$1,Исход!$B:$B,$A7)</f>
        <v>0</v>
      </c>
      <c r="K7" s="130">
        <f>SUMIFS(Исход!$D:$D,Исход!$A:$A,K$1,Исход!$B:$B,$A7)+
SUMIFS(Исход!$G:$G,Исход!$A:$A,K$1,Исход!$B:$B,$A7)+
SUMIFS(Исход!$H:$H,Исход!$A:$A,K$1,Исход!$B:$B,$A7)+
SUMIFS(Исход!$I:$I,Исход!$A:$A,K$1,Исход!$B:$B,$A7)-
SUMIFS(Исход!$L:$L,Исход!$A:$A,K$1,Исход!$B:$B,$A7)</f>
        <v>0</v>
      </c>
      <c r="L7" s="130">
        <f>SUMIFS(Исход!$D:$D,Исход!$A:$A,L$1,Исход!$B:$B,$A7)+
SUMIFS(Исход!$G:$G,Исход!$A:$A,L$1,Исход!$B:$B,$A7)+
SUMIFS(Исход!$H:$H,Исход!$A:$A,L$1,Исход!$B:$B,$A7)+
SUMIFS(Исход!$I:$I,Исход!$A:$A,L$1,Исход!$B:$B,$A7)-
SUMIFS(Исход!$L:$L,Исход!$A:$A,L$1,Исход!$B:$B,$A7)</f>
        <v>0</v>
      </c>
      <c r="M7" s="130">
        <f>SUMIFS(Исход!$D:$D,Исход!$A:$A,M$1,Исход!$B:$B,$A7)+
SUMIFS(Исход!$G:$G,Исход!$A:$A,M$1,Исход!$B:$B,$A7)+
SUMIFS(Исход!$H:$H,Исход!$A:$A,M$1,Исход!$B:$B,$A7)+
SUMIFS(Исход!$I:$I,Исход!$A:$A,M$1,Исход!$B:$B,$A7)-
SUMIFS(Исход!$L:$L,Исход!$A:$A,M$1,Исход!$B:$B,$A7)</f>
        <v>0</v>
      </c>
      <c r="N7" s="130">
        <f>SUMIFS(Исход!$D:$D,Исход!$A:$A,N$1,Исход!$B:$B,$A7)+
SUMIFS(Исход!$G:$G,Исход!$A:$A,N$1,Исход!$B:$B,$A7)+
SUMIFS(Исход!$H:$H,Исход!$A:$A,N$1,Исход!$B:$B,$A7)+
SUMIFS(Исход!$I:$I,Исход!$A:$A,N$1,Исход!$B:$B,$A7)-
SUMIFS(Исход!$L:$L,Исход!$A:$A,N$1,Исход!$B:$B,$A7)</f>
        <v>0</v>
      </c>
      <c r="O7" s="130">
        <f>SUMIFS(Исход!$D:$D,Исход!$A:$A,O$1,Исход!$B:$B,$A7)+
SUMIFS(Исход!$G:$G,Исход!$A:$A,O$1,Исход!$B:$B,$A7)+
SUMIFS(Исход!$H:$H,Исход!$A:$A,O$1,Исход!$B:$B,$A7)+
SUMIFS(Исход!$I:$I,Исход!$A:$A,O$1,Исход!$B:$B,$A7)-
SUMIFS(Исход!$L:$L,Исход!$A:$A,O$1,Исход!$B:$B,$A7)</f>
        <v>0</v>
      </c>
      <c r="P7" s="130">
        <f>SUMIFS(Исход!$D:$D,Исход!$A:$A,P$1,Исход!$B:$B,$A7)+
SUMIFS(Исход!$G:$G,Исход!$A:$A,P$1,Исход!$B:$B,$A7)+
SUMIFS(Исход!$H:$H,Исход!$A:$A,P$1,Исход!$B:$B,$A7)+
SUMIFS(Исход!$I:$I,Исход!$A:$A,P$1,Исход!$B:$B,$A7)-
SUMIFS(Исход!$L:$L,Исход!$A:$A,P$1,Исход!$B:$B,$A7)</f>
        <v>0</v>
      </c>
      <c r="Q7" s="130">
        <f>SUMIFS(Исход!$D:$D,Исход!$A:$A,Q$1,Исход!$B:$B,$A7)+
SUMIFS(Исход!$G:$G,Исход!$A:$A,Q$1,Исход!$B:$B,$A7)+
SUMIFS(Исход!$H:$H,Исход!$A:$A,Q$1,Исход!$B:$B,$A7)+
SUMIFS(Исход!$I:$I,Исход!$A:$A,Q$1,Исход!$B:$B,$A7)-
SUMIFS(Исход!$L:$L,Исход!$A:$A,Q$1,Исход!$B:$B,$A7)</f>
        <v>0</v>
      </c>
      <c r="R7" s="130">
        <f>SUMIFS(Исход!$D:$D,Исход!$A:$A,R$1,Исход!$B:$B,$A7)+
SUMIFS(Исход!$G:$G,Исход!$A:$A,R$1,Исход!$B:$B,$A7)+
SUMIFS(Исход!$H:$H,Исход!$A:$A,R$1,Исход!$B:$B,$A7)+
SUMIFS(Исход!$I:$I,Исход!$A:$A,R$1,Исход!$B:$B,$A7)-
SUMIFS(Исход!$L:$L,Исход!$A:$A,R$1,Исход!$B:$B,$A7)</f>
        <v>0</v>
      </c>
      <c r="S7" s="130">
        <f>SUMIFS(Исход!$D:$D,Исход!$A:$A,S$1,Исход!$B:$B,$A7)+
SUMIFS(Исход!$G:$G,Исход!$A:$A,S$1,Исход!$B:$B,$A7)+
SUMIFS(Исход!$H:$H,Исход!$A:$A,S$1,Исход!$B:$B,$A7)+
SUMIFS(Исход!$I:$I,Исход!$A:$A,S$1,Исход!$B:$B,$A7)-
SUMIFS(Исход!$L:$L,Исход!$A:$A,S$1,Исход!$B:$B,$A7)</f>
        <v>0</v>
      </c>
      <c r="T7" s="130">
        <f>SUMIFS(Исход!$D:$D,Исход!$A:$A,T$1,Исход!$B:$B,$A7)+
SUMIFS(Исход!$G:$G,Исход!$A:$A,T$1,Исход!$B:$B,$A7)+
SUMIFS(Исход!$H:$H,Исход!$A:$A,T$1,Исход!$B:$B,$A7)+
SUMIFS(Исход!$I:$I,Исход!$A:$A,T$1,Исход!$B:$B,$A7)-
SUMIFS(Исход!$L:$L,Исход!$A:$A,T$1,Исход!$B:$B,$A7)</f>
        <v>0</v>
      </c>
      <c r="U7" s="130">
        <f>SUMIFS(Исход!$D:$D,Исход!$A:$A,U$1,Исход!$B:$B,$A7)+
SUMIFS(Исход!$G:$G,Исход!$A:$A,U$1,Исход!$B:$B,$A7)+
SUMIFS(Исход!$H:$H,Исход!$A:$A,U$1,Исход!$B:$B,$A7)+
SUMIFS(Исход!$I:$I,Исход!$A:$A,U$1,Исход!$B:$B,$A7)-
SUMIFS(Исход!$L:$L,Исход!$A:$A,U$1,Исход!$B:$B,$A7)</f>
        <v>0</v>
      </c>
      <c r="V7" s="130">
        <f>SUMIFS(Исход!$D:$D,Исход!$A:$A,V$1,Исход!$B:$B,$A7)+
SUMIFS(Исход!$G:$G,Исход!$A:$A,V$1,Исход!$B:$B,$A7)+
SUMIFS(Исход!$H:$H,Исход!$A:$A,V$1,Исход!$B:$B,$A7)+
SUMIFS(Исход!$I:$I,Исход!$A:$A,V$1,Исход!$B:$B,$A7)-
SUMIFS(Исход!$L:$L,Исход!$A:$A,V$1,Исход!$B:$B,$A7)</f>
        <v>0</v>
      </c>
      <c r="W7" s="130">
        <f>SUMIFS(Исход!$D:$D,Исход!$A:$A,W$1,Исход!$B:$B,$A7)+
SUMIFS(Исход!$G:$G,Исход!$A:$A,W$1,Исход!$B:$B,$A7)+
SUMIFS(Исход!$H:$H,Исход!$A:$A,W$1,Исход!$B:$B,$A7)+
SUMIFS(Исход!$I:$I,Исход!$A:$A,W$1,Исход!$B:$B,$A7)-
SUMIFS(Исход!$L:$L,Исход!$A:$A,W$1,Исход!$B:$B,$A7)</f>
        <v>0</v>
      </c>
      <c r="X7" s="130">
        <f>SUMIFS(Исход!$D:$D,Исход!$A:$A,X$1,Исход!$B:$B,$A7)+
SUMIFS(Исход!$G:$G,Исход!$A:$A,X$1,Исход!$B:$B,$A7)+
SUMIFS(Исход!$H:$H,Исход!$A:$A,X$1,Исход!$B:$B,$A7)+
SUMIFS(Исход!$I:$I,Исход!$A:$A,X$1,Исход!$B:$B,$A7)-
SUMIFS(Исход!$L:$L,Исход!$A:$A,X$1,Исход!$B:$B,$A7)</f>
        <v>0</v>
      </c>
      <c r="Y7" s="130">
        <f>SUMIFS(Исход!$D:$D,Исход!$A:$A,Y$1,Исход!$B:$B,$A7)+
SUMIFS(Исход!$G:$G,Исход!$A:$A,Y$1,Исход!$B:$B,$A7)+
SUMIFS(Исход!$H:$H,Исход!$A:$A,Y$1,Исход!$B:$B,$A7)+
SUMIFS(Исход!$I:$I,Исход!$A:$A,Y$1,Исход!$B:$B,$A7)-
SUMIFS(Исход!$L:$L,Исход!$A:$A,Y$1,Исход!$B:$B,$A7)</f>
        <v>0</v>
      </c>
      <c r="Z7" s="130">
        <f>SUMIFS(Исход!$D:$D,Исход!$A:$A,Z$1,Исход!$B:$B,$A7)+
SUMIFS(Исход!$G:$G,Исход!$A:$A,Z$1,Исход!$B:$B,$A7)+
SUMIFS(Исход!$H:$H,Исход!$A:$A,Z$1,Исход!$B:$B,$A7)+
SUMIFS(Исход!$I:$I,Исход!$A:$A,Z$1,Исход!$B:$B,$A7)-
SUMIFS(Исход!$L:$L,Исход!$A:$A,Z$1,Исход!$B:$B,$A7)</f>
        <v>0</v>
      </c>
      <c r="AA7" s="130">
        <f>SUMIFS(Исход!$D:$D,Исход!$A:$A,AA$1,Исход!$B:$B,$A7)+
SUMIFS(Исход!$G:$G,Исход!$A:$A,AA$1,Исход!$B:$B,$A7)+
SUMIFS(Исход!$H:$H,Исход!$A:$A,AA$1,Исход!$B:$B,$A7)+
SUMIFS(Исход!$I:$I,Исход!$A:$A,AA$1,Исход!$B:$B,$A7)-
SUMIFS(Исход!$L:$L,Исход!$A:$A,AA$1,Исход!$B:$B,$A7)</f>
        <v>0</v>
      </c>
      <c r="AB7" s="130">
        <f>SUMIFS(Исход!$D:$D,Исход!$A:$A,AB$1,Исход!$B:$B,$A7)+
SUMIFS(Исход!$G:$G,Исход!$A:$A,AB$1,Исход!$B:$B,$A7)+
SUMIFS(Исход!$H:$H,Исход!$A:$A,AB$1,Исход!$B:$B,$A7)+
SUMIFS(Исход!$I:$I,Исход!$A:$A,AB$1,Исход!$B:$B,$A7)-
SUMIFS(Исход!$L:$L,Исход!$A:$A,AB$1,Исход!$B:$B,$A7)</f>
        <v>0</v>
      </c>
      <c r="AC7" s="130">
        <f>SUMIFS(Исход!$D:$D,Исход!$A:$A,AC$1,Исход!$B:$B,$A7)+
SUMIFS(Исход!$G:$G,Исход!$A:$A,AC$1,Исход!$B:$B,$A7)+
SUMIFS(Исход!$H:$H,Исход!$A:$A,AC$1,Исход!$B:$B,$A7)+
SUMIFS(Исход!$I:$I,Исход!$A:$A,AC$1,Исход!$B:$B,$A7)-
SUMIFS(Исход!$L:$L,Исход!$A:$A,AC$1,Исход!$B:$B,$A7)</f>
        <v>0</v>
      </c>
      <c r="AD7" s="130">
        <f>SUMIFS(Исход!$D:$D,Исход!$A:$A,AD$1,Исход!$B:$B,$A7)+
SUMIFS(Исход!$G:$G,Исход!$A:$A,AD$1,Исход!$B:$B,$A7)+
SUMIFS(Исход!$H:$H,Исход!$A:$A,AD$1,Исход!$B:$B,$A7)+
SUMIFS(Исход!$I:$I,Исход!$A:$A,AD$1,Исход!$B:$B,$A7)-
SUMIFS(Исход!$L:$L,Исход!$A:$A,AD$1,Исход!$B:$B,$A7)</f>
        <v>0</v>
      </c>
      <c r="AE7" s="130">
        <f>SUMIFS(Исход!$D:$D,Исход!$A:$A,AE$1,Исход!$B:$B,$A7)+
SUMIFS(Исход!$G:$G,Исход!$A:$A,AE$1,Исход!$B:$B,$A7)+
SUMIFS(Исход!$H:$H,Исход!$A:$A,AE$1,Исход!$B:$B,$A7)+
SUMIFS(Исход!$I:$I,Исход!$A:$A,AE$1,Исход!$B:$B,$A7)-
SUMIFS(Исход!$L:$L,Исход!$A:$A,AE$1,Исход!$B:$B,$A7)</f>
        <v>0</v>
      </c>
      <c r="AF7" s="130">
        <f>SUMIFS(Исход!$D:$D,Исход!$A:$A,AF$1,Исход!$B:$B,$A7)+
SUMIFS(Исход!$G:$G,Исход!$A:$A,AF$1,Исход!$B:$B,$A7)+
SUMIFS(Исход!$H:$H,Исход!$A:$A,AF$1,Исход!$B:$B,$A7)+
SUMIFS(Исход!$I:$I,Исход!$A:$A,AF$1,Исход!$B:$B,$A7)-
SUMIFS(Исход!$L:$L,Исход!$A:$A,AF$1,Исход!$B:$B,$A7)</f>
        <v>0</v>
      </c>
      <c r="AG7" s="130">
        <f>SUMIFS(Исход!$D:$D,Исход!$A:$A,AG$1,Исход!$B:$B,$A7)+
SUMIFS(Исход!$G:$G,Исход!$A:$A,AG$1,Исход!$B:$B,$A7)+
SUMIFS(Исход!$H:$H,Исход!$A:$A,AG$1,Исход!$B:$B,$A7)+
SUMIFS(Исход!$I:$I,Исход!$A:$A,AG$1,Исход!$B:$B,$A7)-
SUMIFS(Исход!$L:$L,Исход!$A:$A,AG$1,Исход!$B:$B,$A7)</f>
        <v>0</v>
      </c>
    </row>
    <row r="8" spans="1:35" hidden="1" outlineLevel="1" x14ac:dyDescent="0.25">
      <c r="A8" s="102">
        <v>8.3333333333333329E-2</v>
      </c>
      <c r="B8" s="128">
        <v>0.10416666666666667</v>
      </c>
      <c r="C8" s="129">
        <f>SUMIFS(Исход!$D:$D,Исход!$A:$A,C$1,Исход!$B:$B,$A8)+
SUMIFS(Исход!$G:$G,Исход!$A:$A,C$1,Исход!$B:$B,$A8)+
SUMIFS(Исход!$H:$H,Исход!$A:$A,C$1,Исход!$B:$B,$A8)+
SUMIFS(Исход!$I:$I,Исход!$A:$A,C$1,Исход!$B:$B,$A8)-
SUMIFS(Исход!$L:$L,Исход!$A:$A,C$1,Исход!$B:$B,$A8)</f>
        <v>0</v>
      </c>
      <c r="D8" s="130">
        <f>SUMIFS(Исход!$D:$D,Исход!$A:$A,D$1,Исход!$B:$B,$A8)+
SUMIFS(Исход!$G:$G,Исход!$A:$A,D$1,Исход!$B:$B,$A8)+
SUMIFS(Исход!$H:$H,Исход!$A:$A,D$1,Исход!$B:$B,$A8)+
SUMIFS(Исход!$I:$I,Исход!$A:$A,D$1,Исход!$B:$B,$A8)-
SUMIFS(Исход!$L:$L,Исход!$A:$A,D$1,Исход!$B:$B,$A8)</f>
        <v>0</v>
      </c>
      <c r="E8" s="130">
        <f>SUMIFS(Исход!$D:$D,Исход!$A:$A,E$1,Исход!$B:$B,$A8)+
SUMIFS(Исход!$G:$G,Исход!$A:$A,E$1,Исход!$B:$B,$A8)+
SUMIFS(Исход!$H:$H,Исход!$A:$A,E$1,Исход!$B:$B,$A8)+
SUMIFS(Исход!$I:$I,Исход!$A:$A,E$1,Исход!$B:$B,$A8)-
SUMIFS(Исход!$L:$L,Исход!$A:$A,E$1,Исход!$B:$B,$A8)</f>
        <v>0</v>
      </c>
      <c r="F8" s="130">
        <f>SUMIFS(Исход!$D:$D,Исход!$A:$A,F$1,Исход!$B:$B,$A8)+
SUMIFS(Исход!$G:$G,Исход!$A:$A,F$1,Исход!$B:$B,$A8)+
SUMIFS(Исход!$H:$H,Исход!$A:$A,F$1,Исход!$B:$B,$A8)+
SUMIFS(Исход!$I:$I,Исход!$A:$A,F$1,Исход!$B:$B,$A8)-
SUMIFS(Исход!$L:$L,Исход!$A:$A,F$1,Исход!$B:$B,$A8)</f>
        <v>0</v>
      </c>
      <c r="G8" s="130">
        <f>SUMIFS(Исход!$D:$D,Исход!$A:$A,G$1,Исход!$B:$B,$A8)+
SUMIFS(Исход!$G:$G,Исход!$A:$A,G$1,Исход!$B:$B,$A8)+
SUMIFS(Исход!$H:$H,Исход!$A:$A,G$1,Исход!$B:$B,$A8)+
SUMIFS(Исход!$I:$I,Исход!$A:$A,G$1,Исход!$B:$B,$A8)-
SUMIFS(Исход!$L:$L,Исход!$A:$A,G$1,Исход!$B:$B,$A8)</f>
        <v>0</v>
      </c>
      <c r="H8" s="130">
        <f>SUMIFS(Исход!$D:$D,Исход!$A:$A,H$1,Исход!$B:$B,$A8)+
SUMIFS(Исход!$G:$G,Исход!$A:$A,H$1,Исход!$B:$B,$A8)+
SUMIFS(Исход!$H:$H,Исход!$A:$A,H$1,Исход!$B:$B,$A8)+
SUMIFS(Исход!$I:$I,Исход!$A:$A,H$1,Исход!$B:$B,$A8)-
SUMIFS(Исход!$L:$L,Исход!$A:$A,H$1,Исход!$B:$B,$A8)</f>
        <v>0</v>
      </c>
      <c r="I8" s="130">
        <f>SUMIFS(Исход!$D:$D,Исход!$A:$A,I$1,Исход!$B:$B,$A8)+
SUMIFS(Исход!$G:$G,Исход!$A:$A,I$1,Исход!$B:$B,$A8)+
SUMIFS(Исход!$H:$H,Исход!$A:$A,I$1,Исход!$B:$B,$A8)+
SUMIFS(Исход!$I:$I,Исход!$A:$A,I$1,Исход!$B:$B,$A8)-
SUMIFS(Исход!$L:$L,Исход!$A:$A,I$1,Исход!$B:$B,$A8)</f>
        <v>0</v>
      </c>
      <c r="J8" s="130">
        <f>SUMIFS(Исход!$D:$D,Исход!$A:$A,J$1,Исход!$B:$B,$A8)+
SUMIFS(Исход!$G:$G,Исход!$A:$A,J$1,Исход!$B:$B,$A8)+
SUMIFS(Исход!$H:$H,Исход!$A:$A,J$1,Исход!$B:$B,$A8)+
SUMIFS(Исход!$I:$I,Исход!$A:$A,J$1,Исход!$B:$B,$A8)-
SUMIFS(Исход!$L:$L,Исход!$A:$A,J$1,Исход!$B:$B,$A8)</f>
        <v>0</v>
      </c>
      <c r="K8" s="130">
        <f>SUMIFS(Исход!$D:$D,Исход!$A:$A,K$1,Исход!$B:$B,$A8)+
SUMIFS(Исход!$G:$G,Исход!$A:$A,K$1,Исход!$B:$B,$A8)+
SUMIFS(Исход!$H:$H,Исход!$A:$A,K$1,Исход!$B:$B,$A8)+
SUMIFS(Исход!$I:$I,Исход!$A:$A,K$1,Исход!$B:$B,$A8)-
SUMIFS(Исход!$L:$L,Исход!$A:$A,K$1,Исход!$B:$B,$A8)</f>
        <v>0</v>
      </c>
      <c r="L8" s="130">
        <f>SUMIFS(Исход!$D:$D,Исход!$A:$A,L$1,Исход!$B:$B,$A8)+
SUMIFS(Исход!$G:$G,Исход!$A:$A,L$1,Исход!$B:$B,$A8)+
SUMIFS(Исход!$H:$H,Исход!$A:$A,L$1,Исход!$B:$B,$A8)+
SUMIFS(Исход!$I:$I,Исход!$A:$A,L$1,Исход!$B:$B,$A8)-
SUMIFS(Исход!$L:$L,Исход!$A:$A,L$1,Исход!$B:$B,$A8)</f>
        <v>0</v>
      </c>
      <c r="M8" s="130">
        <f>SUMIFS(Исход!$D:$D,Исход!$A:$A,M$1,Исход!$B:$B,$A8)+
SUMIFS(Исход!$G:$G,Исход!$A:$A,M$1,Исход!$B:$B,$A8)+
SUMIFS(Исход!$H:$H,Исход!$A:$A,M$1,Исход!$B:$B,$A8)+
SUMIFS(Исход!$I:$I,Исход!$A:$A,M$1,Исход!$B:$B,$A8)-
SUMIFS(Исход!$L:$L,Исход!$A:$A,M$1,Исход!$B:$B,$A8)</f>
        <v>0</v>
      </c>
      <c r="N8" s="130">
        <f>SUMIFS(Исход!$D:$D,Исход!$A:$A,N$1,Исход!$B:$B,$A8)+
SUMIFS(Исход!$G:$G,Исход!$A:$A,N$1,Исход!$B:$B,$A8)+
SUMIFS(Исход!$H:$H,Исход!$A:$A,N$1,Исход!$B:$B,$A8)+
SUMIFS(Исход!$I:$I,Исход!$A:$A,N$1,Исход!$B:$B,$A8)-
SUMIFS(Исход!$L:$L,Исход!$A:$A,N$1,Исход!$B:$B,$A8)</f>
        <v>0</v>
      </c>
      <c r="O8" s="130">
        <f>SUMIFS(Исход!$D:$D,Исход!$A:$A,O$1,Исход!$B:$B,$A8)+
SUMIFS(Исход!$G:$G,Исход!$A:$A,O$1,Исход!$B:$B,$A8)+
SUMIFS(Исход!$H:$H,Исход!$A:$A,O$1,Исход!$B:$B,$A8)+
SUMIFS(Исход!$I:$I,Исход!$A:$A,O$1,Исход!$B:$B,$A8)-
SUMIFS(Исход!$L:$L,Исход!$A:$A,O$1,Исход!$B:$B,$A8)</f>
        <v>0</v>
      </c>
      <c r="P8" s="130">
        <f>SUMIFS(Исход!$D:$D,Исход!$A:$A,P$1,Исход!$B:$B,$A8)+
SUMIFS(Исход!$G:$G,Исход!$A:$A,P$1,Исход!$B:$B,$A8)+
SUMIFS(Исход!$H:$H,Исход!$A:$A,P$1,Исход!$B:$B,$A8)+
SUMIFS(Исход!$I:$I,Исход!$A:$A,P$1,Исход!$B:$B,$A8)-
SUMIFS(Исход!$L:$L,Исход!$A:$A,P$1,Исход!$B:$B,$A8)</f>
        <v>0</v>
      </c>
      <c r="Q8" s="130">
        <f>SUMIFS(Исход!$D:$D,Исход!$A:$A,Q$1,Исход!$B:$B,$A8)+
SUMIFS(Исход!$G:$G,Исход!$A:$A,Q$1,Исход!$B:$B,$A8)+
SUMIFS(Исход!$H:$H,Исход!$A:$A,Q$1,Исход!$B:$B,$A8)+
SUMIFS(Исход!$I:$I,Исход!$A:$A,Q$1,Исход!$B:$B,$A8)-
SUMIFS(Исход!$L:$L,Исход!$A:$A,Q$1,Исход!$B:$B,$A8)</f>
        <v>0</v>
      </c>
      <c r="R8" s="130">
        <f>SUMIFS(Исход!$D:$D,Исход!$A:$A,R$1,Исход!$B:$B,$A8)+
SUMIFS(Исход!$G:$G,Исход!$A:$A,R$1,Исход!$B:$B,$A8)+
SUMIFS(Исход!$H:$H,Исход!$A:$A,R$1,Исход!$B:$B,$A8)+
SUMIFS(Исход!$I:$I,Исход!$A:$A,R$1,Исход!$B:$B,$A8)-
SUMIFS(Исход!$L:$L,Исход!$A:$A,R$1,Исход!$B:$B,$A8)</f>
        <v>0</v>
      </c>
      <c r="S8" s="130">
        <f>SUMIFS(Исход!$D:$D,Исход!$A:$A,S$1,Исход!$B:$B,$A8)+
SUMIFS(Исход!$G:$G,Исход!$A:$A,S$1,Исход!$B:$B,$A8)+
SUMIFS(Исход!$H:$H,Исход!$A:$A,S$1,Исход!$B:$B,$A8)+
SUMIFS(Исход!$I:$I,Исход!$A:$A,S$1,Исход!$B:$B,$A8)-
SUMIFS(Исход!$L:$L,Исход!$A:$A,S$1,Исход!$B:$B,$A8)</f>
        <v>0</v>
      </c>
      <c r="T8" s="130">
        <f>SUMIFS(Исход!$D:$D,Исход!$A:$A,T$1,Исход!$B:$B,$A8)+
SUMIFS(Исход!$G:$G,Исход!$A:$A,T$1,Исход!$B:$B,$A8)+
SUMIFS(Исход!$H:$H,Исход!$A:$A,T$1,Исход!$B:$B,$A8)+
SUMIFS(Исход!$I:$I,Исход!$A:$A,T$1,Исход!$B:$B,$A8)-
SUMIFS(Исход!$L:$L,Исход!$A:$A,T$1,Исход!$B:$B,$A8)</f>
        <v>0</v>
      </c>
      <c r="U8" s="130">
        <f>SUMIFS(Исход!$D:$D,Исход!$A:$A,U$1,Исход!$B:$B,$A8)+
SUMIFS(Исход!$G:$G,Исход!$A:$A,U$1,Исход!$B:$B,$A8)+
SUMIFS(Исход!$H:$H,Исход!$A:$A,U$1,Исход!$B:$B,$A8)+
SUMIFS(Исход!$I:$I,Исход!$A:$A,U$1,Исход!$B:$B,$A8)-
SUMIFS(Исход!$L:$L,Исход!$A:$A,U$1,Исход!$B:$B,$A8)</f>
        <v>0</v>
      </c>
      <c r="V8" s="130">
        <f>SUMIFS(Исход!$D:$D,Исход!$A:$A,V$1,Исход!$B:$B,$A8)+
SUMIFS(Исход!$G:$G,Исход!$A:$A,V$1,Исход!$B:$B,$A8)+
SUMIFS(Исход!$H:$H,Исход!$A:$A,V$1,Исход!$B:$B,$A8)+
SUMIFS(Исход!$I:$I,Исход!$A:$A,V$1,Исход!$B:$B,$A8)-
SUMIFS(Исход!$L:$L,Исход!$A:$A,V$1,Исход!$B:$B,$A8)</f>
        <v>0</v>
      </c>
      <c r="W8" s="130">
        <f>SUMIFS(Исход!$D:$D,Исход!$A:$A,W$1,Исход!$B:$B,$A8)+
SUMIFS(Исход!$G:$G,Исход!$A:$A,W$1,Исход!$B:$B,$A8)+
SUMIFS(Исход!$H:$H,Исход!$A:$A,W$1,Исход!$B:$B,$A8)+
SUMIFS(Исход!$I:$I,Исход!$A:$A,W$1,Исход!$B:$B,$A8)-
SUMIFS(Исход!$L:$L,Исход!$A:$A,W$1,Исход!$B:$B,$A8)</f>
        <v>0</v>
      </c>
      <c r="X8" s="130">
        <f>SUMIFS(Исход!$D:$D,Исход!$A:$A,X$1,Исход!$B:$B,$A8)+
SUMIFS(Исход!$G:$G,Исход!$A:$A,X$1,Исход!$B:$B,$A8)+
SUMIFS(Исход!$H:$H,Исход!$A:$A,X$1,Исход!$B:$B,$A8)+
SUMIFS(Исход!$I:$I,Исход!$A:$A,X$1,Исход!$B:$B,$A8)-
SUMIFS(Исход!$L:$L,Исход!$A:$A,X$1,Исход!$B:$B,$A8)</f>
        <v>0</v>
      </c>
      <c r="Y8" s="130">
        <f>SUMIFS(Исход!$D:$D,Исход!$A:$A,Y$1,Исход!$B:$B,$A8)+
SUMIFS(Исход!$G:$G,Исход!$A:$A,Y$1,Исход!$B:$B,$A8)+
SUMIFS(Исход!$H:$H,Исход!$A:$A,Y$1,Исход!$B:$B,$A8)+
SUMIFS(Исход!$I:$I,Исход!$A:$A,Y$1,Исход!$B:$B,$A8)-
SUMIFS(Исход!$L:$L,Исход!$A:$A,Y$1,Исход!$B:$B,$A8)</f>
        <v>0</v>
      </c>
      <c r="Z8" s="130">
        <f>SUMIFS(Исход!$D:$D,Исход!$A:$A,Z$1,Исход!$B:$B,$A8)+
SUMIFS(Исход!$G:$G,Исход!$A:$A,Z$1,Исход!$B:$B,$A8)+
SUMIFS(Исход!$H:$H,Исход!$A:$A,Z$1,Исход!$B:$B,$A8)+
SUMIFS(Исход!$I:$I,Исход!$A:$A,Z$1,Исход!$B:$B,$A8)-
SUMIFS(Исход!$L:$L,Исход!$A:$A,Z$1,Исход!$B:$B,$A8)</f>
        <v>0</v>
      </c>
      <c r="AA8" s="130">
        <f>SUMIFS(Исход!$D:$D,Исход!$A:$A,AA$1,Исход!$B:$B,$A8)+
SUMIFS(Исход!$G:$G,Исход!$A:$A,AA$1,Исход!$B:$B,$A8)+
SUMIFS(Исход!$H:$H,Исход!$A:$A,AA$1,Исход!$B:$B,$A8)+
SUMIFS(Исход!$I:$I,Исход!$A:$A,AA$1,Исход!$B:$B,$A8)-
SUMIFS(Исход!$L:$L,Исход!$A:$A,AA$1,Исход!$B:$B,$A8)</f>
        <v>0</v>
      </c>
      <c r="AB8" s="130">
        <f>SUMIFS(Исход!$D:$D,Исход!$A:$A,AB$1,Исход!$B:$B,$A8)+
SUMIFS(Исход!$G:$G,Исход!$A:$A,AB$1,Исход!$B:$B,$A8)+
SUMIFS(Исход!$H:$H,Исход!$A:$A,AB$1,Исход!$B:$B,$A8)+
SUMIFS(Исход!$I:$I,Исход!$A:$A,AB$1,Исход!$B:$B,$A8)-
SUMIFS(Исход!$L:$L,Исход!$A:$A,AB$1,Исход!$B:$B,$A8)</f>
        <v>0</v>
      </c>
      <c r="AC8" s="130">
        <f>SUMIFS(Исход!$D:$D,Исход!$A:$A,AC$1,Исход!$B:$B,$A8)+
SUMIFS(Исход!$G:$G,Исход!$A:$A,AC$1,Исход!$B:$B,$A8)+
SUMIFS(Исход!$H:$H,Исход!$A:$A,AC$1,Исход!$B:$B,$A8)+
SUMIFS(Исход!$I:$I,Исход!$A:$A,AC$1,Исход!$B:$B,$A8)-
SUMIFS(Исход!$L:$L,Исход!$A:$A,AC$1,Исход!$B:$B,$A8)</f>
        <v>0</v>
      </c>
      <c r="AD8" s="130">
        <f>SUMIFS(Исход!$D:$D,Исход!$A:$A,AD$1,Исход!$B:$B,$A8)+
SUMIFS(Исход!$G:$G,Исход!$A:$A,AD$1,Исход!$B:$B,$A8)+
SUMIFS(Исход!$H:$H,Исход!$A:$A,AD$1,Исход!$B:$B,$A8)+
SUMIFS(Исход!$I:$I,Исход!$A:$A,AD$1,Исход!$B:$B,$A8)-
SUMIFS(Исход!$L:$L,Исход!$A:$A,AD$1,Исход!$B:$B,$A8)</f>
        <v>0</v>
      </c>
      <c r="AE8" s="130">
        <f>SUMIFS(Исход!$D:$D,Исход!$A:$A,AE$1,Исход!$B:$B,$A8)+
SUMIFS(Исход!$G:$G,Исход!$A:$A,AE$1,Исход!$B:$B,$A8)+
SUMIFS(Исход!$H:$H,Исход!$A:$A,AE$1,Исход!$B:$B,$A8)+
SUMIFS(Исход!$I:$I,Исход!$A:$A,AE$1,Исход!$B:$B,$A8)-
SUMIFS(Исход!$L:$L,Исход!$A:$A,AE$1,Исход!$B:$B,$A8)</f>
        <v>0</v>
      </c>
      <c r="AF8" s="130">
        <f>SUMIFS(Исход!$D:$D,Исход!$A:$A,AF$1,Исход!$B:$B,$A8)+
SUMIFS(Исход!$G:$G,Исход!$A:$A,AF$1,Исход!$B:$B,$A8)+
SUMIFS(Исход!$H:$H,Исход!$A:$A,AF$1,Исход!$B:$B,$A8)+
SUMIFS(Исход!$I:$I,Исход!$A:$A,AF$1,Исход!$B:$B,$A8)-
SUMIFS(Исход!$L:$L,Исход!$A:$A,AF$1,Исход!$B:$B,$A8)</f>
        <v>0</v>
      </c>
      <c r="AG8" s="130">
        <f>SUMIFS(Исход!$D:$D,Исход!$A:$A,AG$1,Исход!$B:$B,$A8)+
SUMIFS(Исход!$G:$G,Исход!$A:$A,AG$1,Исход!$B:$B,$A8)+
SUMIFS(Исход!$H:$H,Исход!$A:$A,AG$1,Исход!$B:$B,$A8)+
SUMIFS(Исход!$I:$I,Исход!$A:$A,AG$1,Исход!$B:$B,$A8)-
SUMIFS(Исход!$L:$L,Исход!$A:$A,AG$1,Исход!$B:$B,$A8)</f>
        <v>0</v>
      </c>
    </row>
    <row r="9" spans="1:35" hidden="1" outlineLevel="1" x14ac:dyDescent="0.25">
      <c r="A9" s="102">
        <v>0.10416666666666667</v>
      </c>
      <c r="B9" s="128">
        <v>0.125</v>
      </c>
      <c r="C9" s="129">
        <f>SUMIFS(Исход!$D:$D,Исход!$A:$A,C$1,Исход!$B:$B,$A9)+
SUMIFS(Исход!$G:$G,Исход!$A:$A,C$1,Исход!$B:$B,$A9)+
SUMIFS(Исход!$H:$H,Исход!$A:$A,C$1,Исход!$B:$B,$A9)+
SUMIFS(Исход!$I:$I,Исход!$A:$A,C$1,Исход!$B:$B,$A9)-
SUMIFS(Исход!$L:$L,Исход!$A:$A,C$1,Исход!$B:$B,$A9)</f>
        <v>0</v>
      </c>
      <c r="D9" s="130">
        <f>SUMIFS(Исход!$D:$D,Исход!$A:$A,D$1,Исход!$B:$B,$A9)+
SUMIFS(Исход!$G:$G,Исход!$A:$A,D$1,Исход!$B:$B,$A9)+
SUMIFS(Исход!$H:$H,Исход!$A:$A,D$1,Исход!$B:$B,$A9)+
SUMIFS(Исход!$I:$I,Исход!$A:$A,D$1,Исход!$B:$B,$A9)-
SUMIFS(Исход!$L:$L,Исход!$A:$A,D$1,Исход!$B:$B,$A9)</f>
        <v>0</v>
      </c>
      <c r="E9" s="130">
        <f>SUMIFS(Исход!$D:$D,Исход!$A:$A,E$1,Исход!$B:$B,$A9)+
SUMIFS(Исход!$G:$G,Исход!$A:$A,E$1,Исход!$B:$B,$A9)+
SUMIFS(Исход!$H:$H,Исход!$A:$A,E$1,Исход!$B:$B,$A9)+
SUMIFS(Исход!$I:$I,Исход!$A:$A,E$1,Исход!$B:$B,$A9)-
SUMIFS(Исход!$L:$L,Исход!$A:$A,E$1,Исход!$B:$B,$A9)</f>
        <v>0</v>
      </c>
      <c r="F9" s="130">
        <f>SUMIFS(Исход!$D:$D,Исход!$A:$A,F$1,Исход!$B:$B,$A9)+
SUMIFS(Исход!$G:$G,Исход!$A:$A,F$1,Исход!$B:$B,$A9)+
SUMIFS(Исход!$H:$H,Исход!$A:$A,F$1,Исход!$B:$B,$A9)+
SUMIFS(Исход!$I:$I,Исход!$A:$A,F$1,Исход!$B:$B,$A9)-
SUMIFS(Исход!$L:$L,Исход!$A:$A,F$1,Исход!$B:$B,$A9)</f>
        <v>0</v>
      </c>
      <c r="G9" s="130">
        <f>SUMIFS(Исход!$D:$D,Исход!$A:$A,G$1,Исход!$B:$B,$A9)+
SUMIFS(Исход!$G:$G,Исход!$A:$A,G$1,Исход!$B:$B,$A9)+
SUMIFS(Исход!$H:$H,Исход!$A:$A,G$1,Исход!$B:$B,$A9)+
SUMIFS(Исход!$I:$I,Исход!$A:$A,G$1,Исход!$B:$B,$A9)-
SUMIFS(Исход!$L:$L,Исход!$A:$A,G$1,Исход!$B:$B,$A9)</f>
        <v>0</v>
      </c>
      <c r="H9" s="130">
        <f>SUMIFS(Исход!$D:$D,Исход!$A:$A,H$1,Исход!$B:$B,$A9)+
SUMIFS(Исход!$G:$G,Исход!$A:$A,H$1,Исход!$B:$B,$A9)+
SUMIFS(Исход!$H:$H,Исход!$A:$A,H$1,Исход!$B:$B,$A9)+
SUMIFS(Исход!$I:$I,Исход!$A:$A,H$1,Исход!$B:$B,$A9)-
SUMIFS(Исход!$L:$L,Исход!$A:$A,H$1,Исход!$B:$B,$A9)</f>
        <v>0</v>
      </c>
      <c r="I9" s="130">
        <f>SUMIFS(Исход!$D:$D,Исход!$A:$A,I$1,Исход!$B:$B,$A9)+
SUMIFS(Исход!$G:$G,Исход!$A:$A,I$1,Исход!$B:$B,$A9)+
SUMIFS(Исход!$H:$H,Исход!$A:$A,I$1,Исход!$B:$B,$A9)+
SUMIFS(Исход!$I:$I,Исход!$A:$A,I$1,Исход!$B:$B,$A9)-
SUMIFS(Исход!$L:$L,Исход!$A:$A,I$1,Исход!$B:$B,$A9)</f>
        <v>0</v>
      </c>
      <c r="J9" s="130">
        <f>SUMIFS(Исход!$D:$D,Исход!$A:$A,J$1,Исход!$B:$B,$A9)+
SUMIFS(Исход!$G:$G,Исход!$A:$A,J$1,Исход!$B:$B,$A9)+
SUMIFS(Исход!$H:$H,Исход!$A:$A,J$1,Исход!$B:$B,$A9)+
SUMIFS(Исход!$I:$I,Исход!$A:$A,J$1,Исход!$B:$B,$A9)-
SUMIFS(Исход!$L:$L,Исход!$A:$A,J$1,Исход!$B:$B,$A9)</f>
        <v>0</v>
      </c>
      <c r="K9" s="130">
        <f>SUMIFS(Исход!$D:$D,Исход!$A:$A,K$1,Исход!$B:$B,$A9)+
SUMIFS(Исход!$G:$G,Исход!$A:$A,K$1,Исход!$B:$B,$A9)+
SUMIFS(Исход!$H:$H,Исход!$A:$A,K$1,Исход!$B:$B,$A9)+
SUMIFS(Исход!$I:$I,Исход!$A:$A,K$1,Исход!$B:$B,$A9)-
SUMIFS(Исход!$L:$L,Исход!$A:$A,K$1,Исход!$B:$B,$A9)</f>
        <v>0</v>
      </c>
      <c r="L9" s="130">
        <f>SUMIFS(Исход!$D:$D,Исход!$A:$A,L$1,Исход!$B:$B,$A9)+
SUMIFS(Исход!$G:$G,Исход!$A:$A,L$1,Исход!$B:$B,$A9)+
SUMIFS(Исход!$H:$H,Исход!$A:$A,L$1,Исход!$B:$B,$A9)+
SUMIFS(Исход!$I:$I,Исход!$A:$A,L$1,Исход!$B:$B,$A9)-
SUMIFS(Исход!$L:$L,Исход!$A:$A,L$1,Исход!$B:$B,$A9)</f>
        <v>0</v>
      </c>
      <c r="M9" s="130">
        <f>SUMIFS(Исход!$D:$D,Исход!$A:$A,M$1,Исход!$B:$B,$A9)+
SUMIFS(Исход!$G:$G,Исход!$A:$A,M$1,Исход!$B:$B,$A9)+
SUMIFS(Исход!$H:$H,Исход!$A:$A,M$1,Исход!$B:$B,$A9)+
SUMIFS(Исход!$I:$I,Исход!$A:$A,M$1,Исход!$B:$B,$A9)-
SUMIFS(Исход!$L:$L,Исход!$A:$A,M$1,Исход!$B:$B,$A9)</f>
        <v>0</v>
      </c>
      <c r="N9" s="130">
        <f>SUMIFS(Исход!$D:$D,Исход!$A:$A,N$1,Исход!$B:$B,$A9)+
SUMIFS(Исход!$G:$G,Исход!$A:$A,N$1,Исход!$B:$B,$A9)+
SUMIFS(Исход!$H:$H,Исход!$A:$A,N$1,Исход!$B:$B,$A9)+
SUMIFS(Исход!$I:$I,Исход!$A:$A,N$1,Исход!$B:$B,$A9)-
SUMIFS(Исход!$L:$L,Исход!$A:$A,N$1,Исход!$B:$B,$A9)</f>
        <v>0</v>
      </c>
      <c r="O9" s="130">
        <f>SUMIFS(Исход!$D:$D,Исход!$A:$A,O$1,Исход!$B:$B,$A9)+
SUMIFS(Исход!$G:$G,Исход!$A:$A,O$1,Исход!$B:$B,$A9)+
SUMIFS(Исход!$H:$H,Исход!$A:$A,O$1,Исход!$B:$B,$A9)+
SUMIFS(Исход!$I:$I,Исход!$A:$A,O$1,Исход!$B:$B,$A9)-
SUMIFS(Исход!$L:$L,Исход!$A:$A,O$1,Исход!$B:$B,$A9)</f>
        <v>0</v>
      </c>
      <c r="P9" s="130">
        <f>SUMIFS(Исход!$D:$D,Исход!$A:$A,P$1,Исход!$B:$B,$A9)+
SUMIFS(Исход!$G:$G,Исход!$A:$A,P$1,Исход!$B:$B,$A9)+
SUMIFS(Исход!$H:$H,Исход!$A:$A,P$1,Исход!$B:$B,$A9)+
SUMIFS(Исход!$I:$I,Исход!$A:$A,P$1,Исход!$B:$B,$A9)-
SUMIFS(Исход!$L:$L,Исход!$A:$A,P$1,Исход!$B:$B,$A9)</f>
        <v>0</v>
      </c>
      <c r="Q9" s="130">
        <f>SUMIFS(Исход!$D:$D,Исход!$A:$A,Q$1,Исход!$B:$B,$A9)+
SUMIFS(Исход!$G:$G,Исход!$A:$A,Q$1,Исход!$B:$B,$A9)+
SUMIFS(Исход!$H:$H,Исход!$A:$A,Q$1,Исход!$B:$B,$A9)+
SUMIFS(Исход!$I:$I,Исход!$A:$A,Q$1,Исход!$B:$B,$A9)-
SUMIFS(Исход!$L:$L,Исход!$A:$A,Q$1,Исход!$B:$B,$A9)</f>
        <v>0</v>
      </c>
      <c r="R9" s="130">
        <f>SUMIFS(Исход!$D:$D,Исход!$A:$A,R$1,Исход!$B:$B,$A9)+
SUMIFS(Исход!$G:$G,Исход!$A:$A,R$1,Исход!$B:$B,$A9)+
SUMIFS(Исход!$H:$H,Исход!$A:$A,R$1,Исход!$B:$B,$A9)+
SUMIFS(Исход!$I:$I,Исход!$A:$A,R$1,Исход!$B:$B,$A9)-
SUMIFS(Исход!$L:$L,Исход!$A:$A,R$1,Исход!$B:$B,$A9)</f>
        <v>0</v>
      </c>
      <c r="S9" s="130">
        <f>SUMIFS(Исход!$D:$D,Исход!$A:$A,S$1,Исход!$B:$B,$A9)+
SUMIFS(Исход!$G:$G,Исход!$A:$A,S$1,Исход!$B:$B,$A9)+
SUMIFS(Исход!$H:$H,Исход!$A:$A,S$1,Исход!$B:$B,$A9)+
SUMIFS(Исход!$I:$I,Исход!$A:$A,S$1,Исход!$B:$B,$A9)-
SUMIFS(Исход!$L:$L,Исход!$A:$A,S$1,Исход!$B:$B,$A9)</f>
        <v>0</v>
      </c>
      <c r="T9" s="130">
        <f>SUMIFS(Исход!$D:$D,Исход!$A:$A,T$1,Исход!$B:$B,$A9)+
SUMIFS(Исход!$G:$G,Исход!$A:$A,T$1,Исход!$B:$B,$A9)+
SUMIFS(Исход!$H:$H,Исход!$A:$A,T$1,Исход!$B:$B,$A9)+
SUMIFS(Исход!$I:$I,Исход!$A:$A,T$1,Исход!$B:$B,$A9)-
SUMIFS(Исход!$L:$L,Исход!$A:$A,T$1,Исход!$B:$B,$A9)</f>
        <v>0</v>
      </c>
      <c r="U9" s="130">
        <f>SUMIFS(Исход!$D:$D,Исход!$A:$A,U$1,Исход!$B:$B,$A9)+
SUMIFS(Исход!$G:$G,Исход!$A:$A,U$1,Исход!$B:$B,$A9)+
SUMIFS(Исход!$H:$H,Исход!$A:$A,U$1,Исход!$B:$B,$A9)+
SUMIFS(Исход!$I:$I,Исход!$A:$A,U$1,Исход!$B:$B,$A9)-
SUMIFS(Исход!$L:$L,Исход!$A:$A,U$1,Исход!$B:$B,$A9)</f>
        <v>0</v>
      </c>
      <c r="V9" s="130">
        <f>SUMIFS(Исход!$D:$D,Исход!$A:$A,V$1,Исход!$B:$B,$A9)+
SUMIFS(Исход!$G:$G,Исход!$A:$A,V$1,Исход!$B:$B,$A9)+
SUMIFS(Исход!$H:$H,Исход!$A:$A,V$1,Исход!$B:$B,$A9)+
SUMIFS(Исход!$I:$I,Исход!$A:$A,V$1,Исход!$B:$B,$A9)-
SUMIFS(Исход!$L:$L,Исход!$A:$A,V$1,Исход!$B:$B,$A9)</f>
        <v>0</v>
      </c>
      <c r="W9" s="130">
        <f>SUMIFS(Исход!$D:$D,Исход!$A:$A,W$1,Исход!$B:$B,$A9)+
SUMIFS(Исход!$G:$G,Исход!$A:$A,W$1,Исход!$B:$B,$A9)+
SUMIFS(Исход!$H:$H,Исход!$A:$A,W$1,Исход!$B:$B,$A9)+
SUMIFS(Исход!$I:$I,Исход!$A:$A,W$1,Исход!$B:$B,$A9)-
SUMIFS(Исход!$L:$L,Исход!$A:$A,W$1,Исход!$B:$B,$A9)</f>
        <v>0</v>
      </c>
      <c r="X9" s="130">
        <f>SUMIFS(Исход!$D:$D,Исход!$A:$A,X$1,Исход!$B:$B,$A9)+
SUMIFS(Исход!$G:$G,Исход!$A:$A,X$1,Исход!$B:$B,$A9)+
SUMIFS(Исход!$H:$H,Исход!$A:$A,X$1,Исход!$B:$B,$A9)+
SUMIFS(Исход!$I:$I,Исход!$A:$A,X$1,Исход!$B:$B,$A9)-
SUMIFS(Исход!$L:$L,Исход!$A:$A,X$1,Исход!$B:$B,$A9)</f>
        <v>0</v>
      </c>
      <c r="Y9" s="130">
        <f>SUMIFS(Исход!$D:$D,Исход!$A:$A,Y$1,Исход!$B:$B,$A9)+
SUMIFS(Исход!$G:$G,Исход!$A:$A,Y$1,Исход!$B:$B,$A9)+
SUMIFS(Исход!$H:$H,Исход!$A:$A,Y$1,Исход!$B:$B,$A9)+
SUMIFS(Исход!$I:$I,Исход!$A:$A,Y$1,Исход!$B:$B,$A9)-
SUMIFS(Исход!$L:$L,Исход!$A:$A,Y$1,Исход!$B:$B,$A9)</f>
        <v>0</v>
      </c>
      <c r="Z9" s="130">
        <f>SUMIFS(Исход!$D:$D,Исход!$A:$A,Z$1,Исход!$B:$B,$A9)+
SUMIFS(Исход!$G:$G,Исход!$A:$A,Z$1,Исход!$B:$B,$A9)+
SUMIFS(Исход!$H:$H,Исход!$A:$A,Z$1,Исход!$B:$B,$A9)+
SUMIFS(Исход!$I:$I,Исход!$A:$A,Z$1,Исход!$B:$B,$A9)-
SUMIFS(Исход!$L:$L,Исход!$A:$A,Z$1,Исход!$B:$B,$A9)</f>
        <v>0</v>
      </c>
      <c r="AA9" s="130">
        <f>SUMIFS(Исход!$D:$D,Исход!$A:$A,AA$1,Исход!$B:$B,$A9)+
SUMIFS(Исход!$G:$G,Исход!$A:$A,AA$1,Исход!$B:$B,$A9)+
SUMIFS(Исход!$H:$H,Исход!$A:$A,AA$1,Исход!$B:$B,$A9)+
SUMIFS(Исход!$I:$I,Исход!$A:$A,AA$1,Исход!$B:$B,$A9)-
SUMIFS(Исход!$L:$L,Исход!$A:$A,AA$1,Исход!$B:$B,$A9)</f>
        <v>0</v>
      </c>
      <c r="AB9" s="130">
        <f>SUMIFS(Исход!$D:$D,Исход!$A:$A,AB$1,Исход!$B:$B,$A9)+
SUMIFS(Исход!$G:$G,Исход!$A:$A,AB$1,Исход!$B:$B,$A9)+
SUMIFS(Исход!$H:$H,Исход!$A:$A,AB$1,Исход!$B:$B,$A9)+
SUMIFS(Исход!$I:$I,Исход!$A:$A,AB$1,Исход!$B:$B,$A9)-
SUMIFS(Исход!$L:$L,Исход!$A:$A,AB$1,Исход!$B:$B,$A9)</f>
        <v>0</v>
      </c>
      <c r="AC9" s="130">
        <f>SUMIFS(Исход!$D:$D,Исход!$A:$A,AC$1,Исход!$B:$B,$A9)+
SUMIFS(Исход!$G:$G,Исход!$A:$A,AC$1,Исход!$B:$B,$A9)+
SUMIFS(Исход!$H:$H,Исход!$A:$A,AC$1,Исход!$B:$B,$A9)+
SUMIFS(Исход!$I:$I,Исход!$A:$A,AC$1,Исход!$B:$B,$A9)-
SUMIFS(Исход!$L:$L,Исход!$A:$A,AC$1,Исход!$B:$B,$A9)</f>
        <v>0</v>
      </c>
      <c r="AD9" s="130">
        <f>SUMIFS(Исход!$D:$D,Исход!$A:$A,AD$1,Исход!$B:$B,$A9)+
SUMIFS(Исход!$G:$G,Исход!$A:$A,AD$1,Исход!$B:$B,$A9)+
SUMIFS(Исход!$H:$H,Исход!$A:$A,AD$1,Исход!$B:$B,$A9)+
SUMIFS(Исход!$I:$I,Исход!$A:$A,AD$1,Исход!$B:$B,$A9)-
SUMIFS(Исход!$L:$L,Исход!$A:$A,AD$1,Исход!$B:$B,$A9)</f>
        <v>0</v>
      </c>
      <c r="AE9" s="130">
        <f>SUMIFS(Исход!$D:$D,Исход!$A:$A,AE$1,Исход!$B:$B,$A9)+
SUMIFS(Исход!$G:$G,Исход!$A:$A,AE$1,Исход!$B:$B,$A9)+
SUMIFS(Исход!$H:$H,Исход!$A:$A,AE$1,Исход!$B:$B,$A9)+
SUMIFS(Исход!$I:$I,Исход!$A:$A,AE$1,Исход!$B:$B,$A9)-
SUMIFS(Исход!$L:$L,Исход!$A:$A,AE$1,Исход!$B:$B,$A9)</f>
        <v>0</v>
      </c>
      <c r="AF9" s="130">
        <f>SUMIFS(Исход!$D:$D,Исход!$A:$A,AF$1,Исход!$B:$B,$A9)+
SUMIFS(Исход!$G:$G,Исход!$A:$A,AF$1,Исход!$B:$B,$A9)+
SUMIFS(Исход!$H:$H,Исход!$A:$A,AF$1,Исход!$B:$B,$A9)+
SUMIFS(Исход!$I:$I,Исход!$A:$A,AF$1,Исход!$B:$B,$A9)-
SUMIFS(Исход!$L:$L,Исход!$A:$A,AF$1,Исход!$B:$B,$A9)</f>
        <v>0</v>
      </c>
      <c r="AG9" s="130">
        <f>SUMIFS(Исход!$D:$D,Исход!$A:$A,AG$1,Исход!$B:$B,$A9)+
SUMIFS(Исход!$G:$G,Исход!$A:$A,AG$1,Исход!$B:$B,$A9)+
SUMIFS(Исход!$H:$H,Исход!$A:$A,AG$1,Исход!$B:$B,$A9)+
SUMIFS(Исход!$I:$I,Исход!$A:$A,AG$1,Исход!$B:$B,$A9)-
SUMIFS(Исход!$L:$L,Исход!$A:$A,AG$1,Исход!$B:$B,$A9)</f>
        <v>0</v>
      </c>
    </row>
    <row r="10" spans="1:35" hidden="1" outlineLevel="1" x14ac:dyDescent="0.25">
      <c r="A10" s="102">
        <v>0.125</v>
      </c>
      <c r="B10" s="128">
        <v>0.14583333333333334</v>
      </c>
      <c r="C10" s="129">
        <f>SUMIFS(Исход!$D:$D,Исход!$A:$A,C$1,Исход!$B:$B,$A10)+
SUMIFS(Исход!$G:$G,Исход!$A:$A,C$1,Исход!$B:$B,$A10)+
SUMIFS(Исход!$H:$H,Исход!$A:$A,C$1,Исход!$B:$B,$A10)+
SUMIFS(Исход!$I:$I,Исход!$A:$A,C$1,Исход!$B:$B,$A10)-
SUMIFS(Исход!$L:$L,Исход!$A:$A,C$1,Исход!$B:$B,$A10)</f>
        <v>0</v>
      </c>
      <c r="D10" s="130">
        <f>SUMIFS(Исход!$D:$D,Исход!$A:$A,D$1,Исход!$B:$B,$A10)+
SUMIFS(Исход!$G:$G,Исход!$A:$A,D$1,Исход!$B:$B,$A10)+
SUMIFS(Исход!$H:$H,Исход!$A:$A,D$1,Исход!$B:$B,$A10)+
SUMIFS(Исход!$I:$I,Исход!$A:$A,D$1,Исход!$B:$B,$A10)-
SUMIFS(Исход!$L:$L,Исход!$A:$A,D$1,Исход!$B:$B,$A10)</f>
        <v>0</v>
      </c>
      <c r="E10" s="130">
        <f>SUMIFS(Исход!$D:$D,Исход!$A:$A,E$1,Исход!$B:$B,$A10)+
SUMIFS(Исход!$G:$G,Исход!$A:$A,E$1,Исход!$B:$B,$A10)+
SUMIFS(Исход!$H:$H,Исход!$A:$A,E$1,Исход!$B:$B,$A10)+
SUMIFS(Исход!$I:$I,Исход!$A:$A,E$1,Исход!$B:$B,$A10)-
SUMIFS(Исход!$L:$L,Исход!$A:$A,E$1,Исход!$B:$B,$A10)</f>
        <v>0</v>
      </c>
      <c r="F10" s="130">
        <f>SUMIFS(Исход!$D:$D,Исход!$A:$A,F$1,Исход!$B:$B,$A10)+
SUMIFS(Исход!$G:$G,Исход!$A:$A,F$1,Исход!$B:$B,$A10)+
SUMIFS(Исход!$H:$H,Исход!$A:$A,F$1,Исход!$B:$B,$A10)+
SUMIFS(Исход!$I:$I,Исход!$A:$A,F$1,Исход!$B:$B,$A10)-
SUMIFS(Исход!$L:$L,Исход!$A:$A,F$1,Исход!$B:$B,$A10)</f>
        <v>0</v>
      </c>
      <c r="G10" s="130">
        <f>SUMIFS(Исход!$D:$D,Исход!$A:$A,G$1,Исход!$B:$B,$A10)+
SUMIFS(Исход!$G:$G,Исход!$A:$A,G$1,Исход!$B:$B,$A10)+
SUMIFS(Исход!$H:$H,Исход!$A:$A,G$1,Исход!$B:$B,$A10)+
SUMIFS(Исход!$I:$I,Исход!$A:$A,G$1,Исход!$B:$B,$A10)-
SUMIFS(Исход!$L:$L,Исход!$A:$A,G$1,Исход!$B:$B,$A10)</f>
        <v>0</v>
      </c>
      <c r="H10" s="130">
        <f>SUMIFS(Исход!$D:$D,Исход!$A:$A,H$1,Исход!$B:$B,$A10)+
SUMIFS(Исход!$G:$G,Исход!$A:$A,H$1,Исход!$B:$B,$A10)+
SUMIFS(Исход!$H:$H,Исход!$A:$A,H$1,Исход!$B:$B,$A10)+
SUMIFS(Исход!$I:$I,Исход!$A:$A,H$1,Исход!$B:$B,$A10)-
SUMIFS(Исход!$L:$L,Исход!$A:$A,H$1,Исход!$B:$B,$A10)</f>
        <v>0</v>
      </c>
      <c r="I10" s="130">
        <f>SUMIFS(Исход!$D:$D,Исход!$A:$A,I$1,Исход!$B:$B,$A10)+
SUMIFS(Исход!$G:$G,Исход!$A:$A,I$1,Исход!$B:$B,$A10)+
SUMIFS(Исход!$H:$H,Исход!$A:$A,I$1,Исход!$B:$B,$A10)+
SUMIFS(Исход!$I:$I,Исход!$A:$A,I$1,Исход!$B:$B,$A10)-
SUMIFS(Исход!$L:$L,Исход!$A:$A,I$1,Исход!$B:$B,$A10)</f>
        <v>0</v>
      </c>
      <c r="J10" s="130">
        <f>SUMIFS(Исход!$D:$D,Исход!$A:$A,J$1,Исход!$B:$B,$A10)+
SUMIFS(Исход!$G:$G,Исход!$A:$A,J$1,Исход!$B:$B,$A10)+
SUMIFS(Исход!$H:$H,Исход!$A:$A,J$1,Исход!$B:$B,$A10)+
SUMIFS(Исход!$I:$I,Исход!$A:$A,J$1,Исход!$B:$B,$A10)-
SUMIFS(Исход!$L:$L,Исход!$A:$A,J$1,Исход!$B:$B,$A10)</f>
        <v>0</v>
      </c>
      <c r="K10" s="130">
        <f>SUMIFS(Исход!$D:$D,Исход!$A:$A,K$1,Исход!$B:$B,$A10)+
SUMIFS(Исход!$G:$G,Исход!$A:$A,K$1,Исход!$B:$B,$A10)+
SUMIFS(Исход!$H:$H,Исход!$A:$A,K$1,Исход!$B:$B,$A10)+
SUMIFS(Исход!$I:$I,Исход!$A:$A,K$1,Исход!$B:$B,$A10)-
SUMIFS(Исход!$L:$L,Исход!$A:$A,K$1,Исход!$B:$B,$A10)</f>
        <v>0</v>
      </c>
      <c r="L10" s="130">
        <f>SUMIFS(Исход!$D:$D,Исход!$A:$A,L$1,Исход!$B:$B,$A10)+
SUMIFS(Исход!$G:$G,Исход!$A:$A,L$1,Исход!$B:$B,$A10)+
SUMIFS(Исход!$H:$H,Исход!$A:$A,L$1,Исход!$B:$B,$A10)+
SUMIFS(Исход!$I:$I,Исход!$A:$A,L$1,Исход!$B:$B,$A10)-
SUMIFS(Исход!$L:$L,Исход!$A:$A,L$1,Исход!$B:$B,$A10)</f>
        <v>0</v>
      </c>
      <c r="M10" s="130">
        <f>SUMIFS(Исход!$D:$D,Исход!$A:$A,M$1,Исход!$B:$B,$A10)+
SUMIFS(Исход!$G:$G,Исход!$A:$A,M$1,Исход!$B:$B,$A10)+
SUMIFS(Исход!$H:$H,Исход!$A:$A,M$1,Исход!$B:$B,$A10)+
SUMIFS(Исход!$I:$I,Исход!$A:$A,M$1,Исход!$B:$B,$A10)-
SUMIFS(Исход!$L:$L,Исход!$A:$A,M$1,Исход!$B:$B,$A10)</f>
        <v>0</v>
      </c>
      <c r="N10" s="130">
        <f>SUMIFS(Исход!$D:$D,Исход!$A:$A,N$1,Исход!$B:$B,$A10)+
SUMIFS(Исход!$G:$G,Исход!$A:$A,N$1,Исход!$B:$B,$A10)+
SUMIFS(Исход!$H:$H,Исход!$A:$A,N$1,Исход!$B:$B,$A10)+
SUMIFS(Исход!$I:$I,Исход!$A:$A,N$1,Исход!$B:$B,$A10)-
SUMIFS(Исход!$L:$L,Исход!$A:$A,N$1,Исход!$B:$B,$A10)</f>
        <v>0</v>
      </c>
      <c r="O10" s="130">
        <f>SUMIFS(Исход!$D:$D,Исход!$A:$A,O$1,Исход!$B:$B,$A10)+
SUMIFS(Исход!$G:$G,Исход!$A:$A,O$1,Исход!$B:$B,$A10)+
SUMIFS(Исход!$H:$H,Исход!$A:$A,O$1,Исход!$B:$B,$A10)+
SUMIFS(Исход!$I:$I,Исход!$A:$A,O$1,Исход!$B:$B,$A10)-
SUMIFS(Исход!$L:$L,Исход!$A:$A,O$1,Исход!$B:$B,$A10)</f>
        <v>0</v>
      </c>
      <c r="P10" s="130">
        <f>SUMIFS(Исход!$D:$D,Исход!$A:$A,P$1,Исход!$B:$B,$A10)+
SUMIFS(Исход!$G:$G,Исход!$A:$A,P$1,Исход!$B:$B,$A10)+
SUMIFS(Исход!$H:$H,Исход!$A:$A,P$1,Исход!$B:$B,$A10)+
SUMIFS(Исход!$I:$I,Исход!$A:$A,P$1,Исход!$B:$B,$A10)-
SUMIFS(Исход!$L:$L,Исход!$A:$A,P$1,Исход!$B:$B,$A10)</f>
        <v>0</v>
      </c>
      <c r="Q10" s="130">
        <f>SUMIFS(Исход!$D:$D,Исход!$A:$A,Q$1,Исход!$B:$B,$A10)+
SUMIFS(Исход!$G:$G,Исход!$A:$A,Q$1,Исход!$B:$B,$A10)+
SUMIFS(Исход!$H:$H,Исход!$A:$A,Q$1,Исход!$B:$B,$A10)+
SUMIFS(Исход!$I:$I,Исход!$A:$A,Q$1,Исход!$B:$B,$A10)-
SUMIFS(Исход!$L:$L,Исход!$A:$A,Q$1,Исход!$B:$B,$A10)</f>
        <v>0</v>
      </c>
      <c r="R10" s="130">
        <f>SUMIFS(Исход!$D:$D,Исход!$A:$A,R$1,Исход!$B:$B,$A10)+
SUMIFS(Исход!$G:$G,Исход!$A:$A,R$1,Исход!$B:$B,$A10)+
SUMIFS(Исход!$H:$H,Исход!$A:$A,R$1,Исход!$B:$B,$A10)+
SUMIFS(Исход!$I:$I,Исход!$A:$A,R$1,Исход!$B:$B,$A10)-
SUMIFS(Исход!$L:$L,Исход!$A:$A,R$1,Исход!$B:$B,$A10)</f>
        <v>0</v>
      </c>
      <c r="S10" s="130">
        <f>SUMIFS(Исход!$D:$D,Исход!$A:$A,S$1,Исход!$B:$B,$A10)+
SUMIFS(Исход!$G:$G,Исход!$A:$A,S$1,Исход!$B:$B,$A10)+
SUMIFS(Исход!$H:$H,Исход!$A:$A,S$1,Исход!$B:$B,$A10)+
SUMIFS(Исход!$I:$I,Исход!$A:$A,S$1,Исход!$B:$B,$A10)-
SUMIFS(Исход!$L:$L,Исход!$A:$A,S$1,Исход!$B:$B,$A10)</f>
        <v>0</v>
      </c>
      <c r="T10" s="130">
        <f>SUMIFS(Исход!$D:$D,Исход!$A:$A,T$1,Исход!$B:$B,$A10)+
SUMIFS(Исход!$G:$G,Исход!$A:$A,T$1,Исход!$B:$B,$A10)+
SUMIFS(Исход!$H:$H,Исход!$A:$A,T$1,Исход!$B:$B,$A10)+
SUMIFS(Исход!$I:$I,Исход!$A:$A,T$1,Исход!$B:$B,$A10)-
SUMIFS(Исход!$L:$L,Исход!$A:$A,T$1,Исход!$B:$B,$A10)</f>
        <v>0</v>
      </c>
      <c r="U10" s="130">
        <f>SUMIFS(Исход!$D:$D,Исход!$A:$A,U$1,Исход!$B:$B,$A10)+
SUMIFS(Исход!$G:$G,Исход!$A:$A,U$1,Исход!$B:$B,$A10)+
SUMIFS(Исход!$H:$H,Исход!$A:$A,U$1,Исход!$B:$B,$A10)+
SUMIFS(Исход!$I:$I,Исход!$A:$A,U$1,Исход!$B:$B,$A10)-
SUMIFS(Исход!$L:$L,Исход!$A:$A,U$1,Исход!$B:$B,$A10)</f>
        <v>0</v>
      </c>
      <c r="V10" s="130">
        <f>SUMIFS(Исход!$D:$D,Исход!$A:$A,V$1,Исход!$B:$B,$A10)+
SUMIFS(Исход!$G:$G,Исход!$A:$A,V$1,Исход!$B:$B,$A10)+
SUMIFS(Исход!$H:$H,Исход!$A:$A,V$1,Исход!$B:$B,$A10)+
SUMIFS(Исход!$I:$I,Исход!$A:$A,V$1,Исход!$B:$B,$A10)-
SUMIFS(Исход!$L:$L,Исход!$A:$A,V$1,Исход!$B:$B,$A10)</f>
        <v>0</v>
      </c>
      <c r="W10" s="130">
        <f>SUMIFS(Исход!$D:$D,Исход!$A:$A,W$1,Исход!$B:$B,$A10)+
SUMIFS(Исход!$G:$G,Исход!$A:$A,W$1,Исход!$B:$B,$A10)+
SUMIFS(Исход!$H:$H,Исход!$A:$A,W$1,Исход!$B:$B,$A10)+
SUMIFS(Исход!$I:$I,Исход!$A:$A,W$1,Исход!$B:$B,$A10)-
SUMIFS(Исход!$L:$L,Исход!$A:$A,W$1,Исход!$B:$B,$A10)</f>
        <v>0</v>
      </c>
      <c r="X10" s="130">
        <f>SUMIFS(Исход!$D:$D,Исход!$A:$A,X$1,Исход!$B:$B,$A10)+
SUMIFS(Исход!$G:$G,Исход!$A:$A,X$1,Исход!$B:$B,$A10)+
SUMIFS(Исход!$H:$H,Исход!$A:$A,X$1,Исход!$B:$B,$A10)+
SUMIFS(Исход!$I:$I,Исход!$A:$A,X$1,Исход!$B:$B,$A10)-
SUMIFS(Исход!$L:$L,Исход!$A:$A,X$1,Исход!$B:$B,$A10)</f>
        <v>0</v>
      </c>
      <c r="Y10" s="130">
        <f>SUMIFS(Исход!$D:$D,Исход!$A:$A,Y$1,Исход!$B:$B,$A10)+
SUMIFS(Исход!$G:$G,Исход!$A:$A,Y$1,Исход!$B:$B,$A10)+
SUMIFS(Исход!$H:$H,Исход!$A:$A,Y$1,Исход!$B:$B,$A10)+
SUMIFS(Исход!$I:$I,Исход!$A:$A,Y$1,Исход!$B:$B,$A10)-
SUMIFS(Исход!$L:$L,Исход!$A:$A,Y$1,Исход!$B:$B,$A10)</f>
        <v>0</v>
      </c>
      <c r="Z10" s="130">
        <f>SUMIFS(Исход!$D:$D,Исход!$A:$A,Z$1,Исход!$B:$B,$A10)+
SUMIFS(Исход!$G:$G,Исход!$A:$A,Z$1,Исход!$B:$B,$A10)+
SUMIFS(Исход!$H:$H,Исход!$A:$A,Z$1,Исход!$B:$B,$A10)+
SUMIFS(Исход!$I:$I,Исход!$A:$A,Z$1,Исход!$B:$B,$A10)-
SUMIFS(Исход!$L:$L,Исход!$A:$A,Z$1,Исход!$B:$B,$A10)</f>
        <v>0</v>
      </c>
      <c r="AA10" s="130">
        <f>SUMIFS(Исход!$D:$D,Исход!$A:$A,AA$1,Исход!$B:$B,$A10)+
SUMIFS(Исход!$G:$G,Исход!$A:$A,AA$1,Исход!$B:$B,$A10)+
SUMIFS(Исход!$H:$H,Исход!$A:$A,AA$1,Исход!$B:$B,$A10)+
SUMIFS(Исход!$I:$I,Исход!$A:$A,AA$1,Исход!$B:$B,$A10)-
SUMIFS(Исход!$L:$L,Исход!$A:$A,AA$1,Исход!$B:$B,$A10)</f>
        <v>0</v>
      </c>
      <c r="AB10" s="130">
        <f>SUMIFS(Исход!$D:$D,Исход!$A:$A,AB$1,Исход!$B:$B,$A10)+
SUMIFS(Исход!$G:$G,Исход!$A:$A,AB$1,Исход!$B:$B,$A10)+
SUMIFS(Исход!$H:$H,Исход!$A:$A,AB$1,Исход!$B:$B,$A10)+
SUMIFS(Исход!$I:$I,Исход!$A:$A,AB$1,Исход!$B:$B,$A10)-
SUMIFS(Исход!$L:$L,Исход!$A:$A,AB$1,Исход!$B:$B,$A10)</f>
        <v>0</v>
      </c>
      <c r="AC10" s="130">
        <f>SUMIFS(Исход!$D:$D,Исход!$A:$A,AC$1,Исход!$B:$B,$A10)+
SUMIFS(Исход!$G:$G,Исход!$A:$A,AC$1,Исход!$B:$B,$A10)+
SUMIFS(Исход!$H:$H,Исход!$A:$A,AC$1,Исход!$B:$B,$A10)+
SUMIFS(Исход!$I:$I,Исход!$A:$A,AC$1,Исход!$B:$B,$A10)-
SUMIFS(Исход!$L:$L,Исход!$A:$A,AC$1,Исход!$B:$B,$A10)</f>
        <v>0</v>
      </c>
      <c r="AD10" s="130">
        <f>SUMIFS(Исход!$D:$D,Исход!$A:$A,AD$1,Исход!$B:$B,$A10)+
SUMIFS(Исход!$G:$G,Исход!$A:$A,AD$1,Исход!$B:$B,$A10)+
SUMIFS(Исход!$H:$H,Исход!$A:$A,AD$1,Исход!$B:$B,$A10)+
SUMIFS(Исход!$I:$I,Исход!$A:$A,AD$1,Исход!$B:$B,$A10)-
SUMIFS(Исход!$L:$L,Исход!$A:$A,AD$1,Исход!$B:$B,$A10)</f>
        <v>0</v>
      </c>
      <c r="AE10" s="130">
        <f>SUMIFS(Исход!$D:$D,Исход!$A:$A,AE$1,Исход!$B:$B,$A10)+
SUMIFS(Исход!$G:$G,Исход!$A:$A,AE$1,Исход!$B:$B,$A10)+
SUMIFS(Исход!$H:$H,Исход!$A:$A,AE$1,Исход!$B:$B,$A10)+
SUMIFS(Исход!$I:$I,Исход!$A:$A,AE$1,Исход!$B:$B,$A10)-
SUMIFS(Исход!$L:$L,Исход!$A:$A,AE$1,Исход!$B:$B,$A10)</f>
        <v>0</v>
      </c>
      <c r="AF10" s="130">
        <f>SUMIFS(Исход!$D:$D,Исход!$A:$A,AF$1,Исход!$B:$B,$A10)+
SUMIFS(Исход!$G:$G,Исход!$A:$A,AF$1,Исход!$B:$B,$A10)+
SUMIFS(Исход!$H:$H,Исход!$A:$A,AF$1,Исход!$B:$B,$A10)+
SUMIFS(Исход!$I:$I,Исход!$A:$A,AF$1,Исход!$B:$B,$A10)-
SUMIFS(Исход!$L:$L,Исход!$A:$A,AF$1,Исход!$B:$B,$A10)</f>
        <v>0</v>
      </c>
      <c r="AG10" s="130">
        <f>SUMIFS(Исход!$D:$D,Исход!$A:$A,AG$1,Исход!$B:$B,$A10)+
SUMIFS(Исход!$G:$G,Исход!$A:$A,AG$1,Исход!$B:$B,$A10)+
SUMIFS(Исход!$H:$H,Исход!$A:$A,AG$1,Исход!$B:$B,$A10)+
SUMIFS(Исход!$I:$I,Исход!$A:$A,AG$1,Исход!$B:$B,$A10)-
SUMIFS(Исход!$L:$L,Исход!$A:$A,AG$1,Исход!$B:$B,$A10)</f>
        <v>0</v>
      </c>
    </row>
    <row r="11" spans="1:35" hidden="1" outlineLevel="1" x14ac:dyDescent="0.25">
      <c r="A11" s="102">
        <v>0.14583333333333334</v>
      </c>
      <c r="B11" s="128">
        <v>0.16666666666666666</v>
      </c>
      <c r="C11" s="129">
        <f>SUMIFS(Исход!$D:$D,Исход!$A:$A,C$1,Исход!$B:$B,$A11)+
SUMIFS(Исход!$G:$G,Исход!$A:$A,C$1,Исход!$B:$B,$A11)+
SUMIFS(Исход!$H:$H,Исход!$A:$A,C$1,Исход!$B:$B,$A11)+
SUMIFS(Исход!$I:$I,Исход!$A:$A,C$1,Исход!$B:$B,$A11)-
SUMIFS(Исход!$L:$L,Исход!$A:$A,C$1,Исход!$B:$B,$A11)</f>
        <v>0</v>
      </c>
      <c r="D11" s="130">
        <f>SUMIFS(Исход!$D:$D,Исход!$A:$A,D$1,Исход!$B:$B,$A11)+
SUMIFS(Исход!$G:$G,Исход!$A:$A,D$1,Исход!$B:$B,$A11)+
SUMIFS(Исход!$H:$H,Исход!$A:$A,D$1,Исход!$B:$B,$A11)+
SUMIFS(Исход!$I:$I,Исход!$A:$A,D$1,Исход!$B:$B,$A11)-
SUMIFS(Исход!$L:$L,Исход!$A:$A,D$1,Исход!$B:$B,$A11)</f>
        <v>0</v>
      </c>
      <c r="E11" s="130">
        <f>SUMIFS(Исход!$D:$D,Исход!$A:$A,E$1,Исход!$B:$B,$A11)+
SUMIFS(Исход!$G:$G,Исход!$A:$A,E$1,Исход!$B:$B,$A11)+
SUMIFS(Исход!$H:$H,Исход!$A:$A,E$1,Исход!$B:$B,$A11)+
SUMIFS(Исход!$I:$I,Исход!$A:$A,E$1,Исход!$B:$B,$A11)-
SUMIFS(Исход!$L:$L,Исход!$A:$A,E$1,Исход!$B:$B,$A11)</f>
        <v>0</v>
      </c>
      <c r="F11" s="130">
        <f>SUMIFS(Исход!$D:$D,Исход!$A:$A,F$1,Исход!$B:$B,$A11)+
SUMIFS(Исход!$G:$G,Исход!$A:$A,F$1,Исход!$B:$B,$A11)+
SUMIFS(Исход!$H:$H,Исход!$A:$A,F$1,Исход!$B:$B,$A11)+
SUMIFS(Исход!$I:$I,Исход!$A:$A,F$1,Исход!$B:$B,$A11)-
SUMIFS(Исход!$L:$L,Исход!$A:$A,F$1,Исход!$B:$B,$A11)</f>
        <v>0</v>
      </c>
      <c r="G11" s="130">
        <f>SUMIFS(Исход!$D:$D,Исход!$A:$A,G$1,Исход!$B:$B,$A11)+
SUMIFS(Исход!$G:$G,Исход!$A:$A,G$1,Исход!$B:$B,$A11)+
SUMIFS(Исход!$H:$H,Исход!$A:$A,G$1,Исход!$B:$B,$A11)+
SUMIFS(Исход!$I:$I,Исход!$A:$A,G$1,Исход!$B:$B,$A11)-
SUMIFS(Исход!$L:$L,Исход!$A:$A,G$1,Исход!$B:$B,$A11)</f>
        <v>0</v>
      </c>
      <c r="H11" s="130">
        <f>SUMIFS(Исход!$D:$D,Исход!$A:$A,H$1,Исход!$B:$B,$A11)+
SUMIFS(Исход!$G:$G,Исход!$A:$A,H$1,Исход!$B:$B,$A11)+
SUMIFS(Исход!$H:$H,Исход!$A:$A,H$1,Исход!$B:$B,$A11)+
SUMIFS(Исход!$I:$I,Исход!$A:$A,H$1,Исход!$B:$B,$A11)-
SUMIFS(Исход!$L:$L,Исход!$A:$A,H$1,Исход!$B:$B,$A11)</f>
        <v>0</v>
      </c>
      <c r="I11" s="130">
        <f>SUMIFS(Исход!$D:$D,Исход!$A:$A,I$1,Исход!$B:$B,$A11)+
SUMIFS(Исход!$G:$G,Исход!$A:$A,I$1,Исход!$B:$B,$A11)+
SUMIFS(Исход!$H:$H,Исход!$A:$A,I$1,Исход!$B:$B,$A11)+
SUMIFS(Исход!$I:$I,Исход!$A:$A,I$1,Исход!$B:$B,$A11)-
SUMIFS(Исход!$L:$L,Исход!$A:$A,I$1,Исход!$B:$B,$A11)</f>
        <v>0</v>
      </c>
      <c r="J11" s="130">
        <f>SUMIFS(Исход!$D:$D,Исход!$A:$A,J$1,Исход!$B:$B,$A11)+
SUMIFS(Исход!$G:$G,Исход!$A:$A,J$1,Исход!$B:$B,$A11)+
SUMIFS(Исход!$H:$H,Исход!$A:$A,J$1,Исход!$B:$B,$A11)+
SUMIFS(Исход!$I:$I,Исход!$A:$A,J$1,Исход!$B:$B,$A11)-
SUMIFS(Исход!$L:$L,Исход!$A:$A,J$1,Исход!$B:$B,$A11)</f>
        <v>0</v>
      </c>
      <c r="K11" s="130">
        <f>SUMIFS(Исход!$D:$D,Исход!$A:$A,K$1,Исход!$B:$B,$A11)+
SUMIFS(Исход!$G:$G,Исход!$A:$A,K$1,Исход!$B:$B,$A11)+
SUMIFS(Исход!$H:$H,Исход!$A:$A,K$1,Исход!$B:$B,$A11)+
SUMIFS(Исход!$I:$I,Исход!$A:$A,K$1,Исход!$B:$B,$A11)-
SUMIFS(Исход!$L:$L,Исход!$A:$A,K$1,Исход!$B:$B,$A11)</f>
        <v>0</v>
      </c>
      <c r="L11" s="130">
        <f>SUMIFS(Исход!$D:$D,Исход!$A:$A,L$1,Исход!$B:$B,$A11)+
SUMIFS(Исход!$G:$G,Исход!$A:$A,L$1,Исход!$B:$B,$A11)+
SUMIFS(Исход!$H:$H,Исход!$A:$A,L$1,Исход!$B:$B,$A11)+
SUMIFS(Исход!$I:$I,Исход!$A:$A,L$1,Исход!$B:$B,$A11)-
SUMIFS(Исход!$L:$L,Исход!$A:$A,L$1,Исход!$B:$B,$A11)</f>
        <v>0</v>
      </c>
      <c r="M11" s="130">
        <f>SUMIFS(Исход!$D:$D,Исход!$A:$A,M$1,Исход!$B:$B,$A11)+
SUMIFS(Исход!$G:$G,Исход!$A:$A,M$1,Исход!$B:$B,$A11)+
SUMIFS(Исход!$H:$H,Исход!$A:$A,M$1,Исход!$B:$B,$A11)+
SUMIFS(Исход!$I:$I,Исход!$A:$A,M$1,Исход!$B:$B,$A11)-
SUMIFS(Исход!$L:$L,Исход!$A:$A,M$1,Исход!$B:$B,$A11)</f>
        <v>0</v>
      </c>
      <c r="N11" s="130">
        <f>SUMIFS(Исход!$D:$D,Исход!$A:$A,N$1,Исход!$B:$B,$A11)+
SUMIFS(Исход!$G:$G,Исход!$A:$A,N$1,Исход!$B:$B,$A11)+
SUMIFS(Исход!$H:$H,Исход!$A:$A,N$1,Исход!$B:$B,$A11)+
SUMIFS(Исход!$I:$I,Исход!$A:$A,N$1,Исход!$B:$B,$A11)-
SUMIFS(Исход!$L:$L,Исход!$A:$A,N$1,Исход!$B:$B,$A11)</f>
        <v>0</v>
      </c>
      <c r="O11" s="130">
        <f>SUMIFS(Исход!$D:$D,Исход!$A:$A,O$1,Исход!$B:$B,$A11)+
SUMIFS(Исход!$G:$G,Исход!$A:$A,O$1,Исход!$B:$B,$A11)+
SUMIFS(Исход!$H:$H,Исход!$A:$A,O$1,Исход!$B:$B,$A11)+
SUMIFS(Исход!$I:$I,Исход!$A:$A,O$1,Исход!$B:$B,$A11)-
SUMIFS(Исход!$L:$L,Исход!$A:$A,O$1,Исход!$B:$B,$A11)</f>
        <v>0</v>
      </c>
      <c r="P11" s="130">
        <f>SUMIFS(Исход!$D:$D,Исход!$A:$A,P$1,Исход!$B:$B,$A11)+
SUMIFS(Исход!$G:$G,Исход!$A:$A,P$1,Исход!$B:$B,$A11)+
SUMIFS(Исход!$H:$H,Исход!$A:$A,P$1,Исход!$B:$B,$A11)+
SUMIFS(Исход!$I:$I,Исход!$A:$A,P$1,Исход!$B:$B,$A11)-
SUMIFS(Исход!$L:$L,Исход!$A:$A,P$1,Исход!$B:$B,$A11)</f>
        <v>0</v>
      </c>
      <c r="Q11" s="130">
        <f>SUMIFS(Исход!$D:$D,Исход!$A:$A,Q$1,Исход!$B:$B,$A11)+
SUMIFS(Исход!$G:$G,Исход!$A:$A,Q$1,Исход!$B:$B,$A11)+
SUMIFS(Исход!$H:$H,Исход!$A:$A,Q$1,Исход!$B:$B,$A11)+
SUMIFS(Исход!$I:$I,Исход!$A:$A,Q$1,Исход!$B:$B,$A11)-
SUMIFS(Исход!$L:$L,Исход!$A:$A,Q$1,Исход!$B:$B,$A11)</f>
        <v>0</v>
      </c>
      <c r="R11" s="130">
        <f>SUMIFS(Исход!$D:$D,Исход!$A:$A,R$1,Исход!$B:$B,$A11)+
SUMIFS(Исход!$G:$G,Исход!$A:$A,R$1,Исход!$B:$B,$A11)+
SUMIFS(Исход!$H:$H,Исход!$A:$A,R$1,Исход!$B:$B,$A11)+
SUMIFS(Исход!$I:$I,Исход!$A:$A,R$1,Исход!$B:$B,$A11)-
SUMIFS(Исход!$L:$L,Исход!$A:$A,R$1,Исход!$B:$B,$A11)</f>
        <v>0</v>
      </c>
      <c r="S11" s="130">
        <f>SUMIFS(Исход!$D:$D,Исход!$A:$A,S$1,Исход!$B:$B,$A11)+
SUMIFS(Исход!$G:$G,Исход!$A:$A,S$1,Исход!$B:$B,$A11)+
SUMIFS(Исход!$H:$H,Исход!$A:$A,S$1,Исход!$B:$B,$A11)+
SUMIFS(Исход!$I:$I,Исход!$A:$A,S$1,Исход!$B:$B,$A11)-
SUMIFS(Исход!$L:$L,Исход!$A:$A,S$1,Исход!$B:$B,$A11)</f>
        <v>0</v>
      </c>
      <c r="T11" s="130">
        <f>SUMIFS(Исход!$D:$D,Исход!$A:$A,T$1,Исход!$B:$B,$A11)+
SUMIFS(Исход!$G:$G,Исход!$A:$A,T$1,Исход!$B:$B,$A11)+
SUMIFS(Исход!$H:$H,Исход!$A:$A,T$1,Исход!$B:$B,$A11)+
SUMIFS(Исход!$I:$I,Исход!$A:$A,T$1,Исход!$B:$B,$A11)-
SUMIFS(Исход!$L:$L,Исход!$A:$A,T$1,Исход!$B:$B,$A11)</f>
        <v>0</v>
      </c>
      <c r="U11" s="130">
        <f>SUMIFS(Исход!$D:$D,Исход!$A:$A,U$1,Исход!$B:$B,$A11)+
SUMIFS(Исход!$G:$G,Исход!$A:$A,U$1,Исход!$B:$B,$A11)+
SUMIFS(Исход!$H:$H,Исход!$A:$A,U$1,Исход!$B:$B,$A11)+
SUMIFS(Исход!$I:$I,Исход!$A:$A,U$1,Исход!$B:$B,$A11)-
SUMIFS(Исход!$L:$L,Исход!$A:$A,U$1,Исход!$B:$B,$A11)</f>
        <v>0</v>
      </c>
      <c r="V11" s="130">
        <f>SUMIFS(Исход!$D:$D,Исход!$A:$A,V$1,Исход!$B:$B,$A11)+
SUMIFS(Исход!$G:$G,Исход!$A:$A,V$1,Исход!$B:$B,$A11)+
SUMIFS(Исход!$H:$H,Исход!$A:$A,V$1,Исход!$B:$B,$A11)+
SUMIFS(Исход!$I:$I,Исход!$A:$A,V$1,Исход!$B:$B,$A11)-
SUMIFS(Исход!$L:$L,Исход!$A:$A,V$1,Исход!$B:$B,$A11)</f>
        <v>0</v>
      </c>
      <c r="W11" s="130">
        <f>SUMIFS(Исход!$D:$D,Исход!$A:$A,W$1,Исход!$B:$B,$A11)+
SUMIFS(Исход!$G:$G,Исход!$A:$A,W$1,Исход!$B:$B,$A11)+
SUMIFS(Исход!$H:$H,Исход!$A:$A,W$1,Исход!$B:$B,$A11)+
SUMIFS(Исход!$I:$I,Исход!$A:$A,W$1,Исход!$B:$B,$A11)-
SUMIFS(Исход!$L:$L,Исход!$A:$A,W$1,Исход!$B:$B,$A11)</f>
        <v>0</v>
      </c>
      <c r="X11" s="130">
        <f>SUMIFS(Исход!$D:$D,Исход!$A:$A,X$1,Исход!$B:$B,$A11)+
SUMIFS(Исход!$G:$G,Исход!$A:$A,X$1,Исход!$B:$B,$A11)+
SUMIFS(Исход!$H:$H,Исход!$A:$A,X$1,Исход!$B:$B,$A11)+
SUMIFS(Исход!$I:$I,Исход!$A:$A,X$1,Исход!$B:$B,$A11)-
SUMIFS(Исход!$L:$L,Исход!$A:$A,X$1,Исход!$B:$B,$A11)</f>
        <v>0</v>
      </c>
      <c r="Y11" s="130">
        <f>SUMIFS(Исход!$D:$D,Исход!$A:$A,Y$1,Исход!$B:$B,$A11)+
SUMIFS(Исход!$G:$G,Исход!$A:$A,Y$1,Исход!$B:$B,$A11)+
SUMIFS(Исход!$H:$H,Исход!$A:$A,Y$1,Исход!$B:$B,$A11)+
SUMIFS(Исход!$I:$I,Исход!$A:$A,Y$1,Исход!$B:$B,$A11)-
SUMIFS(Исход!$L:$L,Исход!$A:$A,Y$1,Исход!$B:$B,$A11)</f>
        <v>0</v>
      </c>
      <c r="Z11" s="130">
        <f>SUMIFS(Исход!$D:$D,Исход!$A:$A,Z$1,Исход!$B:$B,$A11)+
SUMIFS(Исход!$G:$G,Исход!$A:$A,Z$1,Исход!$B:$B,$A11)+
SUMIFS(Исход!$H:$H,Исход!$A:$A,Z$1,Исход!$B:$B,$A11)+
SUMIFS(Исход!$I:$I,Исход!$A:$A,Z$1,Исход!$B:$B,$A11)-
SUMIFS(Исход!$L:$L,Исход!$A:$A,Z$1,Исход!$B:$B,$A11)</f>
        <v>0</v>
      </c>
      <c r="AA11" s="130">
        <f>SUMIFS(Исход!$D:$D,Исход!$A:$A,AA$1,Исход!$B:$B,$A11)+
SUMIFS(Исход!$G:$G,Исход!$A:$A,AA$1,Исход!$B:$B,$A11)+
SUMIFS(Исход!$H:$H,Исход!$A:$A,AA$1,Исход!$B:$B,$A11)+
SUMIFS(Исход!$I:$I,Исход!$A:$A,AA$1,Исход!$B:$B,$A11)-
SUMIFS(Исход!$L:$L,Исход!$A:$A,AA$1,Исход!$B:$B,$A11)</f>
        <v>0</v>
      </c>
      <c r="AB11" s="130">
        <f>SUMIFS(Исход!$D:$D,Исход!$A:$A,AB$1,Исход!$B:$B,$A11)+
SUMIFS(Исход!$G:$G,Исход!$A:$A,AB$1,Исход!$B:$B,$A11)+
SUMIFS(Исход!$H:$H,Исход!$A:$A,AB$1,Исход!$B:$B,$A11)+
SUMIFS(Исход!$I:$I,Исход!$A:$A,AB$1,Исход!$B:$B,$A11)-
SUMIFS(Исход!$L:$L,Исход!$A:$A,AB$1,Исход!$B:$B,$A11)</f>
        <v>0</v>
      </c>
      <c r="AC11" s="130">
        <f>SUMIFS(Исход!$D:$D,Исход!$A:$A,AC$1,Исход!$B:$B,$A11)+
SUMIFS(Исход!$G:$G,Исход!$A:$A,AC$1,Исход!$B:$B,$A11)+
SUMIFS(Исход!$H:$H,Исход!$A:$A,AC$1,Исход!$B:$B,$A11)+
SUMIFS(Исход!$I:$I,Исход!$A:$A,AC$1,Исход!$B:$B,$A11)-
SUMIFS(Исход!$L:$L,Исход!$A:$A,AC$1,Исход!$B:$B,$A11)</f>
        <v>0</v>
      </c>
      <c r="AD11" s="130">
        <f>SUMIFS(Исход!$D:$D,Исход!$A:$A,AD$1,Исход!$B:$B,$A11)+
SUMIFS(Исход!$G:$G,Исход!$A:$A,AD$1,Исход!$B:$B,$A11)+
SUMIFS(Исход!$H:$H,Исход!$A:$A,AD$1,Исход!$B:$B,$A11)+
SUMIFS(Исход!$I:$I,Исход!$A:$A,AD$1,Исход!$B:$B,$A11)-
SUMIFS(Исход!$L:$L,Исход!$A:$A,AD$1,Исход!$B:$B,$A11)</f>
        <v>0</v>
      </c>
      <c r="AE11" s="130">
        <f>SUMIFS(Исход!$D:$D,Исход!$A:$A,AE$1,Исход!$B:$B,$A11)+
SUMIFS(Исход!$G:$G,Исход!$A:$A,AE$1,Исход!$B:$B,$A11)+
SUMIFS(Исход!$H:$H,Исход!$A:$A,AE$1,Исход!$B:$B,$A11)+
SUMIFS(Исход!$I:$I,Исход!$A:$A,AE$1,Исход!$B:$B,$A11)-
SUMIFS(Исход!$L:$L,Исход!$A:$A,AE$1,Исход!$B:$B,$A11)</f>
        <v>0</v>
      </c>
      <c r="AF11" s="130">
        <f>SUMIFS(Исход!$D:$D,Исход!$A:$A,AF$1,Исход!$B:$B,$A11)+
SUMIFS(Исход!$G:$G,Исход!$A:$A,AF$1,Исход!$B:$B,$A11)+
SUMIFS(Исход!$H:$H,Исход!$A:$A,AF$1,Исход!$B:$B,$A11)+
SUMIFS(Исход!$I:$I,Исход!$A:$A,AF$1,Исход!$B:$B,$A11)-
SUMIFS(Исход!$L:$L,Исход!$A:$A,AF$1,Исход!$B:$B,$A11)</f>
        <v>0</v>
      </c>
      <c r="AG11" s="130">
        <f>SUMIFS(Исход!$D:$D,Исход!$A:$A,AG$1,Исход!$B:$B,$A11)+
SUMIFS(Исход!$G:$G,Исход!$A:$A,AG$1,Исход!$B:$B,$A11)+
SUMIFS(Исход!$H:$H,Исход!$A:$A,AG$1,Исход!$B:$B,$A11)+
SUMIFS(Исход!$I:$I,Исход!$A:$A,AG$1,Исход!$B:$B,$A11)-
SUMIFS(Исход!$L:$L,Исход!$A:$A,AG$1,Исход!$B:$B,$A11)</f>
        <v>0</v>
      </c>
    </row>
    <row r="12" spans="1:35" hidden="1" outlineLevel="1" x14ac:dyDescent="0.25">
      <c r="A12" s="102">
        <v>0.16666666666666666</v>
      </c>
      <c r="B12" s="128">
        <v>0.1875</v>
      </c>
      <c r="C12" s="129">
        <f>SUMIFS(Исход!$D:$D,Исход!$A:$A,C$1,Исход!$B:$B,$A12)+
SUMIFS(Исход!$G:$G,Исход!$A:$A,C$1,Исход!$B:$B,$A12)+
SUMIFS(Исход!$H:$H,Исход!$A:$A,C$1,Исход!$B:$B,$A12)+
SUMIFS(Исход!$I:$I,Исход!$A:$A,C$1,Исход!$B:$B,$A12)-
SUMIFS(Исход!$L:$L,Исход!$A:$A,C$1,Исход!$B:$B,$A12)</f>
        <v>0</v>
      </c>
      <c r="D12" s="130">
        <f>SUMIFS(Исход!$D:$D,Исход!$A:$A,D$1,Исход!$B:$B,$A12)+
SUMIFS(Исход!$G:$G,Исход!$A:$A,D$1,Исход!$B:$B,$A12)+
SUMIFS(Исход!$H:$H,Исход!$A:$A,D$1,Исход!$B:$B,$A12)+
SUMIFS(Исход!$I:$I,Исход!$A:$A,D$1,Исход!$B:$B,$A12)-
SUMIFS(Исход!$L:$L,Исход!$A:$A,D$1,Исход!$B:$B,$A12)</f>
        <v>0</v>
      </c>
      <c r="E12" s="130">
        <f>SUMIFS(Исход!$D:$D,Исход!$A:$A,E$1,Исход!$B:$B,$A12)+
SUMIFS(Исход!$G:$G,Исход!$A:$A,E$1,Исход!$B:$B,$A12)+
SUMIFS(Исход!$H:$H,Исход!$A:$A,E$1,Исход!$B:$B,$A12)+
SUMIFS(Исход!$I:$I,Исход!$A:$A,E$1,Исход!$B:$B,$A12)-
SUMIFS(Исход!$L:$L,Исход!$A:$A,E$1,Исход!$B:$B,$A12)</f>
        <v>0</v>
      </c>
      <c r="F12" s="130">
        <f>SUMIFS(Исход!$D:$D,Исход!$A:$A,F$1,Исход!$B:$B,$A12)+
SUMIFS(Исход!$G:$G,Исход!$A:$A,F$1,Исход!$B:$B,$A12)+
SUMIFS(Исход!$H:$H,Исход!$A:$A,F$1,Исход!$B:$B,$A12)+
SUMIFS(Исход!$I:$I,Исход!$A:$A,F$1,Исход!$B:$B,$A12)-
SUMIFS(Исход!$L:$L,Исход!$A:$A,F$1,Исход!$B:$B,$A12)</f>
        <v>0</v>
      </c>
      <c r="G12" s="130">
        <f>SUMIFS(Исход!$D:$D,Исход!$A:$A,G$1,Исход!$B:$B,$A12)+
SUMIFS(Исход!$G:$G,Исход!$A:$A,G$1,Исход!$B:$B,$A12)+
SUMIFS(Исход!$H:$H,Исход!$A:$A,G$1,Исход!$B:$B,$A12)+
SUMIFS(Исход!$I:$I,Исход!$A:$A,G$1,Исход!$B:$B,$A12)-
SUMIFS(Исход!$L:$L,Исход!$A:$A,G$1,Исход!$B:$B,$A12)</f>
        <v>0</v>
      </c>
      <c r="H12" s="130">
        <f>SUMIFS(Исход!$D:$D,Исход!$A:$A,H$1,Исход!$B:$B,$A12)+
SUMIFS(Исход!$G:$G,Исход!$A:$A,H$1,Исход!$B:$B,$A12)+
SUMIFS(Исход!$H:$H,Исход!$A:$A,H$1,Исход!$B:$B,$A12)+
SUMIFS(Исход!$I:$I,Исход!$A:$A,H$1,Исход!$B:$B,$A12)-
SUMIFS(Исход!$L:$L,Исход!$A:$A,H$1,Исход!$B:$B,$A12)</f>
        <v>0</v>
      </c>
      <c r="I12" s="130">
        <f>SUMIFS(Исход!$D:$D,Исход!$A:$A,I$1,Исход!$B:$B,$A12)+
SUMIFS(Исход!$G:$G,Исход!$A:$A,I$1,Исход!$B:$B,$A12)+
SUMIFS(Исход!$H:$H,Исход!$A:$A,I$1,Исход!$B:$B,$A12)+
SUMIFS(Исход!$I:$I,Исход!$A:$A,I$1,Исход!$B:$B,$A12)-
SUMIFS(Исход!$L:$L,Исход!$A:$A,I$1,Исход!$B:$B,$A12)</f>
        <v>0</v>
      </c>
      <c r="J12" s="130">
        <f>SUMIFS(Исход!$D:$D,Исход!$A:$A,J$1,Исход!$B:$B,$A12)+
SUMIFS(Исход!$G:$G,Исход!$A:$A,J$1,Исход!$B:$B,$A12)+
SUMIFS(Исход!$H:$H,Исход!$A:$A,J$1,Исход!$B:$B,$A12)+
SUMIFS(Исход!$I:$I,Исход!$A:$A,J$1,Исход!$B:$B,$A12)-
SUMIFS(Исход!$L:$L,Исход!$A:$A,J$1,Исход!$B:$B,$A12)</f>
        <v>0</v>
      </c>
      <c r="K12" s="130">
        <f>SUMIFS(Исход!$D:$D,Исход!$A:$A,K$1,Исход!$B:$B,$A12)+
SUMIFS(Исход!$G:$G,Исход!$A:$A,K$1,Исход!$B:$B,$A12)+
SUMIFS(Исход!$H:$H,Исход!$A:$A,K$1,Исход!$B:$B,$A12)+
SUMIFS(Исход!$I:$I,Исход!$A:$A,K$1,Исход!$B:$B,$A12)-
SUMIFS(Исход!$L:$L,Исход!$A:$A,K$1,Исход!$B:$B,$A12)</f>
        <v>0</v>
      </c>
      <c r="L12" s="130">
        <f>SUMIFS(Исход!$D:$D,Исход!$A:$A,L$1,Исход!$B:$B,$A12)+
SUMIFS(Исход!$G:$G,Исход!$A:$A,L$1,Исход!$B:$B,$A12)+
SUMIFS(Исход!$H:$H,Исход!$A:$A,L$1,Исход!$B:$B,$A12)+
SUMIFS(Исход!$I:$I,Исход!$A:$A,L$1,Исход!$B:$B,$A12)-
SUMIFS(Исход!$L:$L,Исход!$A:$A,L$1,Исход!$B:$B,$A12)</f>
        <v>0</v>
      </c>
      <c r="M12" s="130">
        <f>SUMIFS(Исход!$D:$D,Исход!$A:$A,M$1,Исход!$B:$B,$A12)+
SUMIFS(Исход!$G:$G,Исход!$A:$A,M$1,Исход!$B:$B,$A12)+
SUMIFS(Исход!$H:$H,Исход!$A:$A,M$1,Исход!$B:$B,$A12)+
SUMIFS(Исход!$I:$I,Исход!$A:$A,M$1,Исход!$B:$B,$A12)-
SUMIFS(Исход!$L:$L,Исход!$A:$A,M$1,Исход!$B:$B,$A12)</f>
        <v>0</v>
      </c>
      <c r="N12" s="130">
        <f>SUMIFS(Исход!$D:$D,Исход!$A:$A,N$1,Исход!$B:$B,$A12)+
SUMIFS(Исход!$G:$G,Исход!$A:$A,N$1,Исход!$B:$B,$A12)+
SUMIFS(Исход!$H:$H,Исход!$A:$A,N$1,Исход!$B:$B,$A12)+
SUMIFS(Исход!$I:$I,Исход!$A:$A,N$1,Исход!$B:$B,$A12)-
SUMIFS(Исход!$L:$L,Исход!$A:$A,N$1,Исход!$B:$B,$A12)</f>
        <v>0</v>
      </c>
      <c r="O12" s="130">
        <f>SUMIFS(Исход!$D:$D,Исход!$A:$A,O$1,Исход!$B:$B,$A12)+
SUMIFS(Исход!$G:$G,Исход!$A:$A,O$1,Исход!$B:$B,$A12)+
SUMIFS(Исход!$H:$H,Исход!$A:$A,O$1,Исход!$B:$B,$A12)+
SUMIFS(Исход!$I:$I,Исход!$A:$A,O$1,Исход!$B:$B,$A12)-
SUMIFS(Исход!$L:$L,Исход!$A:$A,O$1,Исход!$B:$B,$A12)</f>
        <v>0</v>
      </c>
      <c r="P12" s="130">
        <f>SUMIFS(Исход!$D:$D,Исход!$A:$A,P$1,Исход!$B:$B,$A12)+
SUMIFS(Исход!$G:$G,Исход!$A:$A,P$1,Исход!$B:$B,$A12)+
SUMIFS(Исход!$H:$H,Исход!$A:$A,P$1,Исход!$B:$B,$A12)+
SUMIFS(Исход!$I:$I,Исход!$A:$A,P$1,Исход!$B:$B,$A12)-
SUMIFS(Исход!$L:$L,Исход!$A:$A,P$1,Исход!$B:$B,$A12)</f>
        <v>0</v>
      </c>
      <c r="Q12" s="130">
        <f>SUMIFS(Исход!$D:$D,Исход!$A:$A,Q$1,Исход!$B:$B,$A12)+
SUMIFS(Исход!$G:$G,Исход!$A:$A,Q$1,Исход!$B:$B,$A12)+
SUMIFS(Исход!$H:$H,Исход!$A:$A,Q$1,Исход!$B:$B,$A12)+
SUMIFS(Исход!$I:$I,Исход!$A:$A,Q$1,Исход!$B:$B,$A12)-
SUMIFS(Исход!$L:$L,Исход!$A:$A,Q$1,Исход!$B:$B,$A12)</f>
        <v>0</v>
      </c>
      <c r="R12" s="130">
        <f>SUMIFS(Исход!$D:$D,Исход!$A:$A,R$1,Исход!$B:$B,$A12)+
SUMIFS(Исход!$G:$G,Исход!$A:$A,R$1,Исход!$B:$B,$A12)+
SUMIFS(Исход!$H:$H,Исход!$A:$A,R$1,Исход!$B:$B,$A12)+
SUMIFS(Исход!$I:$I,Исход!$A:$A,R$1,Исход!$B:$B,$A12)-
SUMIFS(Исход!$L:$L,Исход!$A:$A,R$1,Исход!$B:$B,$A12)</f>
        <v>0</v>
      </c>
      <c r="S12" s="130">
        <f>SUMIFS(Исход!$D:$D,Исход!$A:$A,S$1,Исход!$B:$B,$A12)+
SUMIFS(Исход!$G:$G,Исход!$A:$A,S$1,Исход!$B:$B,$A12)+
SUMIFS(Исход!$H:$H,Исход!$A:$A,S$1,Исход!$B:$B,$A12)+
SUMIFS(Исход!$I:$I,Исход!$A:$A,S$1,Исход!$B:$B,$A12)-
SUMIFS(Исход!$L:$L,Исход!$A:$A,S$1,Исход!$B:$B,$A12)</f>
        <v>0</v>
      </c>
      <c r="T12" s="130">
        <f>SUMIFS(Исход!$D:$D,Исход!$A:$A,T$1,Исход!$B:$B,$A12)+
SUMIFS(Исход!$G:$G,Исход!$A:$A,T$1,Исход!$B:$B,$A12)+
SUMIFS(Исход!$H:$H,Исход!$A:$A,T$1,Исход!$B:$B,$A12)+
SUMIFS(Исход!$I:$I,Исход!$A:$A,T$1,Исход!$B:$B,$A12)-
SUMIFS(Исход!$L:$L,Исход!$A:$A,T$1,Исход!$B:$B,$A12)</f>
        <v>0</v>
      </c>
      <c r="U12" s="130">
        <f>SUMIFS(Исход!$D:$D,Исход!$A:$A,U$1,Исход!$B:$B,$A12)+
SUMIFS(Исход!$G:$G,Исход!$A:$A,U$1,Исход!$B:$B,$A12)+
SUMIFS(Исход!$H:$H,Исход!$A:$A,U$1,Исход!$B:$B,$A12)+
SUMIFS(Исход!$I:$I,Исход!$A:$A,U$1,Исход!$B:$B,$A12)-
SUMIFS(Исход!$L:$L,Исход!$A:$A,U$1,Исход!$B:$B,$A12)</f>
        <v>0</v>
      </c>
      <c r="V12" s="130">
        <f>SUMIFS(Исход!$D:$D,Исход!$A:$A,V$1,Исход!$B:$B,$A12)+
SUMIFS(Исход!$G:$G,Исход!$A:$A,V$1,Исход!$B:$B,$A12)+
SUMIFS(Исход!$H:$H,Исход!$A:$A,V$1,Исход!$B:$B,$A12)+
SUMIFS(Исход!$I:$I,Исход!$A:$A,V$1,Исход!$B:$B,$A12)-
SUMIFS(Исход!$L:$L,Исход!$A:$A,V$1,Исход!$B:$B,$A12)</f>
        <v>0</v>
      </c>
      <c r="W12" s="130">
        <f>SUMIFS(Исход!$D:$D,Исход!$A:$A,W$1,Исход!$B:$B,$A12)+
SUMIFS(Исход!$G:$G,Исход!$A:$A,W$1,Исход!$B:$B,$A12)+
SUMIFS(Исход!$H:$H,Исход!$A:$A,W$1,Исход!$B:$B,$A12)+
SUMIFS(Исход!$I:$I,Исход!$A:$A,W$1,Исход!$B:$B,$A12)-
SUMIFS(Исход!$L:$L,Исход!$A:$A,W$1,Исход!$B:$B,$A12)</f>
        <v>0</v>
      </c>
      <c r="X12" s="130">
        <f>SUMIFS(Исход!$D:$D,Исход!$A:$A,X$1,Исход!$B:$B,$A12)+
SUMIFS(Исход!$G:$G,Исход!$A:$A,X$1,Исход!$B:$B,$A12)+
SUMIFS(Исход!$H:$H,Исход!$A:$A,X$1,Исход!$B:$B,$A12)+
SUMIFS(Исход!$I:$I,Исход!$A:$A,X$1,Исход!$B:$B,$A12)-
SUMIFS(Исход!$L:$L,Исход!$A:$A,X$1,Исход!$B:$B,$A12)</f>
        <v>0</v>
      </c>
      <c r="Y12" s="130">
        <f>SUMIFS(Исход!$D:$D,Исход!$A:$A,Y$1,Исход!$B:$B,$A12)+
SUMIFS(Исход!$G:$G,Исход!$A:$A,Y$1,Исход!$B:$B,$A12)+
SUMIFS(Исход!$H:$H,Исход!$A:$A,Y$1,Исход!$B:$B,$A12)+
SUMIFS(Исход!$I:$I,Исход!$A:$A,Y$1,Исход!$B:$B,$A12)-
SUMIFS(Исход!$L:$L,Исход!$A:$A,Y$1,Исход!$B:$B,$A12)</f>
        <v>0</v>
      </c>
      <c r="Z12" s="130">
        <f>SUMIFS(Исход!$D:$D,Исход!$A:$A,Z$1,Исход!$B:$B,$A12)+
SUMIFS(Исход!$G:$G,Исход!$A:$A,Z$1,Исход!$B:$B,$A12)+
SUMIFS(Исход!$H:$H,Исход!$A:$A,Z$1,Исход!$B:$B,$A12)+
SUMIFS(Исход!$I:$I,Исход!$A:$A,Z$1,Исход!$B:$B,$A12)-
SUMIFS(Исход!$L:$L,Исход!$A:$A,Z$1,Исход!$B:$B,$A12)</f>
        <v>0</v>
      </c>
      <c r="AA12" s="130">
        <f>SUMIFS(Исход!$D:$D,Исход!$A:$A,AA$1,Исход!$B:$B,$A12)+
SUMIFS(Исход!$G:$G,Исход!$A:$A,AA$1,Исход!$B:$B,$A12)+
SUMIFS(Исход!$H:$H,Исход!$A:$A,AA$1,Исход!$B:$B,$A12)+
SUMIFS(Исход!$I:$I,Исход!$A:$A,AA$1,Исход!$B:$B,$A12)-
SUMIFS(Исход!$L:$L,Исход!$A:$A,AA$1,Исход!$B:$B,$A12)</f>
        <v>0</v>
      </c>
      <c r="AB12" s="130">
        <f>SUMIFS(Исход!$D:$D,Исход!$A:$A,AB$1,Исход!$B:$B,$A12)+
SUMIFS(Исход!$G:$G,Исход!$A:$A,AB$1,Исход!$B:$B,$A12)+
SUMIFS(Исход!$H:$H,Исход!$A:$A,AB$1,Исход!$B:$B,$A12)+
SUMIFS(Исход!$I:$I,Исход!$A:$A,AB$1,Исход!$B:$B,$A12)-
SUMIFS(Исход!$L:$L,Исход!$A:$A,AB$1,Исход!$B:$B,$A12)</f>
        <v>0</v>
      </c>
      <c r="AC12" s="130">
        <f>SUMIFS(Исход!$D:$D,Исход!$A:$A,AC$1,Исход!$B:$B,$A12)+
SUMIFS(Исход!$G:$G,Исход!$A:$A,AC$1,Исход!$B:$B,$A12)+
SUMIFS(Исход!$H:$H,Исход!$A:$A,AC$1,Исход!$B:$B,$A12)+
SUMIFS(Исход!$I:$I,Исход!$A:$A,AC$1,Исход!$B:$B,$A12)-
SUMIFS(Исход!$L:$L,Исход!$A:$A,AC$1,Исход!$B:$B,$A12)</f>
        <v>0</v>
      </c>
      <c r="AD12" s="130">
        <f>SUMIFS(Исход!$D:$D,Исход!$A:$A,AD$1,Исход!$B:$B,$A12)+
SUMIFS(Исход!$G:$G,Исход!$A:$A,AD$1,Исход!$B:$B,$A12)+
SUMIFS(Исход!$H:$H,Исход!$A:$A,AD$1,Исход!$B:$B,$A12)+
SUMIFS(Исход!$I:$I,Исход!$A:$A,AD$1,Исход!$B:$B,$A12)-
SUMIFS(Исход!$L:$L,Исход!$A:$A,AD$1,Исход!$B:$B,$A12)</f>
        <v>0</v>
      </c>
      <c r="AE12" s="130">
        <f>SUMIFS(Исход!$D:$D,Исход!$A:$A,AE$1,Исход!$B:$B,$A12)+
SUMIFS(Исход!$G:$G,Исход!$A:$A,AE$1,Исход!$B:$B,$A12)+
SUMIFS(Исход!$H:$H,Исход!$A:$A,AE$1,Исход!$B:$B,$A12)+
SUMIFS(Исход!$I:$I,Исход!$A:$A,AE$1,Исход!$B:$B,$A12)-
SUMIFS(Исход!$L:$L,Исход!$A:$A,AE$1,Исход!$B:$B,$A12)</f>
        <v>0</v>
      </c>
      <c r="AF12" s="130">
        <f>SUMIFS(Исход!$D:$D,Исход!$A:$A,AF$1,Исход!$B:$B,$A12)+
SUMIFS(Исход!$G:$G,Исход!$A:$A,AF$1,Исход!$B:$B,$A12)+
SUMIFS(Исход!$H:$H,Исход!$A:$A,AF$1,Исход!$B:$B,$A12)+
SUMIFS(Исход!$I:$I,Исход!$A:$A,AF$1,Исход!$B:$B,$A12)-
SUMIFS(Исход!$L:$L,Исход!$A:$A,AF$1,Исход!$B:$B,$A12)</f>
        <v>0</v>
      </c>
      <c r="AG12" s="130">
        <f>SUMIFS(Исход!$D:$D,Исход!$A:$A,AG$1,Исход!$B:$B,$A12)+
SUMIFS(Исход!$G:$G,Исход!$A:$A,AG$1,Исход!$B:$B,$A12)+
SUMIFS(Исход!$H:$H,Исход!$A:$A,AG$1,Исход!$B:$B,$A12)+
SUMIFS(Исход!$I:$I,Исход!$A:$A,AG$1,Исход!$B:$B,$A12)-
SUMIFS(Исход!$L:$L,Исход!$A:$A,AG$1,Исход!$B:$B,$A12)</f>
        <v>0</v>
      </c>
    </row>
    <row r="13" spans="1:35" hidden="1" outlineLevel="1" x14ac:dyDescent="0.25">
      <c r="A13" s="102">
        <v>0.1875</v>
      </c>
      <c r="B13" s="128">
        <v>0.20833333333333334</v>
      </c>
      <c r="C13" s="129">
        <f>SUMIFS(Исход!$D:$D,Исход!$A:$A,C$1,Исход!$B:$B,$A13)+
SUMIFS(Исход!$G:$G,Исход!$A:$A,C$1,Исход!$B:$B,$A13)+
SUMIFS(Исход!$H:$H,Исход!$A:$A,C$1,Исход!$B:$B,$A13)+
SUMIFS(Исход!$I:$I,Исход!$A:$A,C$1,Исход!$B:$B,$A13)-
SUMIFS(Исход!$L:$L,Исход!$A:$A,C$1,Исход!$B:$B,$A13)</f>
        <v>0</v>
      </c>
      <c r="D13" s="130">
        <f>SUMIFS(Исход!$D:$D,Исход!$A:$A,D$1,Исход!$B:$B,$A13)+
SUMIFS(Исход!$G:$G,Исход!$A:$A,D$1,Исход!$B:$B,$A13)+
SUMIFS(Исход!$H:$H,Исход!$A:$A,D$1,Исход!$B:$B,$A13)+
SUMIFS(Исход!$I:$I,Исход!$A:$A,D$1,Исход!$B:$B,$A13)-
SUMIFS(Исход!$L:$L,Исход!$A:$A,D$1,Исход!$B:$B,$A13)</f>
        <v>0</v>
      </c>
      <c r="E13" s="130">
        <f>SUMIFS(Исход!$D:$D,Исход!$A:$A,E$1,Исход!$B:$B,$A13)+
SUMIFS(Исход!$G:$G,Исход!$A:$A,E$1,Исход!$B:$B,$A13)+
SUMIFS(Исход!$H:$H,Исход!$A:$A,E$1,Исход!$B:$B,$A13)+
SUMIFS(Исход!$I:$I,Исход!$A:$A,E$1,Исход!$B:$B,$A13)-
SUMIFS(Исход!$L:$L,Исход!$A:$A,E$1,Исход!$B:$B,$A13)</f>
        <v>0</v>
      </c>
      <c r="F13" s="130">
        <f>SUMIFS(Исход!$D:$D,Исход!$A:$A,F$1,Исход!$B:$B,$A13)+
SUMIFS(Исход!$G:$G,Исход!$A:$A,F$1,Исход!$B:$B,$A13)+
SUMIFS(Исход!$H:$H,Исход!$A:$A,F$1,Исход!$B:$B,$A13)+
SUMIFS(Исход!$I:$I,Исход!$A:$A,F$1,Исход!$B:$B,$A13)-
SUMIFS(Исход!$L:$L,Исход!$A:$A,F$1,Исход!$B:$B,$A13)</f>
        <v>0</v>
      </c>
      <c r="G13" s="130">
        <f>SUMIFS(Исход!$D:$D,Исход!$A:$A,G$1,Исход!$B:$B,$A13)+
SUMIFS(Исход!$G:$G,Исход!$A:$A,G$1,Исход!$B:$B,$A13)+
SUMIFS(Исход!$H:$H,Исход!$A:$A,G$1,Исход!$B:$B,$A13)+
SUMIFS(Исход!$I:$I,Исход!$A:$A,G$1,Исход!$B:$B,$A13)-
SUMIFS(Исход!$L:$L,Исход!$A:$A,G$1,Исход!$B:$B,$A13)</f>
        <v>0</v>
      </c>
      <c r="H13" s="130">
        <f>SUMIFS(Исход!$D:$D,Исход!$A:$A,H$1,Исход!$B:$B,$A13)+
SUMIFS(Исход!$G:$G,Исход!$A:$A,H$1,Исход!$B:$B,$A13)+
SUMIFS(Исход!$H:$H,Исход!$A:$A,H$1,Исход!$B:$B,$A13)+
SUMIFS(Исход!$I:$I,Исход!$A:$A,H$1,Исход!$B:$B,$A13)-
SUMIFS(Исход!$L:$L,Исход!$A:$A,H$1,Исход!$B:$B,$A13)</f>
        <v>0</v>
      </c>
      <c r="I13" s="130">
        <f>SUMIFS(Исход!$D:$D,Исход!$A:$A,I$1,Исход!$B:$B,$A13)+
SUMIFS(Исход!$G:$G,Исход!$A:$A,I$1,Исход!$B:$B,$A13)+
SUMIFS(Исход!$H:$H,Исход!$A:$A,I$1,Исход!$B:$B,$A13)+
SUMIFS(Исход!$I:$I,Исход!$A:$A,I$1,Исход!$B:$B,$A13)-
SUMIFS(Исход!$L:$L,Исход!$A:$A,I$1,Исход!$B:$B,$A13)</f>
        <v>0</v>
      </c>
      <c r="J13" s="130">
        <f>SUMIFS(Исход!$D:$D,Исход!$A:$A,J$1,Исход!$B:$B,$A13)+
SUMIFS(Исход!$G:$G,Исход!$A:$A,J$1,Исход!$B:$B,$A13)+
SUMIFS(Исход!$H:$H,Исход!$A:$A,J$1,Исход!$B:$B,$A13)+
SUMIFS(Исход!$I:$I,Исход!$A:$A,J$1,Исход!$B:$B,$A13)-
SUMIFS(Исход!$L:$L,Исход!$A:$A,J$1,Исход!$B:$B,$A13)</f>
        <v>0</v>
      </c>
      <c r="K13" s="130">
        <f>SUMIFS(Исход!$D:$D,Исход!$A:$A,K$1,Исход!$B:$B,$A13)+
SUMIFS(Исход!$G:$G,Исход!$A:$A,K$1,Исход!$B:$B,$A13)+
SUMIFS(Исход!$H:$H,Исход!$A:$A,K$1,Исход!$B:$B,$A13)+
SUMIFS(Исход!$I:$I,Исход!$A:$A,K$1,Исход!$B:$B,$A13)-
SUMIFS(Исход!$L:$L,Исход!$A:$A,K$1,Исход!$B:$B,$A13)</f>
        <v>0</v>
      </c>
      <c r="L13" s="130">
        <f>SUMIFS(Исход!$D:$D,Исход!$A:$A,L$1,Исход!$B:$B,$A13)+
SUMIFS(Исход!$G:$G,Исход!$A:$A,L$1,Исход!$B:$B,$A13)+
SUMIFS(Исход!$H:$H,Исход!$A:$A,L$1,Исход!$B:$B,$A13)+
SUMIFS(Исход!$I:$I,Исход!$A:$A,L$1,Исход!$B:$B,$A13)-
SUMIFS(Исход!$L:$L,Исход!$A:$A,L$1,Исход!$B:$B,$A13)</f>
        <v>0</v>
      </c>
      <c r="M13" s="130">
        <f>SUMIFS(Исход!$D:$D,Исход!$A:$A,M$1,Исход!$B:$B,$A13)+
SUMIFS(Исход!$G:$G,Исход!$A:$A,M$1,Исход!$B:$B,$A13)+
SUMIFS(Исход!$H:$H,Исход!$A:$A,M$1,Исход!$B:$B,$A13)+
SUMIFS(Исход!$I:$I,Исход!$A:$A,M$1,Исход!$B:$B,$A13)-
SUMIFS(Исход!$L:$L,Исход!$A:$A,M$1,Исход!$B:$B,$A13)</f>
        <v>0</v>
      </c>
      <c r="N13" s="130">
        <f>SUMIFS(Исход!$D:$D,Исход!$A:$A,N$1,Исход!$B:$B,$A13)+
SUMIFS(Исход!$G:$G,Исход!$A:$A,N$1,Исход!$B:$B,$A13)+
SUMIFS(Исход!$H:$H,Исход!$A:$A,N$1,Исход!$B:$B,$A13)+
SUMIFS(Исход!$I:$I,Исход!$A:$A,N$1,Исход!$B:$B,$A13)-
SUMIFS(Исход!$L:$L,Исход!$A:$A,N$1,Исход!$B:$B,$A13)</f>
        <v>0</v>
      </c>
      <c r="O13" s="130">
        <f>SUMIFS(Исход!$D:$D,Исход!$A:$A,O$1,Исход!$B:$B,$A13)+
SUMIFS(Исход!$G:$G,Исход!$A:$A,O$1,Исход!$B:$B,$A13)+
SUMIFS(Исход!$H:$H,Исход!$A:$A,O$1,Исход!$B:$B,$A13)+
SUMIFS(Исход!$I:$I,Исход!$A:$A,O$1,Исход!$B:$B,$A13)-
SUMIFS(Исход!$L:$L,Исход!$A:$A,O$1,Исход!$B:$B,$A13)</f>
        <v>0</v>
      </c>
      <c r="P13" s="130">
        <f>SUMIFS(Исход!$D:$D,Исход!$A:$A,P$1,Исход!$B:$B,$A13)+
SUMIFS(Исход!$G:$G,Исход!$A:$A,P$1,Исход!$B:$B,$A13)+
SUMIFS(Исход!$H:$H,Исход!$A:$A,P$1,Исход!$B:$B,$A13)+
SUMIFS(Исход!$I:$I,Исход!$A:$A,P$1,Исход!$B:$B,$A13)-
SUMIFS(Исход!$L:$L,Исход!$A:$A,P$1,Исход!$B:$B,$A13)</f>
        <v>0</v>
      </c>
      <c r="Q13" s="130">
        <f>SUMIFS(Исход!$D:$D,Исход!$A:$A,Q$1,Исход!$B:$B,$A13)+
SUMIFS(Исход!$G:$G,Исход!$A:$A,Q$1,Исход!$B:$B,$A13)+
SUMIFS(Исход!$H:$H,Исход!$A:$A,Q$1,Исход!$B:$B,$A13)+
SUMIFS(Исход!$I:$I,Исход!$A:$A,Q$1,Исход!$B:$B,$A13)-
SUMIFS(Исход!$L:$L,Исход!$A:$A,Q$1,Исход!$B:$B,$A13)</f>
        <v>0</v>
      </c>
      <c r="R13" s="130">
        <f>SUMIFS(Исход!$D:$D,Исход!$A:$A,R$1,Исход!$B:$B,$A13)+
SUMIFS(Исход!$G:$G,Исход!$A:$A,R$1,Исход!$B:$B,$A13)+
SUMIFS(Исход!$H:$H,Исход!$A:$A,R$1,Исход!$B:$B,$A13)+
SUMIFS(Исход!$I:$I,Исход!$A:$A,R$1,Исход!$B:$B,$A13)-
SUMIFS(Исход!$L:$L,Исход!$A:$A,R$1,Исход!$B:$B,$A13)</f>
        <v>0</v>
      </c>
      <c r="S13" s="130">
        <f>SUMIFS(Исход!$D:$D,Исход!$A:$A,S$1,Исход!$B:$B,$A13)+
SUMIFS(Исход!$G:$G,Исход!$A:$A,S$1,Исход!$B:$B,$A13)+
SUMIFS(Исход!$H:$H,Исход!$A:$A,S$1,Исход!$B:$B,$A13)+
SUMIFS(Исход!$I:$I,Исход!$A:$A,S$1,Исход!$B:$B,$A13)-
SUMIFS(Исход!$L:$L,Исход!$A:$A,S$1,Исход!$B:$B,$A13)</f>
        <v>0</v>
      </c>
      <c r="T13" s="130">
        <f>SUMIFS(Исход!$D:$D,Исход!$A:$A,T$1,Исход!$B:$B,$A13)+
SUMIFS(Исход!$G:$G,Исход!$A:$A,T$1,Исход!$B:$B,$A13)+
SUMIFS(Исход!$H:$H,Исход!$A:$A,T$1,Исход!$B:$B,$A13)+
SUMIFS(Исход!$I:$I,Исход!$A:$A,T$1,Исход!$B:$B,$A13)-
SUMIFS(Исход!$L:$L,Исход!$A:$A,T$1,Исход!$B:$B,$A13)</f>
        <v>0</v>
      </c>
      <c r="U13" s="130">
        <f>SUMIFS(Исход!$D:$D,Исход!$A:$A,U$1,Исход!$B:$B,$A13)+
SUMIFS(Исход!$G:$G,Исход!$A:$A,U$1,Исход!$B:$B,$A13)+
SUMIFS(Исход!$H:$H,Исход!$A:$A,U$1,Исход!$B:$B,$A13)+
SUMIFS(Исход!$I:$I,Исход!$A:$A,U$1,Исход!$B:$B,$A13)-
SUMIFS(Исход!$L:$L,Исход!$A:$A,U$1,Исход!$B:$B,$A13)</f>
        <v>0</v>
      </c>
      <c r="V13" s="130">
        <f>SUMIFS(Исход!$D:$D,Исход!$A:$A,V$1,Исход!$B:$B,$A13)+
SUMIFS(Исход!$G:$G,Исход!$A:$A,V$1,Исход!$B:$B,$A13)+
SUMIFS(Исход!$H:$H,Исход!$A:$A,V$1,Исход!$B:$B,$A13)+
SUMIFS(Исход!$I:$I,Исход!$A:$A,V$1,Исход!$B:$B,$A13)-
SUMIFS(Исход!$L:$L,Исход!$A:$A,V$1,Исход!$B:$B,$A13)</f>
        <v>0</v>
      </c>
      <c r="W13" s="130">
        <f>SUMIFS(Исход!$D:$D,Исход!$A:$A,W$1,Исход!$B:$B,$A13)+
SUMIFS(Исход!$G:$G,Исход!$A:$A,W$1,Исход!$B:$B,$A13)+
SUMIFS(Исход!$H:$H,Исход!$A:$A,W$1,Исход!$B:$B,$A13)+
SUMIFS(Исход!$I:$I,Исход!$A:$A,W$1,Исход!$B:$B,$A13)-
SUMIFS(Исход!$L:$L,Исход!$A:$A,W$1,Исход!$B:$B,$A13)</f>
        <v>0</v>
      </c>
      <c r="X13" s="130">
        <f>SUMIFS(Исход!$D:$D,Исход!$A:$A,X$1,Исход!$B:$B,$A13)+
SUMIFS(Исход!$G:$G,Исход!$A:$A,X$1,Исход!$B:$B,$A13)+
SUMIFS(Исход!$H:$H,Исход!$A:$A,X$1,Исход!$B:$B,$A13)+
SUMIFS(Исход!$I:$I,Исход!$A:$A,X$1,Исход!$B:$B,$A13)-
SUMIFS(Исход!$L:$L,Исход!$A:$A,X$1,Исход!$B:$B,$A13)</f>
        <v>0</v>
      </c>
      <c r="Y13" s="130">
        <f>SUMIFS(Исход!$D:$D,Исход!$A:$A,Y$1,Исход!$B:$B,$A13)+
SUMIFS(Исход!$G:$G,Исход!$A:$A,Y$1,Исход!$B:$B,$A13)+
SUMIFS(Исход!$H:$H,Исход!$A:$A,Y$1,Исход!$B:$B,$A13)+
SUMIFS(Исход!$I:$I,Исход!$A:$A,Y$1,Исход!$B:$B,$A13)-
SUMIFS(Исход!$L:$L,Исход!$A:$A,Y$1,Исход!$B:$B,$A13)</f>
        <v>0</v>
      </c>
      <c r="Z13" s="130">
        <f>SUMIFS(Исход!$D:$D,Исход!$A:$A,Z$1,Исход!$B:$B,$A13)+
SUMIFS(Исход!$G:$G,Исход!$A:$A,Z$1,Исход!$B:$B,$A13)+
SUMIFS(Исход!$H:$H,Исход!$A:$A,Z$1,Исход!$B:$B,$A13)+
SUMIFS(Исход!$I:$I,Исход!$A:$A,Z$1,Исход!$B:$B,$A13)-
SUMIFS(Исход!$L:$L,Исход!$A:$A,Z$1,Исход!$B:$B,$A13)</f>
        <v>0</v>
      </c>
      <c r="AA13" s="130">
        <f>SUMIFS(Исход!$D:$D,Исход!$A:$A,AA$1,Исход!$B:$B,$A13)+
SUMIFS(Исход!$G:$G,Исход!$A:$A,AA$1,Исход!$B:$B,$A13)+
SUMIFS(Исход!$H:$H,Исход!$A:$A,AA$1,Исход!$B:$B,$A13)+
SUMIFS(Исход!$I:$I,Исход!$A:$A,AA$1,Исход!$B:$B,$A13)-
SUMIFS(Исход!$L:$L,Исход!$A:$A,AA$1,Исход!$B:$B,$A13)</f>
        <v>0</v>
      </c>
      <c r="AB13" s="130">
        <f>SUMIFS(Исход!$D:$D,Исход!$A:$A,AB$1,Исход!$B:$B,$A13)+
SUMIFS(Исход!$G:$G,Исход!$A:$A,AB$1,Исход!$B:$B,$A13)+
SUMIFS(Исход!$H:$H,Исход!$A:$A,AB$1,Исход!$B:$B,$A13)+
SUMIFS(Исход!$I:$I,Исход!$A:$A,AB$1,Исход!$B:$B,$A13)-
SUMIFS(Исход!$L:$L,Исход!$A:$A,AB$1,Исход!$B:$B,$A13)</f>
        <v>0</v>
      </c>
      <c r="AC13" s="130">
        <f>SUMIFS(Исход!$D:$D,Исход!$A:$A,AC$1,Исход!$B:$B,$A13)+
SUMIFS(Исход!$G:$G,Исход!$A:$A,AC$1,Исход!$B:$B,$A13)+
SUMIFS(Исход!$H:$H,Исход!$A:$A,AC$1,Исход!$B:$B,$A13)+
SUMIFS(Исход!$I:$I,Исход!$A:$A,AC$1,Исход!$B:$B,$A13)-
SUMIFS(Исход!$L:$L,Исход!$A:$A,AC$1,Исход!$B:$B,$A13)</f>
        <v>0</v>
      </c>
      <c r="AD13" s="130">
        <f>SUMIFS(Исход!$D:$D,Исход!$A:$A,AD$1,Исход!$B:$B,$A13)+
SUMIFS(Исход!$G:$G,Исход!$A:$A,AD$1,Исход!$B:$B,$A13)+
SUMIFS(Исход!$H:$H,Исход!$A:$A,AD$1,Исход!$B:$B,$A13)+
SUMIFS(Исход!$I:$I,Исход!$A:$A,AD$1,Исход!$B:$B,$A13)-
SUMIFS(Исход!$L:$L,Исход!$A:$A,AD$1,Исход!$B:$B,$A13)</f>
        <v>0</v>
      </c>
      <c r="AE13" s="130">
        <f>SUMIFS(Исход!$D:$D,Исход!$A:$A,AE$1,Исход!$B:$B,$A13)+
SUMIFS(Исход!$G:$G,Исход!$A:$A,AE$1,Исход!$B:$B,$A13)+
SUMIFS(Исход!$H:$H,Исход!$A:$A,AE$1,Исход!$B:$B,$A13)+
SUMIFS(Исход!$I:$I,Исход!$A:$A,AE$1,Исход!$B:$B,$A13)-
SUMIFS(Исход!$L:$L,Исход!$A:$A,AE$1,Исход!$B:$B,$A13)</f>
        <v>0</v>
      </c>
      <c r="AF13" s="130">
        <f>SUMIFS(Исход!$D:$D,Исход!$A:$A,AF$1,Исход!$B:$B,$A13)+
SUMIFS(Исход!$G:$G,Исход!$A:$A,AF$1,Исход!$B:$B,$A13)+
SUMIFS(Исход!$H:$H,Исход!$A:$A,AF$1,Исход!$B:$B,$A13)+
SUMIFS(Исход!$I:$I,Исход!$A:$A,AF$1,Исход!$B:$B,$A13)-
SUMIFS(Исход!$L:$L,Исход!$A:$A,AF$1,Исход!$B:$B,$A13)</f>
        <v>0</v>
      </c>
      <c r="AG13" s="130">
        <f>SUMIFS(Исход!$D:$D,Исход!$A:$A,AG$1,Исход!$B:$B,$A13)+
SUMIFS(Исход!$G:$G,Исход!$A:$A,AG$1,Исход!$B:$B,$A13)+
SUMIFS(Исход!$H:$H,Исход!$A:$A,AG$1,Исход!$B:$B,$A13)+
SUMIFS(Исход!$I:$I,Исход!$A:$A,AG$1,Исход!$B:$B,$A13)-
SUMIFS(Исход!$L:$L,Исход!$A:$A,AG$1,Исход!$B:$B,$A13)</f>
        <v>0</v>
      </c>
    </row>
    <row r="14" spans="1:35" hidden="1" outlineLevel="1" x14ac:dyDescent="0.25">
      <c r="A14" s="102">
        <v>0.20833333333333334</v>
      </c>
      <c r="B14" s="128">
        <v>0.22916666666666666</v>
      </c>
      <c r="C14" s="129">
        <f>SUMIFS(Исход!$D:$D,Исход!$A:$A,C$1,Исход!$B:$B,$A14)+
SUMIFS(Исход!$G:$G,Исход!$A:$A,C$1,Исход!$B:$B,$A14)+
SUMIFS(Исход!$H:$H,Исход!$A:$A,C$1,Исход!$B:$B,$A14)+
SUMIFS(Исход!$I:$I,Исход!$A:$A,C$1,Исход!$B:$B,$A14)-
SUMIFS(Исход!$L:$L,Исход!$A:$A,C$1,Исход!$B:$B,$A14)</f>
        <v>0</v>
      </c>
      <c r="D14" s="130">
        <f>SUMIFS(Исход!$D:$D,Исход!$A:$A,D$1,Исход!$B:$B,$A14)+
SUMIFS(Исход!$G:$G,Исход!$A:$A,D$1,Исход!$B:$B,$A14)+
SUMIFS(Исход!$H:$H,Исход!$A:$A,D$1,Исход!$B:$B,$A14)+
SUMIFS(Исход!$I:$I,Исход!$A:$A,D$1,Исход!$B:$B,$A14)-
SUMIFS(Исход!$L:$L,Исход!$A:$A,D$1,Исход!$B:$B,$A14)</f>
        <v>0</v>
      </c>
      <c r="E14" s="130">
        <f>SUMIFS(Исход!$D:$D,Исход!$A:$A,E$1,Исход!$B:$B,$A14)+
SUMIFS(Исход!$G:$G,Исход!$A:$A,E$1,Исход!$B:$B,$A14)+
SUMIFS(Исход!$H:$H,Исход!$A:$A,E$1,Исход!$B:$B,$A14)+
SUMIFS(Исход!$I:$I,Исход!$A:$A,E$1,Исход!$B:$B,$A14)-
SUMIFS(Исход!$L:$L,Исход!$A:$A,E$1,Исход!$B:$B,$A14)</f>
        <v>0</v>
      </c>
      <c r="F14" s="130">
        <f>SUMIFS(Исход!$D:$D,Исход!$A:$A,F$1,Исход!$B:$B,$A14)+
SUMIFS(Исход!$G:$G,Исход!$A:$A,F$1,Исход!$B:$B,$A14)+
SUMIFS(Исход!$H:$H,Исход!$A:$A,F$1,Исход!$B:$B,$A14)+
SUMIFS(Исход!$I:$I,Исход!$A:$A,F$1,Исход!$B:$B,$A14)-
SUMIFS(Исход!$L:$L,Исход!$A:$A,F$1,Исход!$B:$B,$A14)</f>
        <v>0</v>
      </c>
      <c r="G14" s="130">
        <f>SUMIFS(Исход!$D:$D,Исход!$A:$A,G$1,Исход!$B:$B,$A14)+
SUMIFS(Исход!$G:$G,Исход!$A:$A,G$1,Исход!$B:$B,$A14)+
SUMIFS(Исход!$H:$H,Исход!$A:$A,G$1,Исход!$B:$B,$A14)+
SUMIFS(Исход!$I:$I,Исход!$A:$A,G$1,Исход!$B:$B,$A14)-
SUMIFS(Исход!$L:$L,Исход!$A:$A,G$1,Исход!$B:$B,$A14)</f>
        <v>0</v>
      </c>
      <c r="H14" s="130">
        <f>SUMIFS(Исход!$D:$D,Исход!$A:$A,H$1,Исход!$B:$B,$A14)+
SUMIFS(Исход!$G:$G,Исход!$A:$A,H$1,Исход!$B:$B,$A14)+
SUMIFS(Исход!$H:$H,Исход!$A:$A,H$1,Исход!$B:$B,$A14)+
SUMIFS(Исход!$I:$I,Исход!$A:$A,H$1,Исход!$B:$B,$A14)-
SUMIFS(Исход!$L:$L,Исход!$A:$A,H$1,Исход!$B:$B,$A14)</f>
        <v>0</v>
      </c>
      <c r="I14" s="130">
        <f>SUMIFS(Исход!$D:$D,Исход!$A:$A,I$1,Исход!$B:$B,$A14)+
SUMIFS(Исход!$G:$G,Исход!$A:$A,I$1,Исход!$B:$B,$A14)+
SUMIFS(Исход!$H:$H,Исход!$A:$A,I$1,Исход!$B:$B,$A14)+
SUMIFS(Исход!$I:$I,Исход!$A:$A,I$1,Исход!$B:$B,$A14)-
SUMIFS(Исход!$L:$L,Исход!$A:$A,I$1,Исход!$B:$B,$A14)</f>
        <v>0</v>
      </c>
      <c r="J14" s="130">
        <f>SUMIFS(Исход!$D:$D,Исход!$A:$A,J$1,Исход!$B:$B,$A14)+
SUMIFS(Исход!$G:$G,Исход!$A:$A,J$1,Исход!$B:$B,$A14)+
SUMIFS(Исход!$H:$H,Исход!$A:$A,J$1,Исход!$B:$B,$A14)+
SUMIFS(Исход!$I:$I,Исход!$A:$A,J$1,Исход!$B:$B,$A14)-
SUMIFS(Исход!$L:$L,Исход!$A:$A,J$1,Исход!$B:$B,$A14)</f>
        <v>0</v>
      </c>
      <c r="K14" s="130">
        <f>SUMIFS(Исход!$D:$D,Исход!$A:$A,K$1,Исход!$B:$B,$A14)+
SUMIFS(Исход!$G:$G,Исход!$A:$A,K$1,Исход!$B:$B,$A14)+
SUMIFS(Исход!$H:$H,Исход!$A:$A,K$1,Исход!$B:$B,$A14)+
SUMIFS(Исход!$I:$I,Исход!$A:$A,K$1,Исход!$B:$B,$A14)-
SUMIFS(Исход!$L:$L,Исход!$A:$A,K$1,Исход!$B:$B,$A14)</f>
        <v>0</v>
      </c>
      <c r="L14" s="130">
        <f>SUMIFS(Исход!$D:$D,Исход!$A:$A,L$1,Исход!$B:$B,$A14)+
SUMIFS(Исход!$G:$G,Исход!$A:$A,L$1,Исход!$B:$B,$A14)+
SUMIFS(Исход!$H:$H,Исход!$A:$A,L$1,Исход!$B:$B,$A14)+
SUMIFS(Исход!$I:$I,Исход!$A:$A,L$1,Исход!$B:$B,$A14)-
SUMIFS(Исход!$L:$L,Исход!$A:$A,L$1,Исход!$B:$B,$A14)</f>
        <v>0</v>
      </c>
      <c r="M14" s="130">
        <f>SUMIFS(Исход!$D:$D,Исход!$A:$A,M$1,Исход!$B:$B,$A14)+
SUMIFS(Исход!$G:$G,Исход!$A:$A,M$1,Исход!$B:$B,$A14)+
SUMIFS(Исход!$H:$H,Исход!$A:$A,M$1,Исход!$B:$B,$A14)+
SUMIFS(Исход!$I:$I,Исход!$A:$A,M$1,Исход!$B:$B,$A14)-
SUMIFS(Исход!$L:$L,Исход!$A:$A,M$1,Исход!$B:$B,$A14)</f>
        <v>0</v>
      </c>
      <c r="N14" s="130">
        <f>SUMIFS(Исход!$D:$D,Исход!$A:$A,N$1,Исход!$B:$B,$A14)+
SUMIFS(Исход!$G:$G,Исход!$A:$A,N$1,Исход!$B:$B,$A14)+
SUMIFS(Исход!$H:$H,Исход!$A:$A,N$1,Исход!$B:$B,$A14)+
SUMIFS(Исход!$I:$I,Исход!$A:$A,N$1,Исход!$B:$B,$A14)-
SUMIFS(Исход!$L:$L,Исход!$A:$A,N$1,Исход!$B:$B,$A14)</f>
        <v>0</v>
      </c>
      <c r="O14" s="130">
        <f>SUMIFS(Исход!$D:$D,Исход!$A:$A,O$1,Исход!$B:$B,$A14)+
SUMIFS(Исход!$G:$G,Исход!$A:$A,O$1,Исход!$B:$B,$A14)+
SUMIFS(Исход!$H:$H,Исход!$A:$A,O$1,Исход!$B:$B,$A14)+
SUMIFS(Исход!$I:$I,Исход!$A:$A,O$1,Исход!$B:$B,$A14)-
SUMIFS(Исход!$L:$L,Исход!$A:$A,O$1,Исход!$B:$B,$A14)</f>
        <v>0</v>
      </c>
      <c r="P14" s="130">
        <f>SUMIFS(Исход!$D:$D,Исход!$A:$A,P$1,Исход!$B:$B,$A14)+
SUMIFS(Исход!$G:$G,Исход!$A:$A,P$1,Исход!$B:$B,$A14)+
SUMIFS(Исход!$H:$H,Исход!$A:$A,P$1,Исход!$B:$B,$A14)+
SUMIFS(Исход!$I:$I,Исход!$A:$A,P$1,Исход!$B:$B,$A14)-
SUMIFS(Исход!$L:$L,Исход!$A:$A,P$1,Исход!$B:$B,$A14)</f>
        <v>0</v>
      </c>
      <c r="Q14" s="130">
        <f>SUMIFS(Исход!$D:$D,Исход!$A:$A,Q$1,Исход!$B:$B,$A14)+
SUMIFS(Исход!$G:$G,Исход!$A:$A,Q$1,Исход!$B:$B,$A14)+
SUMIFS(Исход!$H:$H,Исход!$A:$A,Q$1,Исход!$B:$B,$A14)+
SUMIFS(Исход!$I:$I,Исход!$A:$A,Q$1,Исход!$B:$B,$A14)-
SUMIFS(Исход!$L:$L,Исход!$A:$A,Q$1,Исход!$B:$B,$A14)</f>
        <v>0</v>
      </c>
      <c r="R14" s="130">
        <f>SUMIFS(Исход!$D:$D,Исход!$A:$A,R$1,Исход!$B:$B,$A14)+
SUMIFS(Исход!$G:$G,Исход!$A:$A,R$1,Исход!$B:$B,$A14)+
SUMIFS(Исход!$H:$H,Исход!$A:$A,R$1,Исход!$B:$B,$A14)+
SUMIFS(Исход!$I:$I,Исход!$A:$A,R$1,Исход!$B:$B,$A14)-
SUMIFS(Исход!$L:$L,Исход!$A:$A,R$1,Исход!$B:$B,$A14)</f>
        <v>0</v>
      </c>
      <c r="S14" s="130">
        <f>SUMIFS(Исход!$D:$D,Исход!$A:$A,S$1,Исход!$B:$B,$A14)+
SUMIFS(Исход!$G:$G,Исход!$A:$A,S$1,Исход!$B:$B,$A14)+
SUMIFS(Исход!$H:$H,Исход!$A:$A,S$1,Исход!$B:$B,$A14)+
SUMIFS(Исход!$I:$I,Исход!$A:$A,S$1,Исход!$B:$B,$A14)-
SUMIFS(Исход!$L:$L,Исход!$A:$A,S$1,Исход!$B:$B,$A14)</f>
        <v>0</v>
      </c>
      <c r="T14" s="130">
        <f>SUMIFS(Исход!$D:$D,Исход!$A:$A,T$1,Исход!$B:$B,$A14)+
SUMIFS(Исход!$G:$G,Исход!$A:$A,T$1,Исход!$B:$B,$A14)+
SUMIFS(Исход!$H:$H,Исход!$A:$A,T$1,Исход!$B:$B,$A14)+
SUMIFS(Исход!$I:$I,Исход!$A:$A,T$1,Исход!$B:$B,$A14)-
SUMIFS(Исход!$L:$L,Исход!$A:$A,T$1,Исход!$B:$B,$A14)</f>
        <v>0</v>
      </c>
      <c r="U14" s="130">
        <f>SUMIFS(Исход!$D:$D,Исход!$A:$A,U$1,Исход!$B:$B,$A14)+
SUMIFS(Исход!$G:$G,Исход!$A:$A,U$1,Исход!$B:$B,$A14)+
SUMIFS(Исход!$H:$H,Исход!$A:$A,U$1,Исход!$B:$B,$A14)+
SUMIFS(Исход!$I:$I,Исход!$A:$A,U$1,Исход!$B:$B,$A14)-
SUMIFS(Исход!$L:$L,Исход!$A:$A,U$1,Исход!$B:$B,$A14)</f>
        <v>0</v>
      </c>
      <c r="V14" s="130">
        <f>SUMIFS(Исход!$D:$D,Исход!$A:$A,V$1,Исход!$B:$B,$A14)+
SUMIFS(Исход!$G:$G,Исход!$A:$A,V$1,Исход!$B:$B,$A14)+
SUMIFS(Исход!$H:$H,Исход!$A:$A,V$1,Исход!$B:$B,$A14)+
SUMIFS(Исход!$I:$I,Исход!$A:$A,V$1,Исход!$B:$B,$A14)-
SUMIFS(Исход!$L:$L,Исход!$A:$A,V$1,Исход!$B:$B,$A14)</f>
        <v>0</v>
      </c>
      <c r="W14" s="130">
        <f>SUMIFS(Исход!$D:$D,Исход!$A:$A,W$1,Исход!$B:$B,$A14)+
SUMIFS(Исход!$G:$G,Исход!$A:$A,W$1,Исход!$B:$B,$A14)+
SUMIFS(Исход!$H:$H,Исход!$A:$A,W$1,Исход!$B:$B,$A14)+
SUMIFS(Исход!$I:$I,Исход!$A:$A,W$1,Исход!$B:$B,$A14)-
SUMIFS(Исход!$L:$L,Исход!$A:$A,W$1,Исход!$B:$B,$A14)</f>
        <v>0</v>
      </c>
      <c r="X14" s="130">
        <f>SUMIFS(Исход!$D:$D,Исход!$A:$A,X$1,Исход!$B:$B,$A14)+
SUMIFS(Исход!$G:$G,Исход!$A:$A,X$1,Исход!$B:$B,$A14)+
SUMIFS(Исход!$H:$H,Исход!$A:$A,X$1,Исход!$B:$B,$A14)+
SUMIFS(Исход!$I:$I,Исход!$A:$A,X$1,Исход!$B:$B,$A14)-
SUMIFS(Исход!$L:$L,Исход!$A:$A,X$1,Исход!$B:$B,$A14)</f>
        <v>0</v>
      </c>
      <c r="Y14" s="130">
        <f>SUMIFS(Исход!$D:$D,Исход!$A:$A,Y$1,Исход!$B:$B,$A14)+
SUMIFS(Исход!$G:$G,Исход!$A:$A,Y$1,Исход!$B:$B,$A14)+
SUMIFS(Исход!$H:$H,Исход!$A:$A,Y$1,Исход!$B:$B,$A14)+
SUMIFS(Исход!$I:$I,Исход!$A:$A,Y$1,Исход!$B:$B,$A14)-
SUMIFS(Исход!$L:$L,Исход!$A:$A,Y$1,Исход!$B:$B,$A14)</f>
        <v>0</v>
      </c>
      <c r="Z14" s="130">
        <f>SUMIFS(Исход!$D:$D,Исход!$A:$A,Z$1,Исход!$B:$B,$A14)+
SUMIFS(Исход!$G:$G,Исход!$A:$A,Z$1,Исход!$B:$B,$A14)+
SUMIFS(Исход!$H:$H,Исход!$A:$A,Z$1,Исход!$B:$B,$A14)+
SUMIFS(Исход!$I:$I,Исход!$A:$A,Z$1,Исход!$B:$B,$A14)-
SUMIFS(Исход!$L:$L,Исход!$A:$A,Z$1,Исход!$B:$B,$A14)</f>
        <v>0</v>
      </c>
      <c r="AA14" s="130">
        <f>SUMIFS(Исход!$D:$D,Исход!$A:$A,AA$1,Исход!$B:$B,$A14)+
SUMIFS(Исход!$G:$G,Исход!$A:$A,AA$1,Исход!$B:$B,$A14)+
SUMIFS(Исход!$H:$H,Исход!$A:$A,AA$1,Исход!$B:$B,$A14)+
SUMIFS(Исход!$I:$I,Исход!$A:$A,AA$1,Исход!$B:$B,$A14)-
SUMIFS(Исход!$L:$L,Исход!$A:$A,AA$1,Исход!$B:$B,$A14)</f>
        <v>0</v>
      </c>
      <c r="AB14" s="130">
        <f>SUMIFS(Исход!$D:$D,Исход!$A:$A,AB$1,Исход!$B:$B,$A14)+
SUMIFS(Исход!$G:$G,Исход!$A:$A,AB$1,Исход!$B:$B,$A14)+
SUMIFS(Исход!$H:$H,Исход!$A:$A,AB$1,Исход!$B:$B,$A14)+
SUMIFS(Исход!$I:$I,Исход!$A:$A,AB$1,Исход!$B:$B,$A14)-
SUMIFS(Исход!$L:$L,Исход!$A:$A,AB$1,Исход!$B:$B,$A14)</f>
        <v>0</v>
      </c>
      <c r="AC14" s="130">
        <f>SUMIFS(Исход!$D:$D,Исход!$A:$A,AC$1,Исход!$B:$B,$A14)+
SUMIFS(Исход!$G:$G,Исход!$A:$A,AC$1,Исход!$B:$B,$A14)+
SUMIFS(Исход!$H:$H,Исход!$A:$A,AC$1,Исход!$B:$B,$A14)+
SUMIFS(Исход!$I:$I,Исход!$A:$A,AC$1,Исход!$B:$B,$A14)-
SUMIFS(Исход!$L:$L,Исход!$A:$A,AC$1,Исход!$B:$B,$A14)</f>
        <v>0</v>
      </c>
      <c r="AD14" s="130">
        <f>SUMIFS(Исход!$D:$D,Исход!$A:$A,AD$1,Исход!$B:$B,$A14)+
SUMIFS(Исход!$G:$G,Исход!$A:$A,AD$1,Исход!$B:$B,$A14)+
SUMIFS(Исход!$H:$H,Исход!$A:$A,AD$1,Исход!$B:$B,$A14)+
SUMIFS(Исход!$I:$I,Исход!$A:$A,AD$1,Исход!$B:$B,$A14)-
SUMIFS(Исход!$L:$L,Исход!$A:$A,AD$1,Исход!$B:$B,$A14)</f>
        <v>0</v>
      </c>
      <c r="AE14" s="130">
        <f>SUMIFS(Исход!$D:$D,Исход!$A:$A,AE$1,Исход!$B:$B,$A14)+
SUMIFS(Исход!$G:$G,Исход!$A:$A,AE$1,Исход!$B:$B,$A14)+
SUMIFS(Исход!$H:$H,Исход!$A:$A,AE$1,Исход!$B:$B,$A14)+
SUMIFS(Исход!$I:$I,Исход!$A:$A,AE$1,Исход!$B:$B,$A14)-
SUMIFS(Исход!$L:$L,Исход!$A:$A,AE$1,Исход!$B:$B,$A14)</f>
        <v>0</v>
      </c>
      <c r="AF14" s="130">
        <f>SUMIFS(Исход!$D:$D,Исход!$A:$A,AF$1,Исход!$B:$B,$A14)+
SUMIFS(Исход!$G:$G,Исход!$A:$A,AF$1,Исход!$B:$B,$A14)+
SUMIFS(Исход!$H:$H,Исход!$A:$A,AF$1,Исход!$B:$B,$A14)+
SUMIFS(Исход!$I:$I,Исход!$A:$A,AF$1,Исход!$B:$B,$A14)-
SUMIFS(Исход!$L:$L,Исход!$A:$A,AF$1,Исход!$B:$B,$A14)</f>
        <v>0</v>
      </c>
      <c r="AG14" s="130">
        <f>SUMIFS(Исход!$D:$D,Исход!$A:$A,AG$1,Исход!$B:$B,$A14)+
SUMIFS(Исход!$G:$G,Исход!$A:$A,AG$1,Исход!$B:$B,$A14)+
SUMIFS(Исход!$H:$H,Исход!$A:$A,AG$1,Исход!$B:$B,$A14)+
SUMIFS(Исход!$I:$I,Исход!$A:$A,AG$1,Исход!$B:$B,$A14)-
SUMIFS(Исход!$L:$L,Исход!$A:$A,AG$1,Исход!$B:$B,$A14)</f>
        <v>0</v>
      </c>
    </row>
    <row r="15" spans="1:35" hidden="1" outlineLevel="1" x14ac:dyDescent="0.25">
      <c r="A15" s="102">
        <v>0.22916666666666666</v>
      </c>
      <c r="B15" s="128">
        <v>0.25</v>
      </c>
      <c r="C15" s="129">
        <f>SUMIFS(Исход!$D:$D,Исход!$A:$A,C$1,Исход!$B:$B,$A15)+
SUMIFS(Исход!$G:$G,Исход!$A:$A,C$1,Исход!$B:$B,$A15)+
SUMIFS(Исход!$H:$H,Исход!$A:$A,C$1,Исход!$B:$B,$A15)+
SUMIFS(Исход!$I:$I,Исход!$A:$A,C$1,Исход!$B:$B,$A15)-
SUMIFS(Исход!$L:$L,Исход!$A:$A,C$1,Исход!$B:$B,$A15)</f>
        <v>0</v>
      </c>
      <c r="D15" s="130">
        <f>SUMIFS(Исход!$D:$D,Исход!$A:$A,D$1,Исход!$B:$B,$A15)+
SUMIFS(Исход!$G:$G,Исход!$A:$A,D$1,Исход!$B:$B,$A15)+
SUMIFS(Исход!$H:$H,Исход!$A:$A,D$1,Исход!$B:$B,$A15)+
SUMIFS(Исход!$I:$I,Исход!$A:$A,D$1,Исход!$B:$B,$A15)-
SUMIFS(Исход!$L:$L,Исход!$A:$A,D$1,Исход!$B:$B,$A15)</f>
        <v>0</v>
      </c>
      <c r="E15" s="130">
        <f>SUMIFS(Исход!$D:$D,Исход!$A:$A,E$1,Исход!$B:$B,$A15)+
SUMIFS(Исход!$G:$G,Исход!$A:$A,E$1,Исход!$B:$B,$A15)+
SUMIFS(Исход!$H:$H,Исход!$A:$A,E$1,Исход!$B:$B,$A15)+
SUMIFS(Исход!$I:$I,Исход!$A:$A,E$1,Исход!$B:$B,$A15)-
SUMIFS(Исход!$L:$L,Исход!$A:$A,E$1,Исход!$B:$B,$A15)</f>
        <v>0</v>
      </c>
      <c r="F15" s="130">
        <f>SUMIFS(Исход!$D:$D,Исход!$A:$A,F$1,Исход!$B:$B,$A15)+
SUMIFS(Исход!$G:$G,Исход!$A:$A,F$1,Исход!$B:$B,$A15)+
SUMIFS(Исход!$H:$H,Исход!$A:$A,F$1,Исход!$B:$B,$A15)+
SUMIFS(Исход!$I:$I,Исход!$A:$A,F$1,Исход!$B:$B,$A15)-
SUMIFS(Исход!$L:$L,Исход!$A:$A,F$1,Исход!$B:$B,$A15)</f>
        <v>0</v>
      </c>
      <c r="G15" s="130">
        <f>SUMIFS(Исход!$D:$D,Исход!$A:$A,G$1,Исход!$B:$B,$A15)+
SUMIFS(Исход!$G:$G,Исход!$A:$A,G$1,Исход!$B:$B,$A15)+
SUMIFS(Исход!$H:$H,Исход!$A:$A,G$1,Исход!$B:$B,$A15)+
SUMIFS(Исход!$I:$I,Исход!$A:$A,G$1,Исход!$B:$B,$A15)-
SUMIFS(Исход!$L:$L,Исход!$A:$A,G$1,Исход!$B:$B,$A15)</f>
        <v>0</v>
      </c>
      <c r="H15" s="130">
        <f>SUMIFS(Исход!$D:$D,Исход!$A:$A,H$1,Исход!$B:$B,$A15)+
SUMIFS(Исход!$G:$G,Исход!$A:$A,H$1,Исход!$B:$B,$A15)+
SUMIFS(Исход!$H:$H,Исход!$A:$A,H$1,Исход!$B:$B,$A15)+
SUMIFS(Исход!$I:$I,Исход!$A:$A,H$1,Исход!$B:$B,$A15)-
SUMIFS(Исход!$L:$L,Исход!$A:$A,H$1,Исход!$B:$B,$A15)</f>
        <v>0</v>
      </c>
      <c r="I15" s="130">
        <f>SUMIFS(Исход!$D:$D,Исход!$A:$A,I$1,Исход!$B:$B,$A15)+
SUMIFS(Исход!$G:$G,Исход!$A:$A,I$1,Исход!$B:$B,$A15)+
SUMIFS(Исход!$H:$H,Исход!$A:$A,I$1,Исход!$B:$B,$A15)+
SUMIFS(Исход!$I:$I,Исход!$A:$A,I$1,Исход!$B:$B,$A15)-
SUMIFS(Исход!$L:$L,Исход!$A:$A,I$1,Исход!$B:$B,$A15)</f>
        <v>0</v>
      </c>
      <c r="J15" s="130">
        <f>SUMIFS(Исход!$D:$D,Исход!$A:$A,J$1,Исход!$B:$B,$A15)+
SUMIFS(Исход!$G:$G,Исход!$A:$A,J$1,Исход!$B:$B,$A15)+
SUMIFS(Исход!$H:$H,Исход!$A:$A,J$1,Исход!$B:$B,$A15)+
SUMIFS(Исход!$I:$I,Исход!$A:$A,J$1,Исход!$B:$B,$A15)-
SUMIFS(Исход!$L:$L,Исход!$A:$A,J$1,Исход!$B:$B,$A15)</f>
        <v>0</v>
      </c>
      <c r="K15" s="130">
        <f>SUMIFS(Исход!$D:$D,Исход!$A:$A,K$1,Исход!$B:$B,$A15)+
SUMIFS(Исход!$G:$G,Исход!$A:$A,K$1,Исход!$B:$B,$A15)+
SUMIFS(Исход!$H:$H,Исход!$A:$A,K$1,Исход!$B:$B,$A15)+
SUMIFS(Исход!$I:$I,Исход!$A:$A,K$1,Исход!$B:$B,$A15)-
SUMIFS(Исход!$L:$L,Исход!$A:$A,K$1,Исход!$B:$B,$A15)</f>
        <v>0</v>
      </c>
      <c r="L15" s="130">
        <f>SUMIFS(Исход!$D:$D,Исход!$A:$A,L$1,Исход!$B:$B,$A15)+
SUMIFS(Исход!$G:$G,Исход!$A:$A,L$1,Исход!$B:$B,$A15)+
SUMIFS(Исход!$H:$H,Исход!$A:$A,L$1,Исход!$B:$B,$A15)+
SUMIFS(Исход!$I:$I,Исход!$A:$A,L$1,Исход!$B:$B,$A15)-
SUMIFS(Исход!$L:$L,Исход!$A:$A,L$1,Исход!$B:$B,$A15)</f>
        <v>0</v>
      </c>
      <c r="M15" s="130">
        <f>SUMIFS(Исход!$D:$D,Исход!$A:$A,M$1,Исход!$B:$B,$A15)+
SUMIFS(Исход!$G:$G,Исход!$A:$A,M$1,Исход!$B:$B,$A15)+
SUMIFS(Исход!$H:$H,Исход!$A:$A,M$1,Исход!$B:$B,$A15)+
SUMIFS(Исход!$I:$I,Исход!$A:$A,M$1,Исход!$B:$B,$A15)-
SUMIFS(Исход!$L:$L,Исход!$A:$A,M$1,Исход!$B:$B,$A15)</f>
        <v>0</v>
      </c>
      <c r="N15" s="130">
        <f>SUMIFS(Исход!$D:$D,Исход!$A:$A,N$1,Исход!$B:$B,$A15)+
SUMIFS(Исход!$G:$G,Исход!$A:$A,N$1,Исход!$B:$B,$A15)+
SUMIFS(Исход!$H:$H,Исход!$A:$A,N$1,Исход!$B:$B,$A15)+
SUMIFS(Исход!$I:$I,Исход!$A:$A,N$1,Исход!$B:$B,$A15)-
SUMIFS(Исход!$L:$L,Исход!$A:$A,N$1,Исход!$B:$B,$A15)</f>
        <v>0</v>
      </c>
      <c r="O15" s="130">
        <f>SUMIFS(Исход!$D:$D,Исход!$A:$A,O$1,Исход!$B:$B,$A15)+
SUMIFS(Исход!$G:$G,Исход!$A:$A,O$1,Исход!$B:$B,$A15)+
SUMIFS(Исход!$H:$H,Исход!$A:$A,O$1,Исход!$B:$B,$A15)+
SUMIFS(Исход!$I:$I,Исход!$A:$A,O$1,Исход!$B:$B,$A15)-
SUMIFS(Исход!$L:$L,Исход!$A:$A,O$1,Исход!$B:$B,$A15)</f>
        <v>0</v>
      </c>
      <c r="P15" s="130">
        <f>SUMIFS(Исход!$D:$D,Исход!$A:$A,P$1,Исход!$B:$B,$A15)+
SUMIFS(Исход!$G:$G,Исход!$A:$A,P$1,Исход!$B:$B,$A15)+
SUMIFS(Исход!$H:$H,Исход!$A:$A,P$1,Исход!$B:$B,$A15)+
SUMIFS(Исход!$I:$I,Исход!$A:$A,P$1,Исход!$B:$B,$A15)-
SUMIFS(Исход!$L:$L,Исход!$A:$A,P$1,Исход!$B:$B,$A15)</f>
        <v>0</v>
      </c>
      <c r="Q15" s="130">
        <f>SUMIFS(Исход!$D:$D,Исход!$A:$A,Q$1,Исход!$B:$B,$A15)+
SUMIFS(Исход!$G:$G,Исход!$A:$A,Q$1,Исход!$B:$B,$A15)+
SUMIFS(Исход!$H:$H,Исход!$A:$A,Q$1,Исход!$B:$B,$A15)+
SUMIFS(Исход!$I:$I,Исход!$A:$A,Q$1,Исход!$B:$B,$A15)-
SUMIFS(Исход!$L:$L,Исход!$A:$A,Q$1,Исход!$B:$B,$A15)</f>
        <v>0</v>
      </c>
      <c r="R15" s="130">
        <f>SUMIFS(Исход!$D:$D,Исход!$A:$A,R$1,Исход!$B:$B,$A15)+
SUMIFS(Исход!$G:$G,Исход!$A:$A,R$1,Исход!$B:$B,$A15)+
SUMIFS(Исход!$H:$H,Исход!$A:$A,R$1,Исход!$B:$B,$A15)+
SUMIFS(Исход!$I:$I,Исход!$A:$A,R$1,Исход!$B:$B,$A15)-
SUMIFS(Исход!$L:$L,Исход!$A:$A,R$1,Исход!$B:$B,$A15)</f>
        <v>0</v>
      </c>
      <c r="S15" s="130">
        <f>SUMIFS(Исход!$D:$D,Исход!$A:$A,S$1,Исход!$B:$B,$A15)+
SUMIFS(Исход!$G:$G,Исход!$A:$A,S$1,Исход!$B:$B,$A15)+
SUMIFS(Исход!$H:$H,Исход!$A:$A,S$1,Исход!$B:$B,$A15)+
SUMIFS(Исход!$I:$I,Исход!$A:$A,S$1,Исход!$B:$B,$A15)-
SUMIFS(Исход!$L:$L,Исход!$A:$A,S$1,Исход!$B:$B,$A15)</f>
        <v>0</v>
      </c>
      <c r="T15" s="130">
        <f>SUMIFS(Исход!$D:$D,Исход!$A:$A,T$1,Исход!$B:$B,$A15)+
SUMIFS(Исход!$G:$G,Исход!$A:$A,T$1,Исход!$B:$B,$A15)+
SUMIFS(Исход!$H:$H,Исход!$A:$A,T$1,Исход!$B:$B,$A15)+
SUMIFS(Исход!$I:$I,Исход!$A:$A,T$1,Исход!$B:$B,$A15)-
SUMIFS(Исход!$L:$L,Исход!$A:$A,T$1,Исход!$B:$B,$A15)</f>
        <v>0</v>
      </c>
      <c r="U15" s="130">
        <f>SUMIFS(Исход!$D:$D,Исход!$A:$A,U$1,Исход!$B:$B,$A15)+
SUMIFS(Исход!$G:$G,Исход!$A:$A,U$1,Исход!$B:$B,$A15)+
SUMIFS(Исход!$H:$H,Исход!$A:$A,U$1,Исход!$B:$B,$A15)+
SUMIFS(Исход!$I:$I,Исход!$A:$A,U$1,Исход!$B:$B,$A15)-
SUMIFS(Исход!$L:$L,Исход!$A:$A,U$1,Исход!$B:$B,$A15)</f>
        <v>0</v>
      </c>
      <c r="V15" s="130">
        <f>SUMIFS(Исход!$D:$D,Исход!$A:$A,V$1,Исход!$B:$B,$A15)+
SUMIFS(Исход!$G:$G,Исход!$A:$A,V$1,Исход!$B:$B,$A15)+
SUMIFS(Исход!$H:$H,Исход!$A:$A,V$1,Исход!$B:$B,$A15)+
SUMIFS(Исход!$I:$I,Исход!$A:$A,V$1,Исход!$B:$B,$A15)-
SUMIFS(Исход!$L:$L,Исход!$A:$A,V$1,Исход!$B:$B,$A15)</f>
        <v>0</v>
      </c>
      <c r="W15" s="130">
        <f>SUMIFS(Исход!$D:$D,Исход!$A:$A,W$1,Исход!$B:$B,$A15)+
SUMIFS(Исход!$G:$G,Исход!$A:$A,W$1,Исход!$B:$B,$A15)+
SUMIFS(Исход!$H:$H,Исход!$A:$A,W$1,Исход!$B:$B,$A15)+
SUMIFS(Исход!$I:$I,Исход!$A:$A,W$1,Исход!$B:$B,$A15)-
SUMIFS(Исход!$L:$L,Исход!$A:$A,W$1,Исход!$B:$B,$A15)</f>
        <v>0</v>
      </c>
      <c r="X15" s="130">
        <f>SUMIFS(Исход!$D:$D,Исход!$A:$A,X$1,Исход!$B:$B,$A15)+
SUMIFS(Исход!$G:$G,Исход!$A:$A,X$1,Исход!$B:$B,$A15)+
SUMIFS(Исход!$H:$H,Исход!$A:$A,X$1,Исход!$B:$B,$A15)+
SUMIFS(Исход!$I:$I,Исход!$A:$A,X$1,Исход!$B:$B,$A15)-
SUMIFS(Исход!$L:$L,Исход!$A:$A,X$1,Исход!$B:$B,$A15)</f>
        <v>0</v>
      </c>
      <c r="Y15" s="130">
        <f>SUMIFS(Исход!$D:$D,Исход!$A:$A,Y$1,Исход!$B:$B,$A15)+
SUMIFS(Исход!$G:$G,Исход!$A:$A,Y$1,Исход!$B:$B,$A15)+
SUMIFS(Исход!$H:$H,Исход!$A:$A,Y$1,Исход!$B:$B,$A15)+
SUMIFS(Исход!$I:$I,Исход!$A:$A,Y$1,Исход!$B:$B,$A15)-
SUMIFS(Исход!$L:$L,Исход!$A:$A,Y$1,Исход!$B:$B,$A15)</f>
        <v>0</v>
      </c>
      <c r="Z15" s="130">
        <f>SUMIFS(Исход!$D:$D,Исход!$A:$A,Z$1,Исход!$B:$B,$A15)+
SUMIFS(Исход!$G:$G,Исход!$A:$A,Z$1,Исход!$B:$B,$A15)+
SUMIFS(Исход!$H:$H,Исход!$A:$A,Z$1,Исход!$B:$B,$A15)+
SUMIFS(Исход!$I:$I,Исход!$A:$A,Z$1,Исход!$B:$B,$A15)-
SUMIFS(Исход!$L:$L,Исход!$A:$A,Z$1,Исход!$B:$B,$A15)</f>
        <v>0</v>
      </c>
      <c r="AA15" s="130">
        <f>SUMIFS(Исход!$D:$D,Исход!$A:$A,AA$1,Исход!$B:$B,$A15)+
SUMIFS(Исход!$G:$G,Исход!$A:$A,AA$1,Исход!$B:$B,$A15)+
SUMIFS(Исход!$H:$H,Исход!$A:$A,AA$1,Исход!$B:$B,$A15)+
SUMIFS(Исход!$I:$I,Исход!$A:$A,AA$1,Исход!$B:$B,$A15)-
SUMIFS(Исход!$L:$L,Исход!$A:$A,AA$1,Исход!$B:$B,$A15)</f>
        <v>0</v>
      </c>
      <c r="AB15" s="130">
        <f>SUMIFS(Исход!$D:$D,Исход!$A:$A,AB$1,Исход!$B:$B,$A15)+
SUMIFS(Исход!$G:$G,Исход!$A:$A,AB$1,Исход!$B:$B,$A15)+
SUMIFS(Исход!$H:$H,Исход!$A:$A,AB$1,Исход!$B:$B,$A15)+
SUMIFS(Исход!$I:$I,Исход!$A:$A,AB$1,Исход!$B:$B,$A15)-
SUMIFS(Исход!$L:$L,Исход!$A:$A,AB$1,Исход!$B:$B,$A15)</f>
        <v>0</v>
      </c>
      <c r="AC15" s="130">
        <f>SUMIFS(Исход!$D:$D,Исход!$A:$A,AC$1,Исход!$B:$B,$A15)+
SUMIFS(Исход!$G:$G,Исход!$A:$A,AC$1,Исход!$B:$B,$A15)+
SUMIFS(Исход!$H:$H,Исход!$A:$A,AC$1,Исход!$B:$B,$A15)+
SUMIFS(Исход!$I:$I,Исход!$A:$A,AC$1,Исход!$B:$B,$A15)-
SUMIFS(Исход!$L:$L,Исход!$A:$A,AC$1,Исход!$B:$B,$A15)</f>
        <v>0</v>
      </c>
      <c r="AD15" s="130">
        <f>SUMIFS(Исход!$D:$D,Исход!$A:$A,AD$1,Исход!$B:$B,$A15)+
SUMIFS(Исход!$G:$G,Исход!$A:$A,AD$1,Исход!$B:$B,$A15)+
SUMIFS(Исход!$H:$H,Исход!$A:$A,AD$1,Исход!$B:$B,$A15)+
SUMIFS(Исход!$I:$I,Исход!$A:$A,AD$1,Исход!$B:$B,$A15)-
SUMIFS(Исход!$L:$L,Исход!$A:$A,AD$1,Исход!$B:$B,$A15)</f>
        <v>0</v>
      </c>
      <c r="AE15" s="130">
        <f>SUMIFS(Исход!$D:$D,Исход!$A:$A,AE$1,Исход!$B:$B,$A15)+
SUMIFS(Исход!$G:$G,Исход!$A:$A,AE$1,Исход!$B:$B,$A15)+
SUMIFS(Исход!$H:$H,Исход!$A:$A,AE$1,Исход!$B:$B,$A15)+
SUMIFS(Исход!$I:$I,Исход!$A:$A,AE$1,Исход!$B:$B,$A15)-
SUMIFS(Исход!$L:$L,Исход!$A:$A,AE$1,Исход!$B:$B,$A15)</f>
        <v>0</v>
      </c>
      <c r="AF15" s="130">
        <f>SUMIFS(Исход!$D:$D,Исход!$A:$A,AF$1,Исход!$B:$B,$A15)+
SUMIFS(Исход!$G:$G,Исход!$A:$A,AF$1,Исход!$B:$B,$A15)+
SUMIFS(Исход!$H:$H,Исход!$A:$A,AF$1,Исход!$B:$B,$A15)+
SUMIFS(Исход!$I:$I,Исход!$A:$A,AF$1,Исход!$B:$B,$A15)-
SUMIFS(Исход!$L:$L,Исход!$A:$A,AF$1,Исход!$B:$B,$A15)</f>
        <v>0</v>
      </c>
      <c r="AG15" s="130">
        <f>SUMIFS(Исход!$D:$D,Исход!$A:$A,AG$1,Исход!$B:$B,$A15)+
SUMIFS(Исход!$G:$G,Исход!$A:$A,AG$1,Исход!$B:$B,$A15)+
SUMIFS(Исход!$H:$H,Исход!$A:$A,AG$1,Исход!$B:$B,$A15)+
SUMIFS(Исход!$I:$I,Исход!$A:$A,AG$1,Исход!$B:$B,$A15)-
SUMIFS(Исход!$L:$L,Исход!$A:$A,AG$1,Исход!$B:$B,$A15)</f>
        <v>0</v>
      </c>
    </row>
    <row r="16" spans="1:35" hidden="1" outlineLevel="1" x14ac:dyDescent="0.25">
      <c r="A16" s="102">
        <v>0.25</v>
      </c>
      <c r="B16" s="128">
        <v>0.27083333333333331</v>
      </c>
      <c r="C16" s="129">
        <f>SUMIFS(Исход!$D:$D,Исход!$A:$A,C$1,Исход!$B:$B,$A16)+
SUMIFS(Исход!$G:$G,Исход!$A:$A,C$1,Исход!$B:$B,$A16)+
SUMIFS(Исход!$H:$H,Исход!$A:$A,C$1,Исход!$B:$B,$A16)+
SUMIFS(Исход!$I:$I,Исход!$A:$A,C$1,Исход!$B:$B,$A16)-
SUMIFS(Исход!$L:$L,Исход!$A:$A,C$1,Исход!$B:$B,$A16)</f>
        <v>0</v>
      </c>
      <c r="D16" s="130">
        <f>SUMIFS(Исход!$D:$D,Исход!$A:$A,D$1,Исход!$B:$B,$A16)+
SUMIFS(Исход!$G:$G,Исход!$A:$A,D$1,Исход!$B:$B,$A16)+
SUMIFS(Исход!$H:$H,Исход!$A:$A,D$1,Исход!$B:$B,$A16)+
SUMIFS(Исход!$I:$I,Исход!$A:$A,D$1,Исход!$B:$B,$A16)-
SUMIFS(Исход!$L:$L,Исход!$A:$A,D$1,Исход!$B:$B,$A16)</f>
        <v>0</v>
      </c>
      <c r="E16" s="130">
        <f>SUMIFS(Исход!$D:$D,Исход!$A:$A,E$1,Исход!$B:$B,$A16)+
SUMIFS(Исход!$G:$G,Исход!$A:$A,E$1,Исход!$B:$B,$A16)+
SUMIFS(Исход!$H:$H,Исход!$A:$A,E$1,Исход!$B:$B,$A16)+
SUMIFS(Исход!$I:$I,Исход!$A:$A,E$1,Исход!$B:$B,$A16)-
SUMIFS(Исход!$L:$L,Исход!$A:$A,E$1,Исход!$B:$B,$A16)</f>
        <v>0</v>
      </c>
      <c r="F16" s="130">
        <f>SUMIFS(Исход!$D:$D,Исход!$A:$A,F$1,Исход!$B:$B,$A16)+
SUMIFS(Исход!$G:$G,Исход!$A:$A,F$1,Исход!$B:$B,$A16)+
SUMIFS(Исход!$H:$H,Исход!$A:$A,F$1,Исход!$B:$B,$A16)+
SUMIFS(Исход!$I:$I,Исход!$A:$A,F$1,Исход!$B:$B,$A16)-
SUMIFS(Исход!$L:$L,Исход!$A:$A,F$1,Исход!$B:$B,$A16)</f>
        <v>0</v>
      </c>
      <c r="G16" s="130">
        <f>SUMIFS(Исход!$D:$D,Исход!$A:$A,G$1,Исход!$B:$B,$A16)+
SUMIFS(Исход!$G:$G,Исход!$A:$A,G$1,Исход!$B:$B,$A16)+
SUMIFS(Исход!$H:$H,Исход!$A:$A,G$1,Исход!$B:$B,$A16)+
SUMIFS(Исход!$I:$I,Исход!$A:$A,G$1,Исход!$B:$B,$A16)-
SUMIFS(Исход!$L:$L,Исход!$A:$A,G$1,Исход!$B:$B,$A16)</f>
        <v>0</v>
      </c>
      <c r="H16" s="130">
        <f>SUMIFS(Исход!$D:$D,Исход!$A:$A,H$1,Исход!$B:$B,$A16)+
SUMIFS(Исход!$G:$G,Исход!$A:$A,H$1,Исход!$B:$B,$A16)+
SUMIFS(Исход!$H:$H,Исход!$A:$A,H$1,Исход!$B:$B,$A16)+
SUMIFS(Исход!$I:$I,Исход!$A:$A,H$1,Исход!$B:$B,$A16)-
SUMIFS(Исход!$L:$L,Исход!$A:$A,H$1,Исход!$B:$B,$A16)</f>
        <v>0</v>
      </c>
      <c r="I16" s="130">
        <f>SUMIFS(Исход!$D:$D,Исход!$A:$A,I$1,Исход!$B:$B,$A16)+
SUMIFS(Исход!$G:$G,Исход!$A:$A,I$1,Исход!$B:$B,$A16)+
SUMIFS(Исход!$H:$H,Исход!$A:$A,I$1,Исход!$B:$B,$A16)+
SUMIFS(Исход!$I:$I,Исход!$A:$A,I$1,Исход!$B:$B,$A16)-
SUMIFS(Исход!$L:$L,Исход!$A:$A,I$1,Исход!$B:$B,$A16)</f>
        <v>0</v>
      </c>
      <c r="J16" s="130">
        <f>SUMIFS(Исход!$D:$D,Исход!$A:$A,J$1,Исход!$B:$B,$A16)+
SUMIFS(Исход!$G:$G,Исход!$A:$A,J$1,Исход!$B:$B,$A16)+
SUMIFS(Исход!$H:$H,Исход!$A:$A,J$1,Исход!$B:$B,$A16)+
SUMIFS(Исход!$I:$I,Исход!$A:$A,J$1,Исход!$B:$B,$A16)-
SUMIFS(Исход!$L:$L,Исход!$A:$A,J$1,Исход!$B:$B,$A16)</f>
        <v>0</v>
      </c>
      <c r="K16" s="130">
        <f>SUMIFS(Исход!$D:$D,Исход!$A:$A,K$1,Исход!$B:$B,$A16)+
SUMIFS(Исход!$G:$G,Исход!$A:$A,K$1,Исход!$B:$B,$A16)+
SUMIFS(Исход!$H:$H,Исход!$A:$A,K$1,Исход!$B:$B,$A16)+
SUMIFS(Исход!$I:$I,Исход!$A:$A,K$1,Исход!$B:$B,$A16)-
SUMIFS(Исход!$L:$L,Исход!$A:$A,K$1,Исход!$B:$B,$A16)</f>
        <v>0</v>
      </c>
      <c r="L16" s="130">
        <f>SUMIFS(Исход!$D:$D,Исход!$A:$A,L$1,Исход!$B:$B,$A16)+
SUMIFS(Исход!$G:$G,Исход!$A:$A,L$1,Исход!$B:$B,$A16)+
SUMIFS(Исход!$H:$H,Исход!$A:$A,L$1,Исход!$B:$B,$A16)+
SUMIFS(Исход!$I:$I,Исход!$A:$A,L$1,Исход!$B:$B,$A16)-
SUMIFS(Исход!$L:$L,Исход!$A:$A,L$1,Исход!$B:$B,$A16)</f>
        <v>0</v>
      </c>
      <c r="M16" s="130">
        <f>SUMIFS(Исход!$D:$D,Исход!$A:$A,M$1,Исход!$B:$B,$A16)+
SUMIFS(Исход!$G:$G,Исход!$A:$A,M$1,Исход!$B:$B,$A16)+
SUMIFS(Исход!$H:$H,Исход!$A:$A,M$1,Исход!$B:$B,$A16)+
SUMIFS(Исход!$I:$I,Исход!$A:$A,M$1,Исход!$B:$B,$A16)-
SUMIFS(Исход!$L:$L,Исход!$A:$A,M$1,Исход!$B:$B,$A16)</f>
        <v>0</v>
      </c>
      <c r="N16" s="130">
        <f>SUMIFS(Исход!$D:$D,Исход!$A:$A,N$1,Исход!$B:$B,$A16)+
SUMIFS(Исход!$G:$G,Исход!$A:$A,N$1,Исход!$B:$B,$A16)+
SUMIFS(Исход!$H:$H,Исход!$A:$A,N$1,Исход!$B:$B,$A16)+
SUMIFS(Исход!$I:$I,Исход!$A:$A,N$1,Исход!$B:$B,$A16)-
SUMIFS(Исход!$L:$L,Исход!$A:$A,N$1,Исход!$B:$B,$A16)</f>
        <v>0</v>
      </c>
      <c r="O16" s="130">
        <f>SUMIFS(Исход!$D:$D,Исход!$A:$A,O$1,Исход!$B:$B,$A16)+
SUMIFS(Исход!$G:$G,Исход!$A:$A,O$1,Исход!$B:$B,$A16)+
SUMIFS(Исход!$H:$H,Исход!$A:$A,O$1,Исход!$B:$B,$A16)+
SUMIFS(Исход!$I:$I,Исход!$A:$A,O$1,Исход!$B:$B,$A16)-
SUMIFS(Исход!$L:$L,Исход!$A:$A,O$1,Исход!$B:$B,$A16)</f>
        <v>0</v>
      </c>
      <c r="P16" s="130">
        <f>SUMIFS(Исход!$D:$D,Исход!$A:$A,P$1,Исход!$B:$B,$A16)+
SUMIFS(Исход!$G:$G,Исход!$A:$A,P$1,Исход!$B:$B,$A16)+
SUMIFS(Исход!$H:$H,Исход!$A:$A,P$1,Исход!$B:$B,$A16)+
SUMIFS(Исход!$I:$I,Исход!$A:$A,P$1,Исход!$B:$B,$A16)-
SUMIFS(Исход!$L:$L,Исход!$A:$A,P$1,Исход!$B:$B,$A16)</f>
        <v>0</v>
      </c>
      <c r="Q16" s="130">
        <f>SUMIFS(Исход!$D:$D,Исход!$A:$A,Q$1,Исход!$B:$B,$A16)+
SUMIFS(Исход!$G:$G,Исход!$A:$A,Q$1,Исход!$B:$B,$A16)+
SUMIFS(Исход!$H:$H,Исход!$A:$A,Q$1,Исход!$B:$B,$A16)+
SUMIFS(Исход!$I:$I,Исход!$A:$A,Q$1,Исход!$B:$B,$A16)-
SUMIFS(Исход!$L:$L,Исход!$A:$A,Q$1,Исход!$B:$B,$A16)</f>
        <v>0</v>
      </c>
      <c r="R16" s="130">
        <f>SUMIFS(Исход!$D:$D,Исход!$A:$A,R$1,Исход!$B:$B,$A16)+
SUMIFS(Исход!$G:$G,Исход!$A:$A,R$1,Исход!$B:$B,$A16)+
SUMIFS(Исход!$H:$H,Исход!$A:$A,R$1,Исход!$B:$B,$A16)+
SUMIFS(Исход!$I:$I,Исход!$A:$A,R$1,Исход!$B:$B,$A16)-
SUMIFS(Исход!$L:$L,Исход!$A:$A,R$1,Исход!$B:$B,$A16)</f>
        <v>0</v>
      </c>
      <c r="S16" s="130">
        <f>SUMIFS(Исход!$D:$D,Исход!$A:$A,S$1,Исход!$B:$B,$A16)+
SUMIFS(Исход!$G:$G,Исход!$A:$A,S$1,Исход!$B:$B,$A16)+
SUMIFS(Исход!$H:$H,Исход!$A:$A,S$1,Исход!$B:$B,$A16)+
SUMIFS(Исход!$I:$I,Исход!$A:$A,S$1,Исход!$B:$B,$A16)-
SUMIFS(Исход!$L:$L,Исход!$A:$A,S$1,Исход!$B:$B,$A16)</f>
        <v>0</v>
      </c>
      <c r="T16" s="130">
        <f>SUMIFS(Исход!$D:$D,Исход!$A:$A,T$1,Исход!$B:$B,$A16)+
SUMIFS(Исход!$G:$G,Исход!$A:$A,T$1,Исход!$B:$B,$A16)+
SUMIFS(Исход!$H:$H,Исход!$A:$A,T$1,Исход!$B:$B,$A16)+
SUMIFS(Исход!$I:$I,Исход!$A:$A,T$1,Исход!$B:$B,$A16)-
SUMIFS(Исход!$L:$L,Исход!$A:$A,T$1,Исход!$B:$B,$A16)</f>
        <v>0</v>
      </c>
      <c r="U16" s="130">
        <f>SUMIFS(Исход!$D:$D,Исход!$A:$A,U$1,Исход!$B:$B,$A16)+
SUMIFS(Исход!$G:$G,Исход!$A:$A,U$1,Исход!$B:$B,$A16)+
SUMIFS(Исход!$H:$H,Исход!$A:$A,U$1,Исход!$B:$B,$A16)+
SUMIFS(Исход!$I:$I,Исход!$A:$A,U$1,Исход!$B:$B,$A16)-
SUMIFS(Исход!$L:$L,Исход!$A:$A,U$1,Исход!$B:$B,$A16)</f>
        <v>0</v>
      </c>
      <c r="V16" s="130">
        <f>SUMIFS(Исход!$D:$D,Исход!$A:$A,V$1,Исход!$B:$B,$A16)+
SUMIFS(Исход!$G:$G,Исход!$A:$A,V$1,Исход!$B:$B,$A16)+
SUMIFS(Исход!$H:$H,Исход!$A:$A,V$1,Исход!$B:$B,$A16)+
SUMIFS(Исход!$I:$I,Исход!$A:$A,V$1,Исход!$B:$B,$A16)-
SUMIFS(Исход!$L:$L,Исход!$A:$A,V$1,Исход!$B:$B,$A16)</f>
        <v>0</v>
      </c>
      <c r="W16" s="130">
        <f>SUMIFS(Исход!$D:$D,Исход!$A:$A,W$1,Исход!$B:$B,$A16)+
SUMIFS(Исход!$G:$G,Исход!$A:$A,W$1,Исход!$B:$B,$A16)+
SUMIFS(Исход!$H:$H,Исход!$A:$A,W$1,Исход!$B:$B,$A16)+
SUMIFS(Исход!$I:$I,Исход!$A:$A,W$1,Исход!$B:$B,$A16)-
SUMIFS(Исход!$L:$L,Исход!$A:$A,W$1,Исход!$B:$B,$A16)</f>
        <v>0</v>
      </c>
      <c r="X16" s="130">
        <f>SUMIFS(Исход!$D:$D,Исход!$A:$A,X$1,Исход!$B:$B,$A16)+
SUMIFS(Исход!$G:$G,Исход!$A:$A,X$1,Исход!$B:$B,$A16)+
SUMIFS(Исход!$H:$H,Исход!$A:$A,X$1,Исход!$B:$B,$A16)+
SUMIFS(Исход!$I:$I,Исход!$A:$A,X$1,Исход!$B:$B,$A16)-
SUMIFS(Исход!$L:$L,Исход!$A:$A,X$1,Исход!$B:$B,$A16)</f>
        <v>0</v>
      </c>
      <c r="Y16" s="130">
        <f>SUMIFS(Исход!$D:$D,Исход!$A:$A,Y$1,Исход!$B:$B,$A16)+
SUMIFS(Исход!$G:$G,Исход!$A:$A,Y$1,Исход!$B:$B,$A16)+
SUMIFS(Исход!$H:$H,Исход!$A:$A,Y$1,Исход!$B:$B,$A16)+
SUMIFS(Исход!$I:$I,Исход!$A:$A,Y$1,Исход!$B:$B,$A16)-
SUMIFS(Исход!$L:$L,Исход!$A:$A,Y$1,Исход!$B:$B,$A16)</f>
        <v>0</v>
      </c>
      <c r="Z16" s="130">
        <f>SUMIFS(Исход!$D:$D,Исход!$A:$A,Z$1,Исход!$B:$B,$A16)+
SUMIFS(Исход!$G:$G,Исход!$A:$A,Z$1,Исход!$B:$B,$A16)+
SUMIFS(Исход!$H:$H,Исход!$A:$A,Z$1,Исход!$B:$B,$A16)+
SUMIFS(Исход!$I:$I,Исход!$A:$A,Z$1,Исход!$B:$B,$A16)-
SUMIFS(Исход!$L:$L,Исход!$A:$A,Z$1,Исход!$B:$B,$A16)</f>
        <v>0</v>
      </c>
      <c r="AA16" s="130">
        <f>SUMIFS(Исход!$D:$D,Исход!$A:$A,AA$1,Исход!$B:$B,$A16)+
SUMIFS(Исход!$G:$G,Исход!$A:$A,AA$1,Исход!$B:$B,$A16)+
SUMIFS(Исход!$H:$H,Исход!$A:$A,AA$1,Исход!$B:$B,$A16)+
SUMIFS(Исход!$I:$I,Исход!$A:$A,AA$1,Исход!$B:$B,$A16)-
SUMIFS(Исход!$L:$L,Исход!$A:$A,AA$1,Исход!$B:$B,$A16)</f>
        <v>0</v>
      </c>
      <c r="AB16" s="130">
        <f>SUMIFS(Исход!$D:$D,Исход!$A:$A,AB$1,Исход!$B:$B,$A16)+
SUMIFS(Исход!$G:$G,Исход!$A:$A,AB$1,Исход!$B:$B,$A16)+
SUMIFS(Исход!$H:$H,Исход!$A:$A,AB$1,Исход!$B:$B,$A16)+
SUMIFS(Исход!$I:$I,Исход!$A:$A,AB$1,Исход!$B:$B,$A16)-
SUMIFS(Исход!$L:$L,Исход!$A:$A,AB$1,Исход!$B:$B,$A16)</f>
        <v>0</v>
      </c>
      <c r="AC16" s="130">
        <f>SUMIFS(Исход!$D:$D,Исход!$A:$A,AC$1,Исход!$B:$B,$A16)+
SUMIFS(Исход!$G:$G,Исход!$A:$A,AC$1,Исход!$B:$B,$A16)+
SUMIFS(Исход!$H:$H,Исход!$A:$A,AC$1,Исход!$B:$B,$A16)+
SUMIFS(Исход!$I:$I,Исход!$A:$A,AC$1,Исход!$B:$B,$A16)-
SUMIFS(Исход!$L:$L,Исход!$A:$A,AC$1,Исход!$B:$B,$A16)</f>
        <v>0</v>
      </c>
      <c r="AD16" s="130">
        <f>SUMIFS(Исход!$D:$D,Исход!$A:$A,AD$1,Исход!$B:$B,$A16)+
SUMIFS(Исход!$G:$G,Исход!$A:$A,AD$1,Исход!$B:$B,$A16)+
SUMIFS(Исход!$H:$H,Исход!$A:$A,AD$1,Исход!$B:$B,$A16)+
SUMIFS(Исход!$I:$I,Исход!$A:$A,AD$1,Исход!$B:$B,$A16)-
SUMIFS(Исход!$L:$L,Исход!$A:$A,AD$1,Исход!$B:$B,$A16)</f>
        <v>0</v>
      </c>
      <c r="AE16" s="130">
        <f>SUMIFS(Исход!$D:$D,Исход!$A:$A,AE$1,Исход!$B:$B,$A16)+
SUMIFS(Исход!$G:$G,Исход!$A:$A,AE$1,Исход!$B:$B,$A16)+
SUMIFS(Исход!$H:$H,Исход!$A:$A,AE$1,Исход!$B:$B,$A16)+
SUMIFS(Исход!$I:$I,Исход!$A:$A,AE$1,Исход!$B:$B,$A16)-
SUMIFS(Исход!$L:$L,Исход!$A:$A,AE$1,Исход!$B:$B,$A16)</f>
        <v>0</v>
      </c>
      <c r="AF16" s="130">
        <f>SUMIFS(Исход!$D:$D,Исход!$A:$A,AF$1,Исход!$B:$B,$A16)+
SUMIFS(Исход!$G:$G,Исход!$A:$A,AF$1,Исход!$B:$B,$A16)+
SUMIFS(Исход!$H:$H,Исход!$A:$A,AF$1,Исход!$B:$B,$A16)+
SUMIFS(Исход!$I:$I,Исход!$A:$A,AF$1,Исход!$B:$B,$A16)-
SUMIFS(Исход!$L:$L,Исход!$A:$A,AF$1,Исход!$B:$B,$A16)</f>
        <v>0</v>
      </c>
      <c r="AG16" s="130">
        <f>SUMIFS(Исход!$D:$D,Исход!$A:$A,AG$1,Исход!$B:$B,$A16)+
SUMIFS(Исход!$G:$G,Исход!$A:$A,AG$1,Исход!$B:$B,$A16)+
SUMIFS(Исход!$H:$H,Исход!$A:$A,AG$1,Исход!$B:$B,$A16)+
SUMIFS(Исход!$I:$I,Исход!$A:$A,AG$1,Исход!$B:$B,$A16)-
SUMIFS(Исход!$L:$L,Исход!$A:$A,AG$1,Исход!$B:$B,$A16)</f>
        <v>0</v>
      </c>
    </row>
    <row r="17" spans="1:33" ht="15.75" hidden="1" outlineLevel="1" thickBot="1" x14ac:dyDescent="0.3">
      <c r="A17" s="104">
        <v>0.27083333333333331</v>
      </c>
      <c r="B17" s="131">
        <v>0.29166666666666669</v>
      </c>
      <c r="C17" s="132">
        <f>SUMIFS(Исход!$D:$D,Исход!$A:$A,C$1,Исход!$B:$B,$A17)+
SUMIFS(Исход!$G:$G,Исход!$A:$A,C$1,Исход!$B:$B,$A17)+
SUMIFS(Исход!$H:$H,Исход!$A:$A,C$1,Исход!$B:$B,$A17)+
SUMIFS(Исход!$I:$I,Исход!$A:$A,C$1,Исход!$B:$B,$A17)-
SUMIFS(Исход!$L:$L,Исход!$A:$A,C$1,Исход!$B:$B,$A17)</f>
        <v>0</v>
      </c>
      <c r="D17" s="133">
        <f>SUMIFS(Исход!$D:$D,Исход!$A:$A,D$1,Исход!$B:$B,$A17)+
SUMIFS(Исход!$G:$G,Исход!$A:$A,D$1,Исход!$B:$B,$A17)+
SUMIFS(Исход!$H:$H,Исход!$A:$A,D$1,Исход!$B:$B,$A17)+
SUMIFS(Исход!$I:$I,Исход!$A:$A,D$1,Исход!$B:$B,$A17)-
SUMIFS(Исход!$L:$L,Исход!$A:$A,D$1,Исход!$B:$B,$A17)</f>
        <v>0</v>
      </c>
      <c r="E17" s="133">
        <f>SUMIFS(Исход!$D:$D,Исход!$A:$A,E$1,Исход!$B:$B,$A17)+
SUMIFS(Исход!$G:$G,Исход!$A:$A,E$1,Исход!$B:$B,$A17)+
SUMIFS(Исход!$H:$H,Исход!$A:$A,E$1,Исход!$B:$B,$A17)+
SUMIFS(Исход!$I:$I,Исход!$A:$A,E$1,Исход!$B:$B,$A17)-
SUMIFS(Исход!$L:$L,Исход!$A:$A,E$1,Исход!$B:$B,$A17)</f>
        <v>0</v>
      </c>
      <c r="F17" s="133">
        <f>SUMIFS(Исход!$D:$D,Исход!$A:$A,F$1,Исход!$B:$B,$A17)+
SUMIFS(Исход!$G:$G,Исход!$A:$A,F$1,Исход!$B:$B,$A17)+
SUMIFS(Исход!$H:$H,Исход!$A:$A,F$1,Исход!$B:$B,$A17)+
SUMIFS(Исход!$I:$I,Исход!$A:$A,F$1,Исход!$B:$B,$A17)-
SUMIFS(Исход!$L:$L,Исход!$A:$A,F$1,Исход!$B:$B,$A17)</f>
        <v>0</v>
      </c>
      <c r="G17" s="133">
        <f>SUMIFS(Исход!$D:$D,Исход!$A:$A,G$1,Исход!$B:$B,$A17)+
SUMIFS(Исход!$G:$G,Исход!$A:$A,G$1,Исход!$B:$B,$A17)+
SUMIFS(Исход!$H:$H,Исход!$A:$A,G$1,Исход!$B:$B,$A17)+
SUMIFS(Исход!$I:$I,Исход!$A:$A,G$1,Исход!$B:$B,$A17)-
SUMIFS(Исход!$L:$L,Исход!$A:$A,G$1,Исход!$B:$B,$A17)</f>
        <v>0</v>
      </c>
      <c r="H17" s="133">
        <f>SUMIFS(Исход!$D:$D,Исход!$A:$A,H$1,Исход!$B:$B,$A17)+
SUMIFS(Исход!$G:$G,Исход!$A:$A,H$1,Исход!$B:$B,$A17)+
SUMIFS(Исход!$H:$H,Исход!$A:$A,H$1,Исход!$B:$B,$A17)+
SUMIFS(Исход!$I:$I,Исход!$A:$A,H$1,Исход!$B:$B,$A17)-
SUMIFS(Исход!$L:$L,Исход!$A:$A,H$1,Исход!$B:$B,$A17)</f>
        <v>0</v>
      </c>
      <c r="I17" s="133">
        <f>SUMIFS(Исход!$D:$D,Исход!$A:$A,I$1,Исход!$B:$B,$A17)+
SUMIFS(Исход!$G:$G,Исход!$A:$A,I$1,Исход!$B:$B,$A17)+
SUMIFS(Исход!$H:$H,Исход!$A:$A,I$1,Исход!$B:$B,$A17)+
SUMIFS(Исход!$I:$I,Исход!$A:$A,I$1,Исход!$B:$B,$A17)-
SUMIFS(Исход!$L:$L,Исход!$A:$A,I$1,Исход!$B:$B,$A17)</f>
        <v>0</v>
      </c>
      <c r="J17" s="133">
        <f>SUMIFS(Исход!$D:$D,Исход!$A:$A,J$1,Исход!$B:$B,$A17)+
SUMIFS(Исход!$G:$G,Исход!$A:$A,J$1,Исход!$B:$B,$A17)+
SUMIFS(Исход!$H:$H,Исход!$A:$A,J$1,Исход!$B:$B,$A17)+
SUMIFS(Исход!$I:$I,Исход!$A:$A,J$1,Исход!$B:$B,$A17)-
SUMIFS(Исход!$L:$L,Исход!$A:$A,J$1,Исход!$B:$B,$A17)</f>
        <v>0</v>
      </c>
      <c r="K17" s="133">
        <f>SUMIFS(Исход!$D:$D,Исход!$A:$A,K$1,Исход!$B:$B,$A17)+
SUMIFS(Исход!$G:$G,Исход!$A:$A,K$1,Исход!$B:$B,$A17)+
SUMIFS(Исход!$H:$H,Исход!$A:$A,K$1,Исход!$B:$B,$A17)+
SUMIFS(Исход!$I:$I,Исход!$A:$A,K$1,Исход!$B:$B,$A17)-
SUMIFS(Исход!$L:$L,Исход!$A:$A,K$1,Исход!$B:$B,$A17)</f>
        <v>0</v>
      </c>
      <c r="L17" s="133">
        <f>SUMIFS(Исход!$D:$D,Исход!$A:$A,L$1,Исход!$B:$B,$A17)+
SUMIFS(Исход!$G:$G,Исход!$A:$A,L$1,Исход!$B:$B,$A17)+
SUMIFS(Исход!$H:$H,Исход!$A:$A,L$1,Исход!$B:$B,$A17)+
SUMIFS(Исход!$I:$I,Исход!$A:$A,L$1,Исход!$B:$B,$A17)-
SUMIFS(Исход!$L:$L,Исход!$A:$A,L$1,Исход!$B:$B,$A17)</f>
        <v>0</v>
      </c>
      <c r="M17" s="133">
        <f>SUMIFS(Исход!$D:$D,Исход!$A:$A,M$1,Исход!$B:$B,$A17)+
SUMIFS(Исход!$G:$G,Исход!$A:$A,M$1,Исход!$B:$B,$A17)+
SUMIFS(Исход!$H:$H,Исход!$A:$A,M$1,Исход!$B:$B,$A17)+
SUMIFS(Исход!$I:$I,Исход!$A:$A,M$1,Исход!$B:$B,$A17)-
SUMIFS(Исход!$L:$L,Исход!$A:$A,M$1,Исход!$B:$B,$A17)</f>
        <v>0</v>
      </c>
      <c r="N17" s="133">
        <f>SUMIFS(Исход!$D:$D,Исход!$A:$A,N$1,Исход!$B:$B,$A17)+
SUMIFS(Исход!$G:$G,Исход!$A:$A,N$1,Исход!$B:$B,$A17)+
SUMIFS(Исход!$H:$H,Исход!$A:$A,N$1,Исход!$B:$B,$A17)+
SUMIFS(Исход!$I:$I,Исход!$A:$A,N$1,Исход!$B:$B,$A17)-
SUMIFS(Исход!$L:$L,Исход!$A:$A,N$1,Исход!$B:$B,$A17)</f>
        <v>0</v>
      </c>
      <c r="O17" s="133">
        <f>SUMIFS(Исход!$D:$D,Исход!$A:$A,O$1,Исход!$B:$B,$A17)+
SUMIFS(Исход!$G:$G,Исход!$A:$A,O$1,Исход!$B:$B,$A17)+
SUMIFS(Исход!$H:$H,Исход!$A:$A,O$1,Исход!$B:$B,$A17)+
SUMIFS(Исход!$I:$I,Исход!$A:$A,O$1,Исход!$B:$B,$A17)-
SUMIFS(Исход!$L:$L,Исход!$A:$A,O$1,Исход!$B:$B,$A17)</f>
        <v>0</v>
      </c>
      <c r="P17" s="133">
        <f>SUMIFS(Исход!$D:$D,Исход!$A:$A,P$1,Исход!$B:$B,$A17)+
SUMIFS(Исход!$G:$G,Исход!$A:$A,P$1,Исход!$B:$B,$A17)+
SUMIFS(Исход!$H:$H,Исход!$A:$A,P$1,Исход!$B:$B,$A17)+
SUMIFS(Исход!$I:$I,Исход!$A:$A,P$1,Исход!$B:$B,$A17)-
SUMIFS(Исход!$L:$L,Исход!$A:$A,P$1,Исход!$B:$B,$A17)</f>
        <v>0</v>
      </c>
      <c r="Q17" s="133">
        <f>SUMIFS(Исход!$D:$D,Исход!$A:$A,Q$1,Исход!$B:$B,$A17)+
SUMIFS(Исход!$G:$G,Исход!$A:$A,Q$1,Исход!$B:$B,$A17)+
SUMIFS(Исход!$H:$H,Исход!$A:$A,Q$1,Исход!$B:$B,$A17)+
SUMIFS(Исход!$I:$I,Исход!$A:$A,Q$1,Исход!$B:$B,$A17)-
SUMIFS(Исход!$L:$L,Исход!$A:$A,Q$1,Исход!$B:$B,$A17)</f>
        <v>0</v>
      </c>
      <c r="R17" s="133">
        <f>SUMIFS(Исход!$D:$D,Исход!$A:$A,R$1,Исход!$B:$B,$A17)+
SUMIFS(Исход!$G:$G,Исход!$A:$A,R$1,Исход!$B:$B,$A17)+
SUMIFS(Исход!$H:$H,Исход!$A:$A,R$1,Исход!$B:$B,$A17)+
SUMIFS(Исход!$I:$I,Исход!$A:$A,R$1,Исход!$B:$B,$A17)-
SUMIFS(Исход!$L:$L,Исход!$A:$A,R$1,Исход!$B:$B,$A17)</f>
        <v>0</v>
      </c>
      <c r="S17" s="133">
        <f>SUMIFS(Исход!$D:$D,Исход!$A:$A,S$1,Исход!$B:$B,$A17)+
SUMIFS(Исход!$G:$G,Исход!$A:$A,S$1,Исход!$B:$B,$A17)+
SUMIFS(Исход!$H:$H,Исход!$A:$A,S$1,Исход!$B:$B,$A17)+
SUMIFS(Исход!$I:$I,Исход!$A:$A,S$1,Исход!$B:$B,$A17)-
SUMIFS(Исход!$L:$L,Исход!$A:$A,S$1,Исход!$B:$B,$A17)</f>
        <v>0</v>
      </c>
      <c r="T17" s="133">
        <f>SUMIFS(Исход!$D:$D,Исход!$A:$A,T$1,Исход!$B:$B,$A17)+
SUMIFS(Исход!$G:$G,Исход!$A:$A,T$1,Исход!$B:$B,$A17)+
SUMIFS(Исход!$H:$H,Исход!$A:$A,T$1,Исход!$B:$B,$A17)+
SUMIFS(Исход!$I:$I,Исход!$A:$A,T$1,Исход!$B:$B,$A17)-
SUMIFS(Исход!$L:$L,Исход!$A:$A,T$1,Исход!$B:$B,$A17)</f>
        <v>0</v>
      </c>
      <c r="U17" s="133">
        <f>SUMIFS(Исход!$D:$D,Исход!$A:$A,U$1,Исход!$B:$B,$A17)+
SUMIFS(Исход!$G:$G,Исход!$A:$A,U$1,Исход!$B:$B,$A17)+
SUMIFS(Исход!$H:$H,Исход!$A:$A,U$1,Исход!$B:$B,$A17)+
SUMIFS(Исход!$I:$I,Исход!$A:$A,U$1,Исход!$B:$B,$A17)-
SUMIFS(Исход!$L:$L,Исход!$A:$A,U$1,Исход!$B:$B,$A17)</f>
        <v>0</v>
      </c>
      <c r="V17" s="133">
        <f>SUMIFS(Исход!$D:$D,Исход!$A:$A,V$1,Исход!$B:$B,$A17)+
SUMIFS(Исход!$G:$G,Исход!$A:$A,V$1,Исход!$B:$B,$A17)+
SUMIFS(Исход!$H:$H,Исход!$A:$A,V$1,Исход!$B:$B,$A17)+
SUMIFS(Исход!$I:$I,Исход!$A:$A,V$1,Исход!$B:$B,$A17)-
SUMIFS(Исход!$L:$L,Исход!$A:$A,V$1,Исход!$B:$B,$A17)</f>
        <v>0</v>
      </c>
      <c r="W17" s="133">
        <f>SUMIFS(Исход!$D:$D,Исход!$A:$A,W$1,Исход!$B:$B,$A17)+
SUMIFS(Исход!$G:$G,Исход!$A:$A,W$1,Исход!$B:$B,$A17)+
SUMIFS(Исход!$H:$H,Исход!$A:$A,W$1,Исход!$B:$B,$A17)+
SUMIFS(Исход!$I:$I,Исход!$A:$A,W$1,Исход!$B:$B,$A17)-
SUMIFS(Исход!$L:$L,Исход!$A:$A,W$1,Исход!$B:$B,$A17)</f>
        <v>0</v>
      </c>
      <c r="X17" s="133">
        <f>SUMIFS(Исход!$D:$D,Исход!$A:$A,X$1,Исход!$B:$B,$A17)+
SUMIFS(Исход!$G:$G,Исход!$A:$A,X$1,Исход!$B:$B,$A17)+
SUMIFS(Исход!$H:$H,Исход!$A:$A,X$1,Исход!$B:$B,$A17)+
SUMIFS(Исход!$I:$I,Исход!$A:$A,X$1,Исход!$B:$B,$A17)-
SUMIFS(Исход!$L:$L,Исход!$A:$A,X$1,Исход!$B:$B,$A17)</f>
        <v>0</v>
      </c>
      <c r="Y17" s="133">
        <f>SUMIFS(Исход!$D:$D,Исход!$A:$A,Y$1,Исход!$B:$B,$A17)+
SUMIFS(Исход!$G:$G,Исход!$A:$A,Y$1,Исход!$B:$B,$A17)+
SUMIFS(Исход!$H:$H,Исход!$A:$A,Y$1,Исход!$B:$B,$A17)+
SUMIFS(Исход!$I:$I,Исход!$A:$A,Y$1,Исход!$B:$B,$A17)-
SUMIFS(Исход!$L:$L,Исход!$A:$A,Y$1,Исход!$B:$B,$A17)</f>
        <v>0</v>
      </c>
      <c r="Z17" s="133">
        <f>SUMIFS(Исход!$D:$D,Исход!$A:$A,Z$1,Исход!$B:$B,$A17)+
SUMIFS(Исход!$G:$G,Исход!$A:$A,Z$1,Исход!$B:$B,$A17)+
SUMIFS(Исход!$H:$H,Исход!$A:$A,Z$1,Исход!$B:$B,$A17)+
SUMIFS(Исход!$I:$I,Исход!$A:$A,Z$1,Исход!$B:$B,$A17)-
SUMIFS(Исход!$L:$L,Исход!$A:$A,Z$1,Исход!$B:$B,$A17)</f>
        <v>0</v>
      </c>
      <c r="AA17" s="133">
        <f>SUMIFS(Исход!$D:$D,Исход!$A:$A,AA$1,Исход!$B:$B,$A17)+
SUMIFS(Исход!$G:$G,Исход!$A:$A,AA$1,Исход!$B:$B,$A17)+
SUMIFS(Исход!$H:$H,Исход!$A:$A,AA$1,Исход!$B:$B,$A17)+
SUMIFS(Исход!$I:$I,Исход!$A:$A,AA$1,Исход!$B:$B,$A17)-
SUMIFS(Исход!$L:$L,Исход!$A:$A,AA$1,Исход!$B:$B,$A17)</f>
        <v>0</v>
      </c>
      <c r="AB17" s="133">
        <f>SUMIFS(Исход!$D:$D,Исход!$A:$A,AB$1,Исход!$B:$B,$A17)+
SUMIFS(Исход!$G:$G,Исход!$A:$A,AB$1,Исход!$B:$B,$A17)+
SUMIFS(Исход!$H:$H,Исход!$A:$A,AB$1,Исход!$B:$B,$A17)+
SUMIFS(Исход!$I:$I,Исход!$A:$A,AB$1,Исход!$B:$B,$A17)-
SUMIFS(Исход!$L:$L,Исход!$A:$A,AB$1,Исход!$B:$B,$A17)</f>
        <v>0</v>
      </c>
      <c r="AC17" s="133">
        <f>SUMIFS(Исход!$D:$D,Исход!$A:$A,AC$1,Исход!$B:$B,$A17)+
SUMIFS(Исход!$G:$G,Исход!$A:$A,AC$1,Исход!$B:$B,$A17)+
SUMIFS(Исход!$H:$H,Исход!$A:$A,AC$1,Исход!$B:$B,$A17)+
SUMIFS(Исход!$I:$I,Исход!$A:$A,AC$1,Исход!$B:$B,$A17)-
SUMIFS(Исход!$L:$L,Исход!$A:$A,AC$1,Исход!$B:$B,$A17)</f>
        <v>0</v>
      </c>
      <c r="AD17" s="133">
        <f>SUMIFS(Исход!$D:$D,Исход!$A:$A,AD$1,Исход!$B:$B,$A17)+
SUMIFS(Исход!$G:$G,Исход!$A:$A,AD$1,Исход!$B:$B,$A17)+
SUMIFS(Исход!$H:$H,Исход!$A:$A,AD$1,Исход!$B:$B,$A17)+
SUMIFS(Исход!$I:$I,Исход!$A:$A,AD$1,Исход!$B:$B,$A17)-
SUMIFS(Исход!$L:$L,Исход!$A:$A,AD$1,Исход!$B:$B,$A17)</f>
        <v>0</v>
      </c>
      <c r="AE17" s="133">
        <f>SUMIFS(Исход!$D:$D,Исход!$A:$A,AE$1,Исход!$B:$B,$A17)+
SUMIFS(Исход!$G:$G,Исход!$A:$A,AE$1,Исход!$B:$B,$A17)+
SUMIFS(Исход!$H:$H,Исход!$A:$A,AE$1,Исход!$B:$B,$A17)+
SUMIFS(Исход!$I:$I,Исход!$A:$A,AE$1,Исход!$B:$B,$A17)-
SUMIFS(Исход!$L:$L,Исход!$A:$A,AE$1,Исход!$B:$B,$A17)</f>
        <v>0</v>
      </c>
      <c r="AF17" s="133">
        <f>SUMIFS(Исход!$D:$D,Исход!$A:$A,AF$1,Исход!$B:$B,$A17)+
SUMIFS(Исход!$G:$G,Исход!$A:$A,AF$1,Исход!$B:$B,$A17)+
SUMIFS(Исход!$H:$H,Исход!$A:$A,AF$1,Исход!$B:$B,$A17)+
SUMIFS(Исход!$I:$I,Исход!$A:$A,AF$1,Исход!$B:$B,$A17)-
SUMIFS(Исход!$L:$L,Исход!$A:$A,AF$1,Исход!$B:$B,$A17)</f>
        <v>0</v>
      </c>
      <c r="AG17" s="133">
        <f>SUMIFS(Исход!$D:$D,Исход!$A:$A,AG$1,Исход!$B:$B,$A17)+
SUMIFS(Исход!$G:$G,Исход!$A:$A,AG$1,Исход!$B:$B,$A17)+
SUMIFS(Исход!$H:$H,Исход!$A:$A,AG$1,Исход!$B:$B,$A17)+
SUMIFS(Исход!$I:$I,Исход!$A:$A,AG$1,Исход!$B:$B,$A17)-
SUMIFS(Исход!$L:$L,Исход!$A:$A,AG$1,Исход!$B:$B,$A17)</f>
        <v>0</v>
      </c>
    </row>
    <row r="18" spans="1:33" hidden="1" outlineLevel="1" x14ac:dyDescent="0.25">
      <c r="A18" s="106">
        <v>0.29166666666666669</v>
      </c>
      <c r="B18" s="124">
        <v>0.3125</v>
      </c>
      <c r="C18" s="67">
        <f>SUMIFS(Исход!$D:$D,Исход!$A:$A,C$1,Исход!$B:$B,$A18)+
SUMIFS(Исход!$G:$G,Исход!$A:$A,C$1,Исход!$B:$B,$A18)+
SUMIFS(Исход!$H:$H,Исход!$A:$A,C$1,Исход!$B:$B,$A18)+
SUMIFS(Исход!$I:$I,Исход!$A:$A,C$1,Исход!$B:$B,$A18)-
SUMIFS(Исход!$L:$L,Исход!$A:$A,C$1,Исход!$B:$B,$A18)</f>
        <v>0</v>
      </c>
      <c r="D18" s="68">
        <f>SUMIFS(Исход!$D:$D,Исход!$A:$A,D$1,Исход!$B:$B,$A18)+
SUMIFS(Исход!$G:$G,Исход!$A:$A,D$1,Исход!$B:$B,$A18)+
SUMIFS(Исход!$H:$H,Исход!$A:$A,D$1,Исход!$B:$B,$A18)+
SUMIFS(Исход!$I:$I,Исход!$A:$A,D$1,Исход!$B:$B,$A18)-
SUMIFS(Исход!$L:$L,Исход!$A:$A,D$1,Исход!$B:$B,$A18)</f>
        <v>0</v>
      </c>
      <c r="E18" s="68">
        <f>SUMIFS(Исход!$D:$D,Исход!$A:$A,E$1,Исход!$B:$B,$A18)+
SUMIFS(Исход!$G:$G,Исход!$A:$A,E$1,Исход!$B:$B,$A18)+
SUMIFS(Исход!$H:$H,Исход!$A:$A,E$1,Исход!$B:$B,$A18)+
SUMIFS(Исход!$I:$I,Исход!$A:$A,E$1,Исход!$B:$B,$A18)-
SUMIFS(Исход!$L:$L,Исход!$A:$A,E$1,Исход!$B:$B,$A18)</f>
        <v>0</v>
      </c>
      <c r="F18" s="68">
        <f>SUMIFS(Исход!$D:$D,Исход!$A:$A,F$1,Исход!$B:$B,$A18)+
SUMIFS(Исход!$G:$G,Исход!$A:$A,F$1,Исход!$B:$B,$A18)+
SUMIFS(Исход!$H:$H,Исход!$A:$A,F$1,Исход!$B:$B,$A18)+
SUMIFS(Исход!$I:$I,Исход!$A:$A,F$1,Исход!$B:$B,$A18)-
SUMIFS(Исход!$L:$L,Исход!$A:$A,F$1,Исход!$B:$B,$A18)</f>
        <v>0</v>
      </c>
      <c r="G18" s="68">
        <f>SUMIFS(Исход!$D:$D,Исход!$A:$A,G$1,Исход!$B:$B,$A18)+
SUMIFS(Исход!$G:$G,Исход!$A:$A,G$1,Исход!$B:$B,$A18)+
SUMIFS(Исход!$H:$H,Исход!$A:$A,G$1,Исход!$B:$B,$A18)+
SUMIFS(Исход!$I:$I,Исход!$A:$A,G$1,Исход!$B:$B,$A18)-
SUMIFS(Исход!$L:$L,Исход!$A:$A,G$1,Исход!$B:$B,$A18)</f>
        <v>0</v>
      </c>
      <c r="H18" s="68">
        <f>SUMIFS(Исход!$D:$D,Исход!$A:$A,H$1,Исход!$B:$B,$A18)+
SUMIFS(Исход!$G:$G,Исход!$A:$A,H$1,Исход!$B:$B,$A18)+
SUMIFS(Исход!$H:$H,Исход!$A:$A,H$1,Исход!$B:$B,$A18)+
SUMIFS(Исход!$I:$I,Исход!$A:$A,H$1,Исход!$B:$B,$A18)-
SUMIFS(Исход!$L:$L,Исход!$A:$A,H$1,Исход!$B:$B,$A18)</f>
        <v>0</v>
      </c>
      <c r="I18" s="68">
        <f>SUMIFS(Исход!$D:$D,Исход!$A:$A,I$1,Исход!$B:$B,$A18)+
SUMIFS(Исход!$G:$G,Исход!$A:$A,I$1,Исход!$B:$B,$A18)+
SUMIFS(Исход!$H:$H,Исход!$A:$A,I$1,Исход!$B:$B,$A18)+
SUMIFS(Исход!$I:$I,Исход!$A:$A,I$1,Исход!$B:$B,$A18)-
SUMIFS(Исход!$L:$L,Исход!$A:$A,I$1,Исход!$B:$B,$A18)</f>
        <v>0</v>
      </c>
      <c r="J18" s="68">
        <f>SUMIFS(Исход!$D:$D,Исход!$A:$A,J$1,Исход!$B:$B,$A18)+
SUMIFS(Исход!$G:$G,Исход!$A:$A,J$1,Исход!$B:$B,$A18)+
SUMIFS(Исход!$H:$H,Исход!$A:$A,J$1,Исход!$B:$B,$A18)+
SUMIFS(Исход!$I:$I,Исход!$A:$A,J$1,Исход!$B:$B,$A18)-
SUMIFS(Исход!$L:$L,Исход!$A:$A,J$1,Исход!$B:$B,$A18)</f>
        <v>0</v>
      </c>
      <c r="K18" s="68">
        <f>SUMIFS(Исход!$D:$D,Исход!$A:$A,K$1,Исход!$B:$B,$A18)+
SUMIFS(Исход!$G:$G,Исход!$A:$A,K$1,Исход!$B:$B,$A18)+
SUMIFS(Исход!$H:$H,Исход!$A:$A,K$1,Исход!$B:$B,$A18)+
SUMIFS(Исход!$I:$I,Исход!$A:$A,K$1,Исход!$B:$B,$A18)-
SUMIFS(Исход!$L:$L,Исход!$A:$A,K$1,Исход!$B:$B,$A18)</f>
        <v>0</v>
      </c>
      <c r="L18" s="68">
        <f>SUMIFS(Исход!$D:$D,Исход!$A:$A,L$1,Исход!$B:$B,$A18)+
SUMIFS(Исход!$G:$G,Исход!$A:$A,L$1,Исход!$B:$B,$A18)+
SUMIFS(Исход!$H:$H,Исход!$A:$A,L$1,Исход!$B:$B,$A18)+
SUMIFS(Исход!$I:$I,Исход!$A:$A,L$1,Исход!$B:$B,$A18)-
SUMIFS(Исход!$L:$L,Исход!$A:$A,L$1,Исход!$B:$B,$A18)</f>
        <v>0</v>
      </c>
      <c r="M18" s="68">
        <f>SUMIFS(Исход!$D:$D,Исход!$A:$A,M$1,Исход!$B:$B,$A18)+
SUMIFS(Исход!$G:$G,Исход!$A:$A,M$1,Исход!$B:$B,$A18)+
SUMIFS(Исход!$H:$H,Исход!$A:$A,M$1,Исход!$B:$B,$A18)+
SUMIFS(Исход!$I:$I,Исход!$A:$A,M$1,Исход!$B:$B,$A18)-
SUMIFS(Исход!$L:$L,Исход!$A:$A,M$1,Исход!$B:$B,$A18)</f>
        <v>0</v>
      </c>
      <c r="N18" s="68">
        <f>SUMIFS(Исход!$D:$D,Исход!$A:$A,N$1,Исход!$B:$B,$A18)+
SUMIFS(Исход!$G:$G,Исход!$A:$A,N$1,Исход!$B:$B,$A18)+
SUMIFS(Исход!$H:$H,Исход!$A:$A,N$1,Исход!$B:$B,$A18)+
SUMIFS(Исход!$I:$I,Исход!$A:$A,N$1,Исход!$B:$B,$A18)-
SUMIFS(Исход!$L:$L,Исход!$A:$A,N$1,Исход!$B:$B,$A18)</f>
        <v>0</v>
      </c>
      <c r="O18" s="68">
        <f>SUMIFS(Исход!$D:$D,Исход!$A:$A,O$1,Исход!$B:$B,$A18)+
SUMIFS(Исход!$G:$G,Исход!$A:$A,O$1,Исход!$B:$B,$A18)+
SUMIFS(Исход!$H:$H,Исход!$A:$A,O$1,Исход!$B:$B,$A18)+
SUMIFS(Исход!$I:$I,Исход!$A:$A,O$1,Исход!$B:$B,$A18)-
SUMIFS(Исход!$L:$L,Исход!$A:$A,O$1,Исход!$B:$B,$A18)</f>
        <v>0</v>
      </c>
      <c r="P18" s="68">
        <f>SUMIFS(Исход!$D:$D,Исход!$A:$A,P$1,Исход!$B:$B,$A18)+
SUMIFS(Исход!$G:$G,Исход!$A:$A,P$1,Исход!$B:$B,$A18)+
SUMIFS(Исход!$H:$H,Исход!$A:$A,P$1,Исход!$B:$B,$A18)+
SUMIFS(Исход!$I:$I,Исход!$A:$A,P$1,Исход!$B:$B,$A18)-
SUMIFS(Исход!$L:$L,Исход!$A:$A,P$1,Исход!$B:$B,$A18)</f>
        <v>0</v>
      </c>
      <c r="Q18" s="68">
        <f>SUMIFS(Исход!$D:$D,Исход!$A:$A,Q$1,Исход!$B:$B,$A18)+
SUMIFS(Исход!$G:$G,Исход!$A:$A,Q$1,Исход!$B:$B,$A18)+
SUMIFS(Исход!$H:$H,Исход!$A:$A,Q$1,Исход!$B:$B,$A18)+
SUMIFS(Исход!$I:$I,Исход!$A:$A,Q$1,Исход!$B:$B,$A18)-
SUMIFS(Исход!$L:$L,Исход!$A:$A,Q$1,Исход!$B:$B,$A18)</f>
        <v>0</v>
      </c>
      <c r="R18" s="68">
        <f>SUMIFS(Исход!$D:$D,Исход!$A:$A,R$1,Исход!$B:$B,$A18)+
SUMIFS(Исход!$G:$G,Исход!$A:$A,R$1,Исход!$B:$B,$A18)+
SUMIFS(Исход!$H:$H,Исход!$A:$A,R$1,Исход!$B:$B,$A18)+
SUMIFS(Исход!$I:$I,Исход!$A:$A,R$1,Исход!$B:$B,$A18)-
SUMIFS(Исход!$L:$L,Исход!$A:$A,R$1,Исход!$B:$B,$A18)</f>
        <v>0</v>
      </c>
      <c r="S18" s="68">
        <f>SUMIFS(Исход!$D:$D,Исход!$A:$A,S$1,Исход!$B:$B,$A18)+
SUMIFS(Исход!$G:$G,Исход!$A:$A,S$1,Исход!$B:$B,$A18)+
SUMIFS(Исход!$H:$H,Исход!$A:$A,S$1,Исход!$B:$B,$A18)+
SUMIFS(Исход!$I:$I,Исход!$A:$A,S$1,Исход!$B:$B,$A18)-
SUMIFS(Исход!$L:$L,Исход!$A:$A,S$1,Исход!$B:$B,$A18)</f>
        <v>0</v>
      </c>
      <c r="T18" s="68">
        <f>SUMIFS(Исход!$D:$D,Исход!$A:$A,T$1,Исход!$B:$B,$A18)+
SUMIFS(Исход!$G:$G,Исход!$A:$A,T$1,Исход!$B:$B,$A18)+
SUMIFS(Исход!$H:$H,Исход!$A:$A,T$1,Исход!$B:$B,$A18)+
SUMIFS(Исход!$I:$I,Исход!$A:$A,T$1,Исход!$B:$B,$A18)-
SUMIFS(Исход!$L:$L,Исход!$A:$A,T$1,Исход!$B:$B,$A18)</f>
        <v>0</v>
      </c>
      <c r="U18" s="68">
        <f>SUMIFS(Исход!$D:$D,Исход!$A:$A,U$1,Исход!$B:$B,$A18)+
SUMIFS(Исход!$G:$G,Исход!$A:$A,U$1,Исход!$B:$B,$A18)+
SUMIFS(Исход!$H:$H,Исход!$A:$A,U$1,Исход!$B:$B,$A18)+
SUMIFS(Исход!$I:$I,Исход!$A:$A,U$1,Исход!$B:$B,$A18)-
SUMIFS(Исход!$L:$L,Исход!$A:$A,U$1,Исход!$B:$B,$A18)</f>
        <v>0</v>
      </c>
      <c r="V18" s="68">
        <f>SUMIFS(Исход!$D:$D,Исход!$A:$A,V$1,Исход!$B:$B,$A18)+
SUMIFS(Исход!$G:$G,Исход!$A:$A,V$1,Исход!$B:$B,$A18)+
SUMIFS(Исход!$H:$H,Исход!$A:$A,V$1,Исход!$B:$B,$A18)+
SUMIFS(Исход!$I:$I,Исход!$A:$A,V$1,Исход!$B:$B,$A18)-
SUMIFS(Исход!$L:$L,Исход!$A:$A,V$1,Исход!$B:$B,$A18)</f>
        <v>0</v>
      </c>
      <c r="W18" s="68">
        <f>SUMIFS(Исход!$D:$D,Исход!$A:$A,W$1,Исход!$B:$B,$A18)+
SUMIFS(Исход!$G:$G,Исход!$A:$A,W$1,Исход!$B:$B,$A18)+
SUMIFS(Исход!$H:$H,Исход!$A:$A,W$1,Исход!$B:$B,$A18)+
SUMIFS(Исход!$I:$I,Исход!$A:$A,W$1,Исход!$B:$B,$A18)-
SUMIFS(Исход!$L:$L,Исход!$A:$A,W$1,Исход!$B:$B,$A18)</f>
        <v>0</v>
      </c>
      <c r="X18" s="68">
        <f>SUMIFS(Исход!$D:$D,Исход!$A:$A,X$1,Исход!$B:$B,$A18)+
SUMIFS(Исход!$G:$G,Исход!$A:$A,X$1,Исход!$B:$B,$A18)+
SUMIFS(Исход!$H:$H,Исход!$A:$A,X$1,Исход!$B:$B,$A18)+
SUMIFS(Исход!$I:$I,Исход!$A:$A,X$1,Исход!$B:$B,$A18)-
SUMIFS(Исход!$L:$L,Исход!$A:$A,X$1,Исход!$B:$B,$A18)</f>
        <v>0</v>
      </c>
      <c r="Y18" s="68">
        <f>SUMIFS(Исход!$D:$D,Исход!$A:$A,Y$1,Исход!$B:$B,$A18)+
SUMIFS(Исход!$G:$G,Исход!$A:$A,Y$1,Исход!$B:$B,$A18)+
SUMIFS(Исход!$H:$H,Исход!$A:$A,Y$1,Исход!$B:$B,$A18)+
SUMIFS(Исход!$I:$I,Исход!$A:$A,Y$1,Исход!$B:$B,$A18)-
SUMIFS(Исход!$L:$L,Исход!$A:$A,Y$1,Исход!$B:$B,$A18)</f>
        <v>0</v>
      </c>
      <c r="Z18" s="68">
        <f>SUMIFS(Исход!$D:$D,Исход!$A:$A,Z$1,Исход!$B:$B,$A18)+
SUMIFS(Исход!$G:$G,Исход!$A:$A,Z$1,Исход!$B:$B,$A18)+
SUMIFS(Исход!$H:$H,Исход!$A:$A,Z$1,Исход!$B:$B,$A18)+
SUMIFS(Исход!$I:$I,Исход!$A:$A,Z$1,Исход!$B:$B,$A18)-
SUMIFS(Исход!$L:$L,Исход!$A:$A,Z$1,Исход!$B:$B,$A18)</f>
        <v>0</v>
      </c>
      <c r="AA18" s="68">
        <f>SUMIFS(Исход!$D:$D,Исход!$A:$A,AA$1,Исход!$B:$B,$A18)+
SUMIFS(Исход!$G:$G,Исход!$A:$A,AA$1,Исход!$B:$B,$A18)+
SUMIFS(Исход!$H:$H,Исход!$A:$A,AA$1,Исход!$B:$B,$A18)+
SUMIFS(Исход!$I:$I,Исход!$A:$A,AA$1,Исход!$B:$B,$A18)-
SUMIFS(Исход!$L:$L,Исход!$A:$A,AA$1,Исход!$B:$B,$A18)</f>
        <v>0</v>
      </c>
      <c r="AB18" s="68">
        <f>SUMIFS(Исход!$D:$D,Исход!$A:$A,AB$1,Исход!$B:$B,$A18)+
SUMIFS(Исход!$G:$G,Исход!$A:$A,AB$1,Исход!$B:$B,$A18)+
SUMIFS(Исход!$H:$H,Исход!$A:$A,AB$1,Исход!$B:$B,$A18)+
SUMIFS(Исход!$I:$I,Исход!$A:$A,AB$1,Исход!$B:$B,$A18)-
SUMIFS(Исход!$L:$L,Исход!$A:$A,AB$1,Исход!$B:$B,$A18)</f>
        <v>0</v>
      </c>
      <c r="AC18" s="68">
        <f>SUMIFS(Исход!$D:$D,Исход!$A:$A,AC$1,Исход!$B:$B,$A18)+
SUMIFS(Исход!$G:$G,Исход!$A:$A,AC$1,Исход!$B:$B,$A18)+
SUMIFS(Исход!$H:$H,Исход!$A:$A,AC$1,Исход!$B:$B,$A18)+
SUMIFS(Исход!$I:$I,Исход!$A:$A,AC$1,Исход!$B:$B,$A18)-
SUMIFS(Исход!$L:$L,Исход!$A:$A,AC$1,Исход!$B:$B,$A18)</f>
        <v>0</v>
      </c>
      <c r="AD18" s="68">
        <f>SUMIFS(Исход!$D:$D,Исход!$A:$A,AD$1,Исход!$B:$B,$A18)+
SUMIFS(Исход!$G:$G,Исход!$A:$A,AD$1,Исход!$B:$B,$A18)+
SUMIFS(Исход!$H:$H,Исход!$A:$A,AD$1,Исход!$B:$B,$A18)+
SUMIFS(Исход!$I:$I,Исход!$A:$A,AD$1,Исход!$B:$B,$A18)-
SUMIFS(Исход!$L:$L,Исход!$A:$A,AD$1,Исход!$B:$B,$A18)</f>
        <v>0</v>
      </c>
      <c r="AE18" s="68">
        <f>SUMIFS(Исход!$D:$D,Исход!$A:$A,AE$1,Исход!$B:$B,$A18)+
SUMIFS(Исход!$G:$G,Исход!$A:$A,AE$1,Исход!$B:$B,$A18)+
SUMIFS(Исход!$H:$H,Исход!$A:$A,AE$1,Исход!$B:$B,$A18)+
SUMIFS(Исход!$I:$I,Исход!$A:$A,AE$1,Исход!$B:$B,$A18)-
SUMIFS(Исход!$L:$L,Исход!$A:$A,AE$1,Исход!$B:$B,$A18)</f>
        <v>0</v>
      </c>
      <c r="AF18" s="68">
        <f>SUMIFS(Исход!$D:$D,Исход!$A:$A,AF$1,Исход!$B:$B,$A18)+
SUMIFS(Исход!$G:$G,Исход!$A:$A,AF$1,Исход!$B:$B,$A18)+
SUMIFS(Исход!$H:$H,Исход!$A:$A,AF$1,Исход!$B:$B,$A18)+
SUMIFS(Исход!$I:$I,Исход!$A:$A,AF$1,Исход!$B:$B,$A18)-
SUMIFS(Исход!$L:$L,Исход!$A:$A,AF$1,Исход!$B:$B,$A18)</f>
        <v>0</v>
      </c>
      <c r="AG18" s="62">
        <f>SUMIFS(Исход!$D:$D,Исход!$A:$A,AG$1,Исход!$B:$B,$A18)+
SUMIFS(Исход!$G:$G,Исход!$A:$A,AG$1,Исход!$B:$B,$A18)+
SUMIFS(Исход!$H:$H,Исход!$A:$A,AG$1,Исход!$B:$B,$A18)+
SUMIFS(Исход!$I:$I,Исход!$A:$A,AG$1,Исход!$B:$B,$A18)-
SUMIFS(Исход!$L:$L,Исход!$A:$A,AG$1,Исход!$B:$B,$A18)</f>
        <v>0</v>
      </c>
    </row>
    <row r="19" spans="1:33" hidden="1" outlineLevel="1" x14ac:dyDescent="0.25">
      <c r="A19" s="103">
        <v>0.3125</v>
      </c>
      <c r="B19" s="123">
        <v>0.33333333333333331</v>
      </c>
      <c r="C19" s="63">
        <f>SUMIFS(Исход!$D:$D,Исход!$A:$A,C$1,Исход!$B:$B,$A19)+
SUMIFS(Исход!$G:$G,Исход!$A:$A,C$1,Исход!$B:$B,$A19)+
SUMIFS(Исход!$H:$H,Исход!$A:$A,C$1,Исход!$B:$B,$A19)+
SUMIFS(Исход!$I:$I,Исход!$A:$A,C$1,Исход!$B:$B,$A19)-
SUMIFS(Исход!$L:$L,Исход!$A:$A,C$1,Исход!$B:$B,$A19)</f>
        <v>0</v>
      </c>
      <c r="D19" s="2">
        <f>SUMIFS(Исход!$D:$D,Исход!$A:$A,D$1,Исход!$B:$B,$A19)+
SUMIFS(Исход!$G:$G,Исход!$A:$A,D$1,Исход!$B:$B,$A19)+
SUMIFS(Исход!$H:$H,Исход!$A:$A,D$1,Исход!$B:$B,$A19)+
SUMIFS(Исход!$I:$I,Исход!$A:$A,D$1,Исход!$B:$B,$A19)-
SUMIFS(Исход!$L:$L,Исход!$A:$A,D$1,Исход!$B:$B,$A19)</f>
        <v>0</v>
      </c>
      <c r="E19" s="2">
        <f>SUMIFS(Исход!$D:$D,Исход!$A:$A,E$1,Исход!$B:$B,$A19)+
SUMIFS(Исход!$G:$G,Исход!$A:$A,E$1,Исход!$B:$B,$A19)+
SUMIFS(Исход!$H:$H,Исход!$A:$A,E$1,Исход!$B:$B,$A19)+
SUMIFS(Исход!$I:$I,Исход!$A:$A,E$1,Исход!$B:$B,$A19)-
SUMIFS(Исход!$L:$L,Исход!$A:$A,E$1,Исход!$B:$B,$A19)</f>
        <v>0</v>
      </c>
      <c r="F19" s="2">
        <f>SUMIFS(Исход!$D:$D,Исход!$A:$A,F$1,Исход!$B:$B,$A19)+
SUMIFS(Исход!$G:$G,Исход!$A:$A,F$1,Исход!$B:$B,$A19)+
SUMIFS(Исход!$H:$H,Исход!$A:$A,F$1,Исход!$B:$B,$A19)+
SUMIFS(Исход!$I:$I,Исход!$A:$A,F$1,Исход!$B:$B,$A19)-
SUMIFS(Исход!$L:$L,Исход!$A:$A,F$1,Исход!$B:$B,$A19)</f>
        <v>0</v>
      </c>
      <c r="G19" s="2">
        <f>SUMIFS(Исход!$D:$D,Исход!$A:$A,G$1,Исход!$B:$B,$A19)+
SUMIFS(Исход!$G:$G,Исход!$A:$A,G$1,Исход!$B:$B,$A19)+
SUMIFS(Исход!$H:$H,Исход!$A:$A,G$1,Исход!$B:$B,$A19)+
SUMIFS(Исход!$I:$I,Исход!$A:$A,G$1,Исход!$B:$B,$A19)-
SUMIFS(Исход!$L:$L,Исход!$A:$A,G$1,Исход!$B:$B,$A19)</f>
        <v>0</v>
      </c>
      <c r="H19" s="2">
        <f>SUMIFS(Исход!$D:$D,Исход!$A:$A,H$1,Исход!$B:$B,$A19)+
SUMIFS(Исход!$G:$G,Исход!$A:$A,H$1,Исход!$B:$B,$A19)+
SUMIFS(Исход!$H:$H,Исход!$A:$A,H$1,Исход!$B:$B,$A19)+
SUMIFS(Исход!$I:$I,Исход!$A:$A,H$1,Исход!$B:$B,$A19)-
SUMIFS(Исход!$L:$L,Исход!$A:$A,H$1,Исход!$B:$B,$A19)</f>
        <v>0</v>
      </c>
      <c r="I19" s="2">
        <f>SUMIFS(Исход!$D:$D,Исход!$A:$A,I$1,Исход!$B:$B,$A19)+
SUMIFS(Исход!$G:$G,Исход!$A:$A,I$1,Исход!$B:$B,$A19)+
SUMIFS(Исход!$H:$H,Исход!$A:$A,I$1,Исход!$B:$B,$A19)+
SUMIFS(Исход!$I:$I,Исход!$A:$A,I$1,Исход!$B:$B,$A19)-
SUMIFS(Исход!$L:$L,Исход!$A:$A,I$1,Исход!$B:$B,$A19)</f>
        <v>0</v>
      </c>
      <c r="J19" s="2">
        <f>SUMIFS(Исход!$D:$D,Исход!$A:$A,J$1,Исход!$B:$B,$A19)+
SUMIFS(Исход!$G:$G,Исход!$A:$A,J$1,Исход!$B:$B,$A19)+
SUMIFS(Исход!$H:$H,Исход!$A:$A,J$1,Исход!$B:$B,$A19)+
SUMIFS(Исход!$I:$I,Исход!$A:$A,J$1,Исход!$B:$B,$A19)-
SUMIFS(Исход!$L:$L,Исход!$A:$A,J$1,Исход!$B:$B,$A19)</f>
        <v>0</v>
      </c>
      <c r="K19" s="2">
        <f>SUMIFS(Исход!$D:$D,Исход!$A:$A,K$1,Исход!$B:$B,$A19)+
SUMIFS(Исход!$G:$G,Исход!$A:$A,K$1,Исход!$B:$B,$A19)+
SUMIFS(Исход!$H:$H,Исход!$A:$A,K$1,Исход!$B:$B,$A19)+
SUMIFS(Исход!$I:$I,Исход!$A:$A,K$1,Исход!$B:$B,$A19)-
SUMIFS(Исход!$L:$L,Исход!$A:$A,K$1,Исход!$B:$B,$A19)</f>
        <v>0</v>
      </c>
      <c r="L19" s="2">
        <f>SUMIFS(Исход!$D:$D,Исход!$A:$A,L$1,Исход!$B:$B,$A19)+
SUMIFS(Исход!$G:$G,Исход!$A:$A,L$1,Исход!$B:$B,$A19)+
SUMIFS(Исход!$H:$H,Исход!$A:$A,L$1,Исход!$B:$B,$A19)+
SUMIFS(Исход!$I:$I,Исход!$A:$A,L$1,Исход!$B:$B,$A19)-
SUMIFS(Исход!$L:$L,Исход!$A:$A,L$1,Исход!$B:$B,$A19)</f>
        <v>0</v>
      </c>
      <c r="M19" s="2">
        <f>SUMIFS(Исход!$D:$D,Исход!$A:$A,M$1,Исход!$B:$B,$A19)+
SUMIFS(Исход!$G:$G,Исход!$A:$A,M$1,Исход!$B:$B,$A19)+
SUMIFS(Исход!$H:$H,Исход!$A:$A,M$1,Исход!$B:$B,$A19)+
SUMIFS(Исход!$I:$I,Исход!$A:$A,M$1,Исход!$B:$B,$A19)-
SUMIFS(Исход!$L:$L,Исход!$A:$A,M$1,Исход!$B:$B,$A19)</f>
        <v>0</v>
      </c>
      <c r="N19" s="2">
        <f>SUMIFS(Исход!$D:$D,Исход!$A:$A,N$1,Исход!$B:$B,$A19)+
SUMIFS(Исход!$G:$G,Исход!$A:$A,N$1,Исход!$B:$B,$A19)+
SUMIFS(Исход!$H:$H,Исход!$A:$A,N$1,Исход!$B:$B,$A19)+
SUMIFS(Исход!$I:$I,Исход!$A:$A,N$1,Исход!$B:$B,$A19)-
SUMIFS(Исход!$L:$L,Исход!$A:$A,N$1,Исход!$B:$B,$A19)</f>
        <v>0</v>
      </c>
      <c r="O19" s="2">
        <f>SUMIFS(Исход!$D:$D,Исход!$A:$A,O$1,Исход!$B:$B,$A19)+
SUMIFS(Исход!$G:$G,Исход!$A:$A,O$1,Исход!$B:$B,$A19)+
SUMIFS(Исход!$H:$H,Исход!$A:$A,O$1,Исход!$B:$B,$A19)+
SUMIFS(Исход!$I:$I,Исход!$A:$A,O$1,Исход!$B:$B,$A19)-
SUMIFS(Исход!$L:$L,Исход!$A:$A,O$1,Исход!$B:$B,$A19)</f>
        <v>0</v>
      </c>
      <c r="P19" s="2">
        <f>SUMIFS(Исход!$D:$D,Исход!$A:$A,P$1,Исход!$B:$B,$A19)+
SUMIFS(Исход!$G:$G,Исход!$A:$A,P$1,Исход!$B:$B,$A19)+
SUMIFS(Исход!$H:$H,Исход!$A:$A,P$1,Исход!$B:$B,$A19)+
SUMIFS(Исход!$I:$I,Исход!$A:$A,P$1,Исход!$B:$B,$A19)-
SUMIFS(Исход!$L:$L,Исход!$A:$A,P$1,Исход!$B:$B,$A19)</f>
        <v>0</v>
      </c>
      <c r="Q19" s="2">
        <f>SUMIFS(Исход!$D:$D,Исход!$A:$A,Q$1,Исход!$B:$B,$A19)+
SUMIFS(Исход!$G:$G,Исход!$A:$A,Q$1,Исход!$B:$B,$A19)+
SUMIFS(Исход!$H:$H,Исход!$A:$A,Q$1,Исход!$B:$B,$A19)+
SUMIFS(Исход!$I:$I,Исход!$A:$A,Q$1,Исход!$B:$B,$A19)-
SUMIFS(Исход!$L:$L,Исход!$A:$A,Q$1,Исход!$B:$B,$A19)</f>
        <v>0</v>
      </c>
      <c r="R19" s="2">
        <f>SUMIFS(Исход!$D:$D,Исход!$A:$A,R$1,Исход!$B:$B,$A19)+
SUMIFS(Исход!$G:$G,Исход!$A:$A,R$1,Исход!$B:$B,$A19)+
SUMIFS(Исход!$H:$H,Исход!$A:$A,R$1,Исход!$B:$B,$A19)+
SUMIFS(Исход!$I:$I,Исход!$A:$A,R$1,Исход!$B:$B,$A19)-
SUMIFS(Исход!$L:$L,Исход!$A:$A,R$1,Исход!$B:$B,$A19)</f>
        <v>0</v>
      </c>
      <c r="S19" s="2">
        <f>SUMIFS(Исход!$D:$D,Исход!$A:$A,S$1,Исход!$B:$B,$A19)+
SUMIFS(Исход!$G:$G,Исход!$A:$A,S$1,Исход!$B:$B,$A19)+
SUMIFS(Исход!$H:$H,Исход!$A:$A,S$1,Исход!$B:$B,$A19)+
SUMIFS(Исход!$I:$I,Исход!$A:$A,S$1,Исход!$B:$B,$A19)-
SUMIFS(Исход!$L:$L,Исход!$A:$A,S$1,Исход!$B:$B,$A19)</f>
        <v>0</v>
      </c>
      <c r="T19" s="2">
        <f>SUMIFS(Исход!$D:$D,Исход!$A:$A,T$1,Исход!$B:$B,$A19)+
SUMIFS(Исход!$G:$G,Исход!$A:$A,T$1,Исход!$B:$B,$A19)+
SUMIFS(Исход!$H:$H,Исход!$A:$A,T$1,Исход!$B:$B,$A19)+
SUMIFS(Исход!$I:$I,Исход!$A:$A,T$1,Исход!$B:$B,$A19)-
SUMIFS(Исход!$L:$L,Исход!$A:$A,T$1,Исход!$B:$B,$A19)</f>
        <v>0</v>
      </c>
      <c r="U19" s="2">
        <f>SUMIFS(Исход!$D:$D,Исход!$A:$A,U$1,Исход!$B:$B,$A19)+
SUMIFS(Исход!$G:$G,Исход!$A:$A,U$1,Исход!$B:$B,$A19)+
SUMIFS(Исход!$H:$H,Исход!$A:$A,U$1,Исход!$B:$B,$A19)+
SUMIFS(Исход!$I:$I,Исход!$A:$A,U$1,Исход!$B:$B,$A19)-
SUMIFS(Исход!$L:$L,Исход!$A:$A,U$1,Исход!$B:$B,$A19)</f>
        <v>0</v>
      </c>
      <c r="V19" s="2">
        <f>SUMIFS(Исход!$D:$D,Исход!$A:$A,V$1,Исход!$B:$B,$A19)+
SUMIFS(Исход!$G:$G,Исход!$A:$A,V$1,Исход!$B:$B,$A19)+
SUMIFS(Исход!$H:$H,Исход!$A:$A,V$1,Исход!$B:$B,$A19)+
SUMIFS(Исход!$I:$I,Исход!$A:$A,V$1,Исход!$B:$B,$A19)-
SUMIFS(Исход!$L:$L,Исход!$A:$A,V$1,Исход!$B:$B,$A19)</f>
        <v>0</v>
      </c>
      <c r="W19" s="2">
        <f>SUMIFS(Исход!$D:$D,Исход!$A:$A,W$1,Исход!$B:$B,$A19)+
SUMIFS(Исход!$G:$G,Исход!$A:$A,W$1,Исход!$B:$B,$A19)+
SUMIFS(Исход!$H:$H,Исход!$A:$A,W$1,Исход!$B:$B,$A19)+
SUMIFS(Исход!$I:$I,Исход!$A:$A,W$1,Исход!$B:$B,$A19)-
SUMIFS(Исход!$L:$L,Исход!$A:$A,W$1,Исход!$B:$B,$A19)</f>
        <v>0</v>
      </c>
      <c r="X19" s="2">
        <f>SUMIFS(Исход!$D:$D,Исход!$A:$A,X$1,Исход!$B:$B,$A19)+
SUMIFS(Исход!$G:$G,Исход!$A:$A,X$1,Исход!$B:$B,$A19)+
SUMIFS(Исход!$H:$H,Исход!$A:$A,X$1,Исход!$B:$B,$A19)+
SUMIFS(Исход!$I:$I,Исход!$A:$A,X$1,Исход!$B:$B,$A19)-
SUMIFS(Исход!$L:$L,Исход!$A:$A,X$1,Исход!$B:$B,$A19)</f>
        <v>0</v>
      </c>
      <c r="Y19" s="2">
        <f>SUMIFS(Исход!$D:$D,Исход!$A:$A,Y$1,Исход!$B:$B,$A19)+
SUMIFS(Исход!$G:$G,Исход!$A:$A,Y$1,Исход!$B:$B,$A19)+
SUMIFS(Исход!$H:$H,Исход!$A:$A,Y$1,Исход!$B:$B,$A19)+
SUMIFS(Исход!$I:$I,Исход!$A:$A,Y$1,Исход!$B:$B,$A19)-
SUMIFS(Исход!$L:$L,Исход!$A:$A,Y$1,Исход!$B:$B,$A19)</f>
        <v>0</v>
      </c>
      <c r="Z19" s="2">
        <f>SUMIFS(Исход!$D:$D,Исход!$A:$A,Z$1,Исход!$B:$B,$A19)+
SUMIFS(Исход!$G:$G,Исход!$A:$A,Z$1,Исход!$B:$B,$A19)+
SUMIFS(Исход!$H:$H,Исход!$A:$A,Z$1,Исход!$B:$B,$A19)+
SUMIFS(Исход!$I:$I,Исход!$A:$A,Z$1,Исход!$B:$B,$A19)-
SUMIFS(Исход!$L:$L,Исход!$A:$A,Z$1,Исход!$B:$B,$A19)</f>
        <v>0</v>
      </c>
      <c r="AA19" s="2">
        <f>SUMIFS(Исход!$D:$D,Исход!$A:$A,AA$1,Исход!$B:$B,$A19)+
SUMIFS(Исход!$G:$G,Исход!$A:$A,AA$1,Исход!$B:$B,$A19)+
SUMIFS(Исход!$H:$H,Исход!$A:$A,AA$1,Исход!$B:$B,$A19)+
SUMIFS(Исход!$I:$I,Исход!$A:$A,AA$1,Исход!$B:$B,$A19)-
SUMIFS(Исход!$L:$L,Исход!$A:$A,AA$1,Исход!$B:$B,$A19)</f>
        <v>0</v>
      </c>
      <c r="AB19" s="2">
        <f>SUMIFS(Исход!$D:$D,Исход!$A:$A,AB$1,Исход!$B:$B,$A19)+
SUMIFS(Исход!$G:$G,Исход!$A:$A,AB$1,Исход!$B:$B,$A19)+
SUMIFS(Исход!$H:$H,Исход!$A:$A,AB$1,Исход!$B:$B,$A19)+
SUMIFS(Исход!$I:$I,Исход!$A:$A,AB$1,Исход!$B:$B,$A19)-
SUMIFS(Исход!$L:$L,Исход!$A:$A,AB$1,Исход!$B:$B,$A19)</f>
        <v>0</v>
      </c>
      <c r="AC19" s="2">
        <f>SUMIFS(Исход!$D:$D,Исход!$A:$A,AC$1,Исход!$B:$B,$A19)+
SUMIFS(Исход!$G:$G,Исход!$A:$A,AC$1,Исход!$B:$B,$A19)+
SUMIFS(Исход!$H:$H,Исход!$A:$A,AC$1,Исход!$B:$B,$A19)+
SUMIFS(Исход!$I:$I,Исход!$A:$A,AC$1,Исход!$B:$B,$A19)-
SUMIFS(Исход!$L:$L,Исход!$A:$A,AC$1,Исход!$B:$B,$A19)</f>
        <v>0</v>
      </c>
      <c r="AD19" s="2">
        <f>SUMIFS(Исход!$D:$D,Исход!$A:$A,AD$1,Исход!$B:$B,$A19)+
SUMIFS(Исход!$G:$G,Исход!$A:$A,AD$1,Исход!$B:$B,$A19)+
SUMIFS(Исход!$H:$H,Исход!$A:$A,AD$1,Исход!$B:$B,$A19)+
SUMIFS(Исход!$I:$I,Исход!$A:$A,AD$1,Исход!$B:$B,$A19)-
SUMIFS(Исход!$L:$L,Исход!$A:$A,AD$1,Исход!$B:$B,$A19)</f>
        <v>0</v>
      </c>
      <c r="AE19" s="2">
        <f>SUMIFS(Исход!$D:$D,Исход!$A:$A,AE$1,Исход!$B:$B,$A19)+
SUMIFS(Исход!$G:$G,Исход!$A:$A,AE$1,Исход!$B:$B,$A19)+
SUMIFS(Исход!$H:$H,Исход!$A:$A,AE$1,Исход!$B:$B,$A19)+
SUMIFS(Исход!$I:$I,Исход!$A:$A,AE$1,Исход!$B:$B,$A19)-
SUMIFS(Исход!$L:$L,Исход!$A:$A,AE$1,Исход!$B:$B,$A19)</f>
        <v>0</v>
      </c>
      <c r="AF19" s="2">
        <f>SUMIFS(Исход!$D:$D,Исход!$A:$A,AF$1,Исход!$B:$B,$A19)+
SUMIFS(Исход!$G:$G,Исход!$A:$A,AF$1,Исход!$B:$B,$A19)+
SUMIFS(Исход!$H:$H,Исход!$A:$A,AF$1,Исход!$B:$B,$A19)+
SUMIFS(Исход!$I:$I,Исход!$A:$A,AF$1,Исход!$B:$B,$A19)-
SUMIFS(Исход!$L:$L,Исход!$A:$A,AF$1,Исход!$B:$B,$A19)</f>
        <v>0</v>
      </c>
      <c r="AG19" s="57">
        <f>SUMIFS(Исход!$D:$D,Исход!$A:$A,AG$1,Исход!$B:$B,$A19)+
SUMIFS(Исход!$G:$G,Исход!$A:$A,AG$1,Исход!$B:$B,$A19)+
SUMIFS(Исход!$H:$H,Исход!$A:$A,AG$1,Исход!$B:$B,$A19)+
SUMIFS(Исход!$I:$I,Исход!$A:$A,AG$1,Исход!$B:$B,$A19)-
SUMIFS(Исход!$L:$L,Исход!$A:$A,AG$1,Исход!$B:$B,$A19)</f>
        <v>0</v>
      </c>
    </row>
    <row r="20" spans="1:33" hidden="1" outlineLevel="1" x14ac:dyDescent="0.25">
      <c r="A20" s="103">
        <v>0.33333333333333331</v>
      </c>
      <c r="B20" s="123">
        <v>0.35416666666666669</v>
      </c>
      <c r="C20" s="63">
        <f>SUMIFS(Исход!$D:$D,Исход!$A:$A,C$1,Исход!$B:$B,$A20)+
SUMIFS(Исход!$G:$G,Исход!$A:$A,C$1,Исход!$B:$B,$A20)+
SUMIFS(Исход!$H:$H,Исход!$A:$A,C$1,Исход!$B:$B,$A20)+
SUMIFS(Исход!$I:$I,Исход!$A:$A,C$1,Исход!$B:$B,$A20)-
SUMIFS(Исход!$L:$L,Исход!$A:$A,C$1,Исход!$B:$B,$A20)</f>
        <v>0</v>
      </c>
      <c r="D20" s="2">
        <f>SUMIFS(Исход!$D:$D,Исход!$A:$A,D$1,Исход!$B:$B,$A20)+
SUMIFS(Исход!$G:$G,Исход!$A:$A,D$1,Исход!$B:$B,$A20)+
SUMIFS(Исход!$H:$H,Исход!$A:$A,D$1,Исход!$B:$B,$A20)+
SUMIFS(Исход!$I:$I,Исход!$A:$A,D$1,Исход!$B:$B,$A20)-
SUMIFS(Исход!$L:$L,Исход!$A:$A,D$1,Исход!$B:$B,$A20)</f>
        <v>0</v>
      </c>
      <c r="E20" s="2">
        <f>SUMIFS(Исход!$D:$D,Исход!$A:$A,E$1,Исход!$B:$B,$A20)+
SUMIFS(Исход!$G:$G,Исход!$A:$A,E$1,Исход!$B:$B,$A20)+
SUMIFS(Исход!$H:$H,Исход!$A:$A,E$1,Исход!$B:$B,$A20)+
SUMIFS(Исход!$I:$I,Исход!$A:$A,E$1,Исход!$B:$B,$A20)-
SUMIFS(Исход!$L:$L,Исход!$A:$A,E$1,Исход!$B:$B,$A20)</f>
        <v>0</v>
      </c>
      <c r="F20" s="2">
        <f>SUMIFS(Исход!$D:$D,Исход!$A:$A,F$1,Исход!$B:$B,$A20)+
SUMIFS(Исход!$G:$G,Исход!$A:$A,F$1,Исход!$B:$B,$A20)+
SUMIFS(Исход!$H:$H,Исход!$A:$A,F$1,Исход!$B:$B,$A20)+
SUMIFS(Исход!$I:$I,Исход!$A:$A,F$1,Исход!$B:$B,$A20)-
SUMIFS(Исход!$L:$L,Исход!$A:$A,F$1,Исход!$B:$B,$A20)</f>
        <v>0</v>
      </c>
      <c r="G20" s="2">
        <f>SUMIFS(Исход!$D:$D,Исход!$A:$A,G$1,Исход!$B:$B,$A20)+
SUMIFS(Исход!$G:$G,Исход!$A:$A,G$1,Исход!$B:$B,$A20)+
SUMIFS(Исход!$H:$H,Исход!$A:$A,G$1,Исход!$B:$B,$A20)+
SUMIFS(Исход!$I:$I,Исход!$A:$A,G$1,Исход!$B:$B,$A20)-
SUMIFS(Исход!$L:$L,Исход!$A:$A,G$1,Исход!$B:$B,$A20)</f>
        <v>0</v>
      </c>
      <c r="H20" s="2">
        <f>SUMIFS(Исход!$D:$D,Исход!$A:$A,H$1,Исход!$B:$B,$A20)+
SUMIFS(Исход!$G:$G,Исход!$A:$A,H$1,Исход!$B:$B,$A20)+
SUMIFS(Исход!$H:$H,Исход!$A:$A,H$1,Исход!$B:$B,$A20)+
SUMIFS(Исход!$I:$I,Исход!$A:$A,H$1,Исход!$B:$B,$A20)-
SUMIFS(Исход!$L:$L,Исход!$A:$A,H$1,Исход!$B:$B,$A20)</f>
        <v>0</v>
      </c>
      <c r="I20" s="2">
        <f>SUMIFS(Исход!$D:$D,Исход!$A:$A,I$1,Исход!$B:$B,$A20)+
SUMIFS(Исход!$G:$G,Исход!$A:$A,I$1,Исход!$B:$B,$A20)+
SUMIFS(Исход!$H:$H,Исход!$A:$A,I$1,Исход!$B:$B,$A20)+
SUMIFS(Исход!$I:$I,Исход!$A:$A,I$1,Исход!$B:$B,$A20)-
SUMIFS(Исход!$L:$L,Исход!$A:$A,I$1,Исход!$B:$B,$A20)</f>
        <v>0</v>
      </c>
      <c r="J20" s="2">
        <f>SUMIFS(Исход!$D:$D,Исход!$A:$A,J$1,Исход!$B:$B,$A20)+
SUMIFS(Исход!$G:$G,Исход!$A:$A,J$1,Исход!$B:$B,$A20)+
SUMIFS(Исход!$H:$H,Исход!$A:$A,J$1,Исход!$B:$B,$A20)+
SUMIFS(Исход!$I:$I,Исход!$A:$A,J$1,Исход!$B:$B,$A20)-
SUMIFS(Исход!$L:$L,Исход!$A:$A,J$1,Исход!$B:$B,$A20)</f>
        <v>0</v>
      </c>
      <c r="K20" s="2">
        <f>SUMIFS(Исход!$D:$D,Исход!$A:$A,K$1,Исход!$B:$B,$A20)+
SUMIFS(Исход!$G:$G,Исход!$A:$A,K$1,Исход!$B:$B,$A20)+
SUMIFS(Исход!$H:$H,Исход!$A:$A,K$1,Исход!$B:$B,$A20)+
SUMIFS(Исход!$I:$I,Исход!$A:$A,K$1,Исход!$B:$B,$A20)-
SUMIFS(Исход!$L:$L,Исход!$A:$A,K$1,Исход!$B:$B,$A20)</f>
        <v>0</v>
      </c>
      <c r="L20" s="2">
        <f>SUMIFS(Исход!$D:$D,Исход!$A:$A,L$1,Исход!$B:$B,$A20)+
SUMIFS(Исход!$G:$G,Исход!$A:$A,L$1,Исход!$B:$B,$A20)+
SUMIFS(Исход!$H:$H,Исход!$A:$A,L$1,Исход!$B:$B,$A20)+
SUMIFS(Исход!$I:$I,Исход!$A:$A,L$1,Исход!$B:$B,$A20)-
SUMIFS(Исход!$L:$L,Исход!$A:$A,L$1,Исход!$B:$B,$A20)</f>
        <v>0</v>
      </c>
      <c r="M20" s="2">
        <f>SUMIFS(Исход!$D:$D,Исход!$A:$A,M$1,Исход!$B:$B,$A20)+
SUMIFS(Исход!$G:$G,Исход!$A:$A,M$1,Исход!$B:$B,$A20)+
SUMIFS(Исход!$H:$H,Исход!$A:$A,M$1,Исход!$B:$B,$A20)+
SUMIFS(Исход!$I:$I,Исход!$A:$A,M$1,Исход!$B:$B,$A20)-
SUMIFS(Исход!$L:$L,Исход!$A:$A,M$1,Исход!$B:$B,$A20)</f>
        <v>0</v>
      </c>
      <c r="N20" s="2">
        <f>SUMIFS(Исход!$D:$D,Исход!$A:$A,N$1,Исход!$B:$B,$A20)+
SUMIFS(Исход!$G:$G,Исход!$A:$A,N$1,Исход!$B:$B,$A20)+
SUMIFS(Исход!$H:$H,Исход!$A:$A,N$1,Исход!$B:$B,$A20)+
SUMIFS(Исход!$I:$I,Исход!$A:$A,N$1,Исход!$B:$B,$A20)-
SUMIFS(Исход!$L:$L,Исход!$A:$A,N$1,Исход!$B:$B,$A20)</f>
        <v>0</v>
      </c>
      <c r="O20" s="2">
        <f>SUMIFS(Исход!$D:$D,Исход!$A:$A,O$1,Исход!$B:$B,$A20)+
SUMIFS(Исход!$G:$G,Исход!$A:$A,O$1,Исход!$B:$B,$A20)+
SUMIFS(Исход!$H:$H,Исход!$A:$A,O$1,Исход!$B:$B,$A20)+
SUMIFS(Исход!$I:$I,Исход!$A:$A,O$1,Исход!$B:$B,$A20)-
SUMIFS(Исход!$L:$L,Исход!$A:$A,O$1,Исход!$B:$B,$A20)</f>
        <v>0</v>
      </c>
      <c r="P20" s="2">
        <f>SUMIFS(Исход!$D:$D,Исход!$A:$A,P$1,Исход!$B:$B,$A20)+
SUMIFS(Исход!$G:$G,Исход!$A:$A,P$1,Исход!$B:$B,$A20)+
SUMIFS(Исход!$H:$H,Исход!$A:$A,P$1,Исход!$B:$B,$A20)+
SUMIFS(Исход!$I:$I,Исход!$A:$A,P$1,Исход!$B:$B,$A20)-
SUMIFS(Исход!$L:$L,Исход!$A:$A,P$1,Исход!$B:$B,$A20)</f>
        <v>0</v>
      </c>
      <c r="Q20" s="2">
        <f>SUMIFS(Исход!$D:$D,Исход!$A:$A,Q$1,Исход!$B:$B,$A20)+
SUMIFS(Исход!$G:$G,Исход!$A:$A,Q$1,Исход!$B:$B,$A20)+
SUMIFS(Исход!$H:$H,Исход!$A:$A,Q$1,Исход!$B:$B,$A20)+
SUMIFS(Исход!$I:$I,Исход!$A:$A,Q$1,Исход!$B:$B,$A20)-
SUMIFS(Исход!$L:$L,Исход!$A:$A,Q$1,Исход!$B:$B,$A20)</f>
        <v>0</v>
      </c>
      <c r="R20" s="2">
        <f>SUMIFS(Исход!$D:$D,Исход!$A:$A,R$1,Исход!$B:$B,$A20)+
SUMIFS(Исход!$G:$G,Исход!$A:$A,R$1,Исход!$B:$B,$A20)+
SUMIFS(Исход!$H:$H,Исход!$A:$A,R$1,Исход!$B:$B,$A20)+
SUMIFS(Исход!$I:$I,Исход!$A:$A,R$1,Исход!$B:$B,$A20)-
SUMIFS(Исход!$L:$L,Исход!$A:$A,R$1,Исход!$B:$B,$A20)</f>
        <v>0</v>
      </c>
      <c r="S20" s="2">
        <f>SUMIFS(Исход!$D:$D,Исход!$A:$A,S$1,Исход!$B:$B,$A20)+
SUMIFS(Исход!$G:$G,Исход!$A:$A,S$1,Исход!$B:$B,$A20)+
SUMIFS(Исход!$H:$H,Исход!$A:$A,S$1,Исход!$B:$B,$A20)+
SUMIFS(Исход!$I:$I,Исход!$A:$A,S$1,Исход!$B:$B,$A20)-
SUMIFS(Исход!$L:$L,Исход!$A:$A,S$1,Исход!$B:$B,$A20)</f>
        <v>0</v>
      </c>
      <c r="T20" s="2">
        <f>SUMIFS(Исход!$D:$D,Исход!$A:$A,T$1,Исход!$B:$B,$A20)+
SUMIFS(Исход!$G:$G,Исход!$A:$A,T$1,Исход!$B:$B,$A20)+
SUMIFS(Исход!$H:$H,Исход!$A:$A,T$1,Исход!$B:$B,$A20)+
SUMIFS(Исход!$I:$I,Исход!$A:$A,T$1,Исход!$B:$B,$A20)-
SUMIFS(Исход!$L:$L,Исход!$A:$A,T$1,Исход!$B:$B,$A20)</f>
        <v>0</v>
      </c>
      <c r="U20" s="2">
        <f>SUMIFS(Исход!$D:$D,Исход!$A:$A,U$1,Исход!$B:$B,$A20)+
SUMIFS(Исход!$G:$G,Исход!$A:$A,U$1,Исход!$B:$B,$A20)+
SUMIFS(Исход!$H:$H,Исход!$A:$A,U$1,Исход!$B:$B,$A20)+
SUMIFS(Исход!$I:$I,Исход!$A:$A,U$1,Исход!$B:$B,$A20)-
SUMIFS(Исход!$L:$L,Исход!$A:$A,U$1,Исход!$B:$B,$A20)</f>
        <v>0</v>
      </c>
      <c r="V20" s="2">
        <f>SUMIFS(Исход!$D:$D,Исход!$A:$A,V$1,Исход!$B:$B,$A20)+
SUMIFS(Исход!$G:$G,Исход!$A:$A,V$1,Исход!$B:$B,$A20)+
SUMIFS(Исход!$H:$H,Исход!$A:$A,V$1,Исход!$B:$B,$A20)+
SUMIFS(Исход!$I:$I,Исход!$A:$A,V$1,Исход!$B:$B,$A20)-
SUMIFS(Исход!$L:$L,Исход!$A:$A,V$1,Исход!$B:$B,$A20)</f>
        <v>0</v>
      </c>
      <c r="W20" s="2">
        <f>SUMIFS(Исход!$D:$D,Исход!$A:$A,W$1,Исход!$B:$B,$A20)+
SUMIFS(Исход!$G:$G,Исход!$A:$A,W$1,Исход!$B:$B,$A20)+
SUMIFS(Исход!$H:$H,Исход!$A:$A,W$1,Исход!$B:$B,$A20)+
SUMIFS(Исход!$I:$I,Исход!$A:$A,W$1,Исход!$B:$B,$A20)-
SUMIFS(Исход!$L:$L,Исход!$A:$A,W$1,Исход!$B:$B,$A20)</f>
        <v>0</v>
      </c>
      <c r="X20" s="2">
        <f>SUMIFS(Исход!$D:$D,Исход!$A:$A,X$1,Исход!$B:$B,$A20)+
SUMIFS(Исход!$G:$G,Исход!$A:$A,X$1,Исход!$B:$B,$A20)+
SUMIFS(Исход!$H:$H,Исход!$A:$A,X$1,Исход!$B:$B,$A20)+
SUMIFS(Исход!$I:$I,Исход!$A:$A,X$1,Исход!$B:$B,$A20)-
SUMIFS(Исход!$L:$L,Исход!$A:$A,X$1,Исход!$B:$B,$A20)</f>
        <v>0</v>
      </c>
      <c r="Y20" s="2">
        <f>SUMIFS(Исход!$D:$D,Исход!$A:$A,Y$1,Исход!$B:$B,$A20)+
SUMIFS(Исход!$G:$G,Исход!$A:$A,Y$1,Исход!$B:$B,$A20)+
SUMIFS(Исход!$H:$H,Исход!$A:$A,Y$1,Исход!$B:$B,$A20)+
SUMIFS(Исход!$I:$I,Исход!$A:$A,Y$1,Исход!$B:$B,$A20)-
SUMIFS(Исход!$L:$L,Исход!$A:$A,Y$1,Исход!$B:$B,$A20)</f>
        <v>0</v>
      </c>
      <c r="Z20" s="2">
        <f>SUMIFS(Исход!$D:$D,Исход!$A:$A,Z$1,Исход!$B:$B,$A20)+
SUMIFS(Исход!$G:$G,Исход!$A:$A,Z$1,Исход!$B:$B,$A20)+
SUMIFS(Исход!$H:$H,Исход!$A:$A,Z$1,Исход!$B:$B,$A20)+
SUMIFS(Исход!$I:$I,Исход!$A:$A,Z$1,Исход!$B:$B,$A20)-
SUMIFS(Исход!$L:$L,Исход!$A:$A,Z$1,Исход!$B:$B,$A20)</f>
        <v>0</v>
      </c>
      <c r="AA20" s="2">
        <f>SUMIFS(Исход!$D:$D,Исход!$A:$A,AA$1,Исход!$B:$B,$A20)+
SUMIFS(Исход!$G:$G,Исход!$A:$A,AA$1,Исход!$B:$B,$A20)+
SUMIFS(Исход!$H:$H,Исход!$A:$A,AA$1,Исход!$B:$B,$A20)+
SUMIFS(Исход!$I:$I,Исход!$A:$A,AA$1,Исход!$B:$B,$A20)-
SUMIFS(Исход!$L:$L,Исход!$A:$A,AA$1,Исход!$B:$B,$A20)</f>
        <v>0</v>
      </c>
      <c r="AB20" s="2">
        <f>SUMIFS(Исход!$D:$D,Исход!$A:$A,AB$1,Исход!$B:$B,$A20)+
SUMIFS(Исход!$G:$G,Исход!$A:$A,AB$1,Исход!$B:$B,$A20)+
SUMIFS(Исход!$H:$H,Исход!$A:$A,AB$1,Исход!$B:$B,$A20)+
SUMIFS(Исход!$I:$I,Исход!$A:$A,AB$1,Исход!$B:$B,$A20)-
SUMIFS(Исход!$L:$L,Исход!$A:$A,AB$1,Исход!$B:$B,$A20)</f>
        <v>0</v>
      </c>
      <c r="AC20" s="2">
        <f>SUMIFS(Исход!$D:$D,Исход!$A:$A,AC$1,Исход!$B:$B,$A20)+
SUMIFS(Исход!$G:$G,Исход!$A:$A,AC$1,Исход!$B:$B,$A20)+
SUMIFS(Исход!$H:$H,Исход!$A:$A,AC$1,Исход!$B:$B,$A20)+
SUMIFS(Исход!$I:$I,Исход!$A:$A,AC$1,Исход!$B:$B,$A20)-
SUMIFS(Исход!$L:$L,Исход!$A:$A,AC$1,Исход!$B:$B,$A20)</f>
        <v>0</v>
      </c>
      <c r="AD20" s="2">
        <f>SUMIFS(Исход!$D:$D,Исход!$A:$A,AD$1,Исход!$B:$B,$A20)+
SUMIFS(Исход!$G:$G,Исход!$A:$A,AD$1,Исход!$B:$B,$A20)+
SUMIFS(Исход!$H:$H,Исход!$A:$A,AD$1,Исход!$B:$B,$A20)+
SUMIFS(Исход!$I:$I,Исход!$A:$A,AD$1,Исход!$B:$B,$A20)-
SUMIFS(Исход!$L:$L,Исход!$A:$A,AD$1,Исход!$B:$B,$A20)</f>
        <v>0</v>
      </c>
      <c r="AE20" s="2">
        <f>SUMIFS(Исход!$D:$D,Исход!$A:$A,AE$1,Исход!$B:$B,$A20)+
SUMIFS(Исход!$G:$G,Исход!$A:$A,AE$1,Исход!$B:$B,$A20)+
SUMIFS(Исход!$H:$H,Исход!$A:$A,AE$1,Исход!$B:$B,$A20)+
SUMIFS(Исход!$I:$I,Исход!$A:$A,AE$1,Исход!$B:$B,$A20)-
SUMIFS(Исход!$L:$L,Исход!$A:$A,AE$1,Исход!$B:$B,$A20)</f>
        <v>0</v>
      </c>
      <c r="AF20" s="2">
        <f>SUMIFS(Исход!$D:$D,Исход!$A:$A,AF$1,Исход!$B:$B,$A20)+
SUMIFS(Исход!$G:$G,Исход!$A:$A,AF$1,Исход!$B:$B,$A20)+
SUMIFS(Исход!$H:$H,Исход!$A:$A,AF$1,Исход!$B:$B,$A20)+
SUMIFS(Исход!$I:$I,Исход!$A:$A,AF$1,Исход!$B:$B,$A20)-
SUMIFS(Исход!$L:$L,Исход!$A:$A,AF$1,Исход!$B:$B,$A20)</f>
        <v>0</v>
      </c>
      <c r="AG20" s="57">
        <f>SUMIFS(Исход!$D:$D,Исход!$A:$A,AG$1,Исход!$B:$B,$A20)+
SUMIFS(Исход!$G:$G,Исход!$A:$A,AG$1,Исход!$B:$B,$A20)+
SUMIFS(Исход!$H:$H,Исход!$A:$A,AG$1,Исход!$B:$B,$A20)+
SUMIFS(Исход!$I:$I,Исход!$A:$A,AG$1,Исход!$B:$B,$A20)-
SUMIFS(Исход!$L:$L,Исход!$A:$A,AG$1,Исход!$B:$B,$A20)</f>
        <v>0</v>
      </c>
    </row>
    <row r="21" spans="1:33" hidden="1" outlineLevel="1" x14ac:dyDescent="0.25">
      <c r="A21" s="103">
        <v>0.35416666666666669</v>
      </c>
      <c r="B21" s="123">
        <v>0.375</v>
      </c>
      <c r="C21" s="63">
        <f>SUMIFS(Исход!$D:$D,Исход!$A:$A,C$1,Исход!$B:$B,$A21)+
SUMIFS(Исход!$G:$G,Исход!$A:$A,C$1,Исход!$B:$B,$A21)+
SUMIFS(Исход!$H:$H,Исход!$A:$A,C$1,Исход!$B:$B,$A21)+
SUMIFS(Исход!$I:$I,Исход!$A:$A,C$1,Исход!$B:$B,$A21)-
SUMIFS(Исход!$L:$L,Исход!$A:$A,C$1,Исход!$B:$B,$A21)</f>
        <v>0</v>
      </c>
      <c r="D21" s="2">
        <f>SUMIFS(Исход!$D:$D,Исход!$A:$A,D$1,Исход!$B:$B,$A21)+
SUMIFS(Исход!$G:$G,Исход!$A:$A,D$1,Исход!$B:$B,$A21)+
SUMIFS(Исход!$H:$H,Исход!$A:$A,D$1,Исход!$B:$B,$A21)+
SUMIFS(Исход!$I:$I,Исход!$A:$A,D$1,Исход!$B:$B,$A21)-
SUMIFS(Исход!$L:$L,Исход!$A:$A,D$1,Исход!$B:$B,$A21)</f>
        <v>0</v>
      </c>
      <c r="E21" s="2">
        <f>SUMIFS(Исход!$D:$D,Исход!$A:$A,E$1,Исход!$B:$B,$A21)+
SUMIFS(Исход!$G:$G,Исход!$A:$A,E$1,Исход!$B:$B,$A21)+
SUMIFS(Исход!$H:$H,Исход!$A:$A,E$1,Исход!$B:$B,$A21)+
SUMIFS(Исход!$I:$I,Исход!$A:$A,E$1,Исход!$B:$B,$A21)-
SUMIFS(Исход!$L:$L,Исход!$A:$A,E$1,Исход!$B:$B,$A21)</f>
        <v>0</v>
      </c>
      <c r="F21" s="2">
        <f>SUMIFS(Исход!$D:$D,Исход!$A:$A,F$1,Исход!$B:$B,$A21)+
SUMIFS(Исход!$G:$G,Исход!$A:$A,F$1,Исход!$B:$B,$A21)+
SUMIFS(Исход!$H:$H,Исход!$A:$A,F$1,Исход!$B:$B,$A21)+
SUMIFS(Исход!$I:$I,Исход!$A:$A,F$1,Исход!$B:$B,$A21)-
SUMIFS(Исход!$L:$L,Исход!$A:$A,F$1,Исход!$B:$B,$A21)</f>
        <v>0</v>
      </c>
      <c r="G21" s="2">
        <f>SUMIFS(Исход!$D:$D,Исход!$A:$A,G$1,Исход!$B:$B,$A21)+
SUMIFS(Исход!$G:$G,Исход!$A:$A,G$1,Исход!$B:$B,$A21)+
SUMIFS(Исход!$H:$H,Исход!$A:$A,G$1,Исход!$B:$B,$A21)+
SUMIFS(Исход!$I:$I,Исход!$A:$A,G$1,Исход!$B:$B,$A21)-
SUMIFS(Исход!$L:$L,Исход!$A:$A,G$1,Исход!$B:$B,$A21)</f>
        <v>0</v>
      </c>
      <c r="H21" s="2">
        <f>SUMIFS(Исход!$D:$D,Исход!$A:$A,H$1,Исход!$B:$B,$A21)+
SUMIFS(Исход!$G:$G,Исход!$A:$A,H$1,Исход!$B:$B,$A21)+
SUMIFS(Исход!$H:$H,Исход!$A:$A,H$1,Исход!$B:$B,$A21)+
SUMIFS(Исход!$I:$I,Исход!$A:$A,H$1,Исход!$B:$B,$A21)-
SUMIFS(Исход!$L:$L,Исход!$A:$A,H$1,Исход!$B:$B,$A21)</f>
        <v>0</v>
      </c>
      <c r="I21" s="2">
        <f>SUMIFS(Исход!$D:$D,Исход!$A:$A,I$1,Исход!$B:$B,$A21)+
SUMIFS(Исход!$G:$G,Исход!$A:$A,I$1,Исход!$B:$B,$A21)+
SUMIFS(Исход!$H:$H,Исход!$A:$A,I$1,Исход!$B:$B,$A21)+
SUMIFS(Исход!$I:$I,Исход!$A:$A,I$1,Исход!$B:$B,$A21)-
SUMIFS(Исход!$L:$L,Исход!$A:$A,I$1,Исход!$B:$B,$A21)</f>
        <v>0</v>
      </c>
      <c r="J21" s="2">
        <f>SUMIFS(Исход!$D:$D,Исход!$A:$A,J$1,Исход!$B:$B,$A21)+
SUMIFS(Исход!$G:$G,Исход!$A:$A,J$1,Исход!$B:$B,$A21)+
SUMIFS(Исход!$H:$H,Исход!$A:$A,J$1,Исход!$B:$B,$A21)+
SUMIFS(Исход!$I:$I,Исход!$A:$A,J$1,Исход!$B:$B,$A21)-
SUMIFS(Исход!$L:$L,Исход!$A:$A,J$1,Исход!$B:$B,$A21)</f>
        <v>0</v>
      </c>
      <c r="K21" s="2">
        <f>SUMIFS(Исход!$D:$D,Исход!$A:$A,K$1,Исход!$B:$B,$A21)+
SUMIFS(Исход!$G:$G,Исход!$A:$A,K$1,Исход!$B:$B,$A21)+
SUMIFS(Исход!$H:$H,Исход!$A:$A,K$1,Исход!$B:$B,$A21)+
SUMIFS(Исход!$I:$I,Исход!$A:$A,K$1,Исход!$B:$B,$A21)-
SUMIFS(Исход!$L:$L,Исход!$A:$A,K$1,Исход!$B:$B,$A21)</f>
        <v>0</v>
      </c>
      <c r="L21" s="2">
        <f>SUMIFS(Исход!$D:$D,Исход!$A:$A,L$1,Исход!$B:$B,$A21)+
SUMIFS(Исход!$G:$G,Исход!$A:$A,L$1,Исход!$B:$B,$A21)+
SUMIFS(Исход!$H:$H,Исход!$A:$A,L$1,Исход!$B:$B,$A21)+
SUMIFS(Исход!$I:$I,Исход!$A:$A,L$1,Исход!$B:$B,$A21)-
SUMIFS(Исход!$L:$L,Исход!$A:$A,L$1,Исход!$B:$B,$A21)</f>
        <v>0</v>
      </c>
      <c r="M21" s="2">
        <f>SUMIFS(Исход!$D:$D,Исход!$A:$A,M$1,Исход!$B:$B,$A21)+
SUMIFS(Исход!$G:$G,Исход!$A:$A,M$1,Исход!$B:$B,$A21)+
SUMIFS(Исход!$H:$H,Исход!$A:$A,M$1,Исход!$B:$B,$A21)+
SUMIFS(Исход!$I:$I,Исход!$A:$A,M$1,Исход!$B:$B,$A21)-
SUMIFS(Исход!$L:$L,Исход!$A:$A,M$1,Исход!$B:$B,$A21)</f>
        <v>0</v>
      </c>
      <c r="N21" s="2">
        <f>SUMIFS(Исход!$D:$D,Исход!$A:$A,N$1,Исход!$B:$B,$A21)+
SUMIFS(Исход!$G:$G,Исход!$A:$A,N$1,Исход!$B:$B,$A21)+
SUMIFS(Исход!$H:$H,Исход!$A:$A,N$1,Исход!$B:$B,$A21)+
SUMIFS(Исход!$I:$I,Исход!$A:$A,N$1,Исход!$B:$B,$A21)-
SUMIFS(Исход!$L:$L,Исход!$A:$A,N$1,Исход!$B:$B,$A21)</f>
        <v>0</v>
      </c>
      <c r="O21" s="2">
        <f>SUMIFS(Исход!$D:$D,Исход!$A:$A,O$1,Исход!$B:$B,$A21)+
SUMIFS(Исход!$G:$G,Исход!$A:$A,O$1,Исход!$B:$B,$A21)+
SUMIFS(Исход!$H:$H,Исход!$A:$A,O$1,Исход!$B:$B,$A21)+
SUMIFS(Исход!$I:$I,Исход!$A:$A,O$1,Исход!$B:$B,$A21)-
SUMIFS(Исход!$L:$L,Исход!$A:$A,O$1,Исход!$B:$B,$A21)</f>
        <v>0</v>
      </c>
      <c r="P21" s="2">
        <f>SUMIFS(Исход!$D:$D,Исход!$A:$A,P$1,Исход!$B:$B,$A21)+
SUMIFS(Исход!$G:$G,Исход!$A:$A,P$1,Исход!$B:$B,$A21)+
SUMIFS(Исход!$H:$H,Исход!$A:$A,P$1,Исход!$B:$B,$A21)+
SUMIFS(Исход!$I:$I,Исход!$A:$A,P$1,Исход!$B:$B,$A21)-
SUMIFS(Исход!$L:$L,Исход!$A:$A,P$1,Исход!$B:$B,$A21)</f>
        <v>0</v>
      </c>
      <c r="Q21" s="2">
        <f>SUMIFS(Исход!$D:$D,Исход!$A:$A,Q$1,Исход!$B:$B,$A21)+
SUMIFS(Исход!$G:$G,Исход!$A:$A,Q$1,Исход!$B:$B,$A21)+
SUMIFS(Исход!$H:$H,Исход!$A:$A,Q$1,Исход!$B:$B,$A21)+
SUMIFS(Исход!$I:$I,Исход!$A:$A,Q$1,Исход!$B:$B,$A21)-
SUMIFS(Исход!$L:$L,Исход!$A:$A,Q$1,Исход!$B:$B,$A21)</f>
        <v>0</v>
      </c>
      <c r="R21" s="2">
        <f>SUMIFS(Исход!$D:$D,Исход!$A:$A,R$1,Исход!$B:$B,$A21)+
SUMIFS(Исход!$G:$G,Исход!$A:$A,R$1,Исход!$B:$B,$A21)+
SUMIFS(Исход!$H:$H,Исход!$A:$A,R$1,Исход!$B:$B,$A21)+
SUMIFS(Исход!$I:$I,Исход!$A:$A,R$1,Исход!$B:$B,$A21)-
SUMIFS(Исход!$L:$L,Исход!$A:$A,R$1,Исход!$B:$B,$A21)</f>
        <v>0</v>
      </c>
      <c r="S21" s="2">
        <f>SUMIFS(Исход!$D:$D,Исход!$A:$A,S$1,Исход!$B:$B,$A21)+
SUMIFS(Исход!$G:$G,Исход!$A:$A,S$1,Исход!$B:$B,$A21)+
SUMIFS(Исход!$H:$H,Исход!$A:$A,S$1,Исход!$B:$B,$A21)+
SUMIFS(Исход!$I:$I,Исход!$A:$A,S$1,Исход!$B:$B,$A21)-
SUMIFS(Исход!$L:$L,Исход!$A:$A,S$1,Исход!$B:$B,$A21)</f>
        <v>0</v>
      </c>
      <c r="T21" s="2">
        <f>SUMIFS(Исход!$D:$D,Исход!$A:$A,T$1,Исход!$B:$B,$A21)+
SUMIFS(Исход!$G:$G,Исход!$A:$A,T$1,Исход!$B:$B,$A21)+
SUMIFS(Исход!$H:$H,Исход!$A:$A,T$1,Исход!$B:$B,$A21)+
SUMIFS(Исход!$I:$I,Исход!$A:$A,T$1,Исход!$B:$B,$A21)-
SUMIFS(Исход!$L:$L,Исход!$A:$A,T$1,Исход!$B:$B,$A21)</f>
        <v>0</v>
      </c>
      <c r="U21" s="2">
        <f>SUMIFS(Исход!$D:$D,Исход!$A:$A,U$1,Исход!$B:$B,$A21)+
SUMIFS(Исход!$G:$G,Исход!$A:$A,U$1,Исход!$B:$B,$A21)+
SUMIFS(Исход!$H:$H,Исход!$A:$A,U$1,Исход!$B:$B,$A21)+
SUMIFS(Исход!$I:$I,Исход!$A:$A,U$1,Исход!$B:$B,$A21)-
SUMIFS(Исход!$L:$L,Исход!$A:$A,U$1,Исход!$B:$B,$A21)</f>
        <v>0</v>
      </c>
      <c r="V21" s="2">
        <f>SUMIFS(Исход!$D:$D,Исход!$A:$A,V$1,Исход!$B:$B,$A21)+
SUMIFS(Исход!$G:$G,Исход!$A:$A,V$1,Исход!$B:$B,$A21)+
SUMIFS(Исход!$H:$H,Исход!$A:$A,V$1,Исход!$B:$B,$A21)+
SUMIFS(Исход!$I:$I,Исход!$A:$A,V$1,Исход!$B:$B,$A21)-
SUMIFS(Исход!$L:$L,Исход!$A:$A,V$1,Исход!$B:$B,$A21)</f>
        <v>0</v>
      </c>
      <c r="W21" s="2">
        <f>SUMIFS(Исход!$D:$D,Исход!$A:$A,W$1,Исход!$B:$B,$A21)+
SUMIFS(Исход!$G:$G,Исход!$A:$A,W$1,Исход!$B:$B,$A21)+
SUMIFS(Исход!$H:$H,Исход!$A:$A,W$1,Исход!$B:$B,$A21)+
SUMIFS(Исход!$I:$I,Исход!$A:$A,W$1,Исход!$B:$B,$A21)-
SUMIFS(Исход!$L:$L,Исход!$A:$A,W$1,Исход!$B:$B,$A21)</f>
        <v>0</v>
      </c>
      <c r="X21" s="2">
        <f>SUMIFS(Исход!$D:$D,Исход!$A:$A,X$1,Исход!$B:$B,$A21)+
SUMIFS(Исход!$G:$G,Исход!$A:$A,X$1,Исход!$B:$B,$A21)+
SUMIFS(Исход!$H:$H,Исход!$A:$A,X$1,Исход!$B:$B,$A21)+
SUMIFS(Исход!$I:$I,Исход!$A:$A,X$1,Исход!$B:$B,$A21)-
SUMIFS(Исход!$L:$L,Исход!$A:$A,X$1,Исход!$B:$B,$A21)</f>
        <v>0</v>
      </c>
      <c r="Y21" s="2">
        <f>SUMIFS(Исход!$D:$D,Исход!$A:$A,Y$1,Исход!$B:$B,$A21)+
SUMIFS(Исход!$G:$G,Исход!$A:$A,Y$1,Исход!$B:$B,$A21)+
SUMIFS(Исход!$H:$H,Исход!$A:$A,Y$1,Исход!$B:$B,$A21)+
SUMIFS(Исход!$I:$I,Исход!$A:$A,Y$1,Исход!$B:$B,$A21)-
SUMIFS(Исход!$L:$L,Исход!$A:$A,Y$1,Исход!$B:$B,$A21)</f>
        <v>0</v>
      </c>
      <c r="Z21" s="2">
        <f>SUMIFS(Исход!$D:$D,Исход!$A:$A,Z$1,Исход!$B:$B,$A21)+
SUMIFS(Исход!$G:$G,Исход!$A:$A,Z$1,Исход!$B:$B,$A21)+
SUMIFS(Исход!$H:$H,Исход!$A:$A,Z$1,Исход!$B:$B,$A21)+
SUMIFS(Исход!$I:$I,Исход!$A:$A,Z$1,Исход!$B:$B,$A21)-
SUMIFS(Исход!$L:$L,Исход!$A:$A,Z$1,Исход!$B:$B,$A21)</f>
        <v>0</v>
      </c>
      <c r="AA21" s="2">
        <f>SUMIFS(Исход!$D:$D,Исход!$A:$A,AA$1,Исход!$B:$B,$A21)+
SUMIFS(Исход!$G:$G,Исход!$A:$A,AA$1,Исход!$B:$B,$A21)+
SUMIFS(Исход!$H:$H,Исход!$A:$A,AA$1,Исход!$B:$B,$A21)+
SUMIFS(Исход!$I:$I,Исход!$A:$A,AA$1,Исход!$B:$B,$A21)-
SUMIFS(Исход!$L:$L,Исход!$A:$A,AA$1,Исход!$B:$B,$A21)</f>
        <v>0</v>
      </c>
      <c r="AB21" s="2">
        <f>SUMIFS(Исход!$D:$D,Исход!$A:$A,AB$1,Исход!$B:$B,$A21)+
SUMIFS(Исход!$G:$G,Исход!$A:$A,AB$1,Исход!$B:$B,$A21)+
SUMIFS(Исход!$H:$H,Исход!$A:$A,AB$1,Исход!$B:$B,$A21)+
SUMIFS(Исход!$I:$I,Исход!$A:$A,AB$1,Исход!$B:$B,$A21)-
SUMIFS(Исход!$L:$L,Исход!$A:$A,AB$1,Исход!$B:$B,$A21)</f>
        <v>0</v>
      </c>
      <c r="AC21" s="2">
        <f>SUMIFS(Исход!$D:$D,Исход!$A:$A,AC$1,Исход!$B:$B,$A21)+
SUMIFS(Исход!$G:$G,Исход!$A:$A,AC$1,Исход!$B:$B,$A21)+
SUMIFS(Исход!$H:$H,Исход!$A:$A,AC$1,Исход!$B:$B,$A21)+
SUMIFS(Исход!$I:$I,Исход!$A:$A,AC$1,Исход!$B:$B,$A21)-
SUMIFS(Исход!$L:$L,Исход!$A:$A,AC$1,Исход!$B:$B,$A21)</f>
        <v>0</v>
      </c>
      <c r="AD21" s="2">
        <f>SUMIFS(Исход!$D:$D,Исход!$A:$A,AD$1,Исход!$B:$B,$A21)+
SUMIFS(Исход!$G:$G,Исход!$A:$A,AD$1,Исход!$B:$B,$A21)+
SUMIFS(Исход!$H:$H,Исход!$A:$A,AD$1,Исход!$B:$B,$A21)+
SUMIFS(Исход!$I:$I,Исход!$A:$A,AD$1,Исход!$B:$B,$A21)-
SUMIFS(Исход!$L:$L,Исход!$A:$A,AD$1,Исход!$B:$B,$A21)</f>
        <v>0</v>
      </c>
      <c r="AE21" s="2">
        <f>SUMIFS(Исход!$D:$D,Исход!$A:$A,AE$1,Исход!$B:$B,$A21)+
SUMIFS(Исход!$G:$G,Исход!$A:$A,AE$1,Исход!$B:$B,$A21)+
SUMIFS(Исход!$H:$H,Исход!$A:$A,AE$1,Исход!$B:$B,$A21)+
SUMIFS(Исход!$I:$I,Исход!$A:$A,AE$1,Исход!$B:$B,$A21)-
SUMIFS(Исход!$L:$L,Исход!$A:$A,AE$1,Исход!$B:$B,$A21)</f>
        <v>0</v>
      </c>
      <c r="AF21" s="2">
        <f>SUMIFS(Исход!$D:$D,Исход!$A:$A,AF$1,Исход!$B:$B,$A21)+
SUMIFS(Исход!$G:$G,Исход!$A:$A,AF$1,Исход!$B:$B,$A21)+
SUMIFS(Исход!$H:$H,Исход!$A:$A,AF$1,Исход!$B:$B,$A21)+
SUMIFS(Исход!$I:$I,Исход!$A:$A,AF$1,Исход!$B:$B,$A21)-
SUMIFS(Исход!$L:$L,Исход!$A:$A,AF$1,Исход!$B:$B,$A21)</f>
        <v>0</v>
      </c>
      <c r="AG21" s="57">
        <f>SUMIFS(Исход!$D:$D,Исход!$A:$A,AG$1,Исход!$B:$B,$A21)+
SUMIFS(Исход!$G:$G,Исход!$A:$A,AG$1,Исход!$B:$B,$A21)+
SUMIFS(Исход!$H:$H,Исход!$A:$A,AG$1,Исход!$B:$B,$A21)+
SUMIFS(Исход!$I:$I,Исход!$A:$A,AG$1,Исход!$B:$B,$A21)-
SUMIFS(Исход!$L:$L,Исход!$A:$A,AG$1,Исход!$B:$B,$A21)</f>
        <v>0</v>
      </c>
    </row>
    <row r="22" spans="1:33" hidden="1" outlineLevel="1" x14ac:dyDescent="0.25">
      <c r="A22" s="103">
        <v>0.375</v>
      </c>
      <c r="B22" s="123">
        <v>0.39583333333333331</v>
      </c>
      <c r="C22" s="63">
        <f>SUMIFS(Исход!$D:$D,Исход!$A:$A,C$1,Исход!$B:$B,$A22)+
SUMIFS(Исход!$G:$G,Исход!$A:$A,C$1,Исход!$B:$B,$A22)+
SUMIFS(Исход!$H:$H,Исход!$A:$A,C$1,Исход!$B:$B,$A22)+
SUMIFS(Исход!$I:$I,Исход!$A:$A,C$1,Исход!$B:$B,$A22)-
SUMIFS(Исход!$L:$L,Исход!$A:$A,C$1,Исход!$B:$B,$A22)</f>
        <v>0</v>
      </c>
      <c r="D22" s="2">
        <f>SUMIFS(Исход!$D:$D,Исход!$A:$A,D$1,Исход!$B:$B,$A22)+
SUMIFS(Исход!$G:$G,Исход!$A:$A,D$1,Исход!$B:$B,$A22)+
SUMIFS(Исход!$H:$H,Исход!$A:$A,D$1,Исход!$B:$B,$A22)+
SUMIFS(Исход!$I:$I,Исход!$A:$A,D$1,Исход!$B:$B,$A22)-
SUMIFS(Исход!$L:$L,Исход!$A:$A,D$1,Исход!$B:$B,$A22)</f>
        <v>0</v>
      </c>
      <c r="E22" s="2">
        <f>SUMIFS(Исход!$D:$D,Исход!$A:$A,E$1,Исход!$B:$B,$A22)+
SUMIFS(Исход!$G:$G,Исход!$A:$A,E$1,Исход!$B:$B,$A22)+
SUMIFS(Исход!$H:$H,Исход!$A:$A,E$1,Исход!$B:$B,$A22)+
SUMIFS(Исход!$I:$I,Исход!$A:$A,E$1,Исход!$B:$B,$A22)-
SUMIFS(Исход!$L:$L,Исход!$A:$A,E$1,Исход!$B:$B,$A22)</f>
        <v>0</v>
      </c>
      <c r="F22" s="2">
        <f>SUMIFS(Исход!$D:$D,Исход!$A:$A,F$1,Исход!$B:$B,$A22)+
SUMIFS(Исход!$G:$G,Исход!$A:$A,F$1,Исход!$B:$B,$A22)+
SUMIFS(Исход!$H:$H,Исход!$A:$A,F$1,Исход!$B:$B,$A22)+
SUMIFS(Исход!$I:$I,Исход!$A:$A,F$1,Исход!$B:$B,$A22)-
SUMIFS(Исход!$L:$L,Исход!$A:$A,F$1,Исход!$B:$B,$A22)</f>
        <v>0</v>
      </c>
      <c r="G22" s="2">
        <f>SUMIFS(Исход!$D:$D,Исход!$A:$A,G$1,Исход!$B:$B,$A22)+
SUMIFS(Исход!$G:$G,Исход!$A:$A,G$1,Исход!$B:$B,$A22)+
SUMIFS(Исход!$H:$H,Исход!$A:$A,G$1,Исход!$B:$B,$A22)+
SUMIFS(Исход!$I:$I,Исход!$A:$A,G$1,Исход!$B:$B,$A22)-
SUMIFS(Исход!$L:$L,Исход!$A:$A,G$1,Исход!$B:$B,$A22)</f>
        <v>0</v>
      </c>
      <c r="H22" s="2">
        <f>SUMIFS(Исход!$D:$D,Исход!$A:$A,H$1,Исход!$B:$B,$A22)+
SUMIFS(Исход!$G:$G,Исход!$A:$A,H$1,Исход!$B:$B,$A22)+
SUMIFS(Исход!$H:$H,Исход!$A:$A,H$1,Исход!$B:$B,$A22)+
SUMIFS(Исход!$I:$I,Исход!$A:$A,H$1,Исход!$B:$B,$A22)-
SUMIFS(Исход!$L:$L,Исход!$A:$A,H$1,Исход!$B:$B,$A22)</f>
        <v>0</v>
      </c>
      <c r="I22" s="2">
        <f>SUMIFS(Исход!$D:$D,Исход!$A:$A,I$1,Исход!$B:$B,$A22)+
SUMIFS(Исход!$G:$G,Исход!$A:$A,I$1,Исход!$B:$B,$A22)+
SUMIFS(Исход!$H:$H,Исход!$A:$A,I$1,Исход!$B:$B,$A22)+
SUMIFS(Исход!$I:$I,Исход!$A:$A,I$1,Исход!$B:$B,$A22)-
SUMIFS(Исход!$L:$L,Исход!$A:$A,I$1,Исход!$B:$B,$A22)</f>
        <v>0</v>
      </c>
      <c r="J22" s="2">
        <f>SUMIFS(Исход!$D:$D,Исход!$A:$A,J$1,Исход!$B:$B,$A22)+
SUMIFS(Исход!$G:$G,Исход!$A:$A,J$1,Исход!$B:$B,$A22)+
SUMIFS(Исход!$H:$H,Исход!$A:$A,J$1,Исход!$B:$B,$A22)+
SUMIFS(Исход!$I:$I,Исход!$A:$A,J$1,Исход!$B:$B,$A22)-
SUMIFS(Исход!$L:$L,Исход!$A:$A,J$1,Исход!$B:$B,$A22)</f>
        <v>0</v>
      </c>
      <c r="K22" s="2">
        <f>SUMIFS(Исход!$D:$D,Исход!$A:$A,K$1,Исход!$B:$B,$A22)+
SUMIFS(Исход!$G:$G,Исход!$A:$A,K$1,Исход!$B:$B,$A22)+
SUMIFS(Исход!$H:$H,Исход!$A:$A,K$1,Исход!$B:$B,$A22)+
SUMIFS(Исход!$I:$I,Исход!$A:$A,K$1,Исход!$B:$B,$A22)-
SUMIFS(Исход!$L:$L,Исход!$A:$A,K$1,Исход!$B:$B,$A22)</f>
        <v>0</v>
      </c>
      <c r="L22" s="2">
        <f>SUMIFS(Исход!$D:$D,Исход!$A:$A,L$1,Исход!$B:$B,$A22)+
SUMIFS(Исход!$G:$G,Исход!$A:$A,L$1,Исход!$B:$B,$A22)+
SUMIFS(Исход!$H:$H,Исход!$A:$A,L$1,Исход!$B:$B,$A22)+
SUMIFS(Исход!$I:$I,Исход!$A:$A,L$1,Исход!$B:$B,$A22)-
SUMIFS(Исход!$L:$L,Исход!$A:$A,L$1,Исход!$B:$B,$A22)</f>
        <v>0</v>
      </c>
      <c r="M22" s="2">
        <f>SUMIFS(Исход!$D:$D,Исход!$A:$A,M$1,Исход!$B:$B,$A22)+
SUMIFS(Исход!$G:$G,Исход!$A:$A,M$1,Исход!$B:$B,$A22)+
SUMIFS(Исход!$H:$H,Исход!$A:$A,M$1,Исход!$B:$B,$A22)+
SUMIFS(Исход!$I:$I,Исход!$A:$A,M$1,Исход!$B:$B,$A22)-
SUMIFS(Исход!$L:$L,Исход!$A:$A,M$1,Исход!$B:$B,$A22)</f>
        <v>0</v>
      </c>
      <c r="N22" s="2">
        <f>SUMIFS(Исход!$D:$D,Исход!$A:$A,N$1,Исход!$B:$B,$A22)+
SUMIFS(Исход!$G:$G,Исход!$A:$A,N$1,Исход!$B:$B,$A22)+
SUMIFS(Исход!$H:$H,Исход!$A:$A,N$1,Исход!$B:$B,$A22)+
SUMIFS(Исход!$I:$I,Исход!$A:$A,N$1,Исход!$B:$B,$A22)-
SUMIFS(Исход!$L:$L,Исход!$A:$A,N$1,Исход!$B:$B,$A22)</f>
        <v>0</v>
      </c>
      <c r="O22" s="2">
        <f>SUMIFS(Исход!$D:$D,Исход!$A:$A,O$1,Исход!$B:$B,$A22)+
SUMIFS(Исход!$G:$G,Исход!$A:$A,O$1,Исход!$B:$B,$A22)+
SUMIFS(Исход!$H:$H,Исход!$A:$A,O$1,Исход!$B:$B,$A22)+
SUMIFS(Исход!$I:$I,Исход!$A:$A,O$1,Исход!$B:$B,$A22)-
SUMIFS(Исход!$L:$L,Исход!$A:$A,O$1,Исход!$B:$B,$A22)</f>
        <v>0</v>
      </c>
      <c r="P22" s="2">
        <f>SUMIFS(Исход!$D:$D,Исход!$A:$A,P$1,Исход!$B:$B,$A22)+
SUMIFS(Исход!$G:$G,Исход!$A:$A,P$1,Исход!$B:$B,$A22)+
SUMIFS(Исход!$H:$H,Исход!$A:$A,P$1,Исход!$B:$B,$A22)+
SUMIFS(Исход!$I:$I,Исход!$A:$A,P$1,Исход!$B:$B,$A22)-
SUMIFS(Исход!$L:$L,Исход!$A:$A,P$1,Исход!$B:$B,$A22)</f>
        <v>0</v>
      </c>
      <c r="Q22" s="2">
        <f>SUMIFS(Исход!$D:$D,Исход!$A:$A,Q$1,Исход!$B:$B,$A22)+
SUMIFS(Исход!$G:$G,Исход!$A:$A,Q$1,Исход!$B:$B,$A22)+
SUMIFS(Исход!$H:$H,Исход!$A:$A,Q$1,Исход!$B:$B,$A22)+
SUMIFS(Исход!$I:$I,Исход!$A:$A,Q$1,Исход!$B:$B,$A22)-
SUMIFS(Исход!$L:$L,Исход!$A:$A,Q$1,Исход!$B:$B,$A22)</f>
        <v>0</v>
      </c>
      <c r="R22" s="2">
        <f>SUMIFS(Исход!$D:$D,Исход!$A:$A,R$1,Исход!$B:$B,$A22)+
SUMIFS(Исход!$G:$G,Исход!$A:$A,R$1,Исход!$B:$B,$A22)+
SUMIFS(Исход!$H:$H,Исход!$A:$A,R$1,Исход!$B:$B,$A22)+
SUMIFS(Исход!$I:$I,Исход!$A:$A,R$1,Исход!$B:$B,$A22)-
SUMIFS(Исход!$L:$L,Исход!$A:$A,R$1,Исход!$B:$B,$A22)</f>
        <v>0</v>
      </c>
      <c r="S22" s="2">
        <f>SUMIFS(Исход!$D:$D,Исход!$A:$A,S$1,Исход!$B:$B,$A22)+
SUMIFS(Исход!$G:$G,Исход!$A:$A,S$1,Исход!$B:$B,$A22)+
SUMIFS(Исход!$H:$H,Исход!$A:$A,S$1,Исход!$B:$B,$A22)+
SUMIFS(Исход!$I:$I,Исход!$A:$A,S$1,Исход!$B:$B,$A22)-
SUMIFS(Исход!$L:$L,Исход!$A:$A,S$1,Исход!$B:$B,$A22)</f>
        <v>0</v>
      </c>
      <c r="T22" s="2">
        <f>SUMIFS(Исход!$D:$D,Исход!$A:$A,T$1,Исход!$B:$B,$A22)+
SUMIFS(Исход!$G:$G,Исход!$A:$A,T$1,Исход!$B:$B,$A22)+
SUMIFS(Исход!$H:$H,Исход!$A:$A,T$1,Исход!$B:$B,$A22)+
SUMIFS(Исход!$I:$I,Исход!$A:$A,T$1,Исход!$B:$B,$A22)-
SUMIFS(Исход!$L:$L,Исход!$A:$A,T$1,Исход!$B:$B,$A22)</f>
        <v>0</v>
      </c>
      <c r="U22" s="2">
        <f>SUMIFS(Исход!$D:$D,Исход!$A:$A,U$1,Исход!$B:$B,$A22)+
SUMIFS(Исход!$G:$G,Исход!$A:$A,U$1,Исход!$B:$B,$A22)+
SUMIFS(Исход!$H:$H,Исход!$A:$A,U$1,Исход!$B:$B,$A22)+
SUMIFS(Исход!$I:$I,Исход!$A:$A,U$1,Исход!$B:$B,$A22)-
SUMIFS(Исход!$L:$L,Исход!$A:$A,U$1,Исход!$B:$B,$A22)</f>
        <v>0</v>
      </c>
      <c r="V22" s="2">
        <f>SUMIFS(Исход!$D:$D,Исход!$A:$A,V$1,Исход!$B:$B,$A22)+
SUMIFS(Исход!$G:$G,Исход!$A:$A,V$1,Исход!$B:$B,$A22)+
SUMIFS(Исход!$H:$H,Исход!$A:$A,V$1,Исход!$B:$B,$A22)+
SUMIFS(Исход!$I:$I,Исход!$A:$A,V$1,Исход!$B:$B,$A22)-
SUMIFS(Исход!$L:$L,Исход!$A:$A,V$1,Исход!$B:$B,$A22)</f>
        <v>0</v>
      </c>
      <c r="W22" s="2">
        <f>SUMIFS(Исход!$D:$D,Исход!$A:$A,W$1,Исход!$B:$B,$A22)+
SUMIFS(Исход!$G:$G,Исход!$A:$A,W$1,Исход!$B:$B,$A22)+
SUMIFS(Исход!$H:$H,Исход!$A:$A,W$1,Исход!$B:$B,$A22)+
SUMIFS(Исход!$I:$I,Исход!$A:$A,W$1,Исход!$B:$B,$A22)-
SUMIFS(Исход!$L:$L,Исход!$A:$A,W$1,Исход!$B:$B,$A22)</f>
        <v>0</v>
      </c>
      <c r="X22" s="2">
        <f>SUMIFS(Исход!$D:$D,Исход!$A:$A,X$1,Исход!$B:$B,$A22)+
SUMIFS(Исход!$G:$G,Исход!$A:$A,X$1,Исход!$B:$B,$A22)+
SUMIFS(Исход!$H:$H,Исход!$A:$A,X$1,Исход!$B:$B,$A22)+
SUMIFS(Исход!$I:$I,Исход!$A:$A,X$1,Исход!$B:$B,$A22)-
SUMIFS(Исход!$L:$L,Исход!$A:$A,X$1,Исход!$B:$B,$A22)</f>
        <v>0</v>
      </c>
      <c r="Y22" s="2">
        <f>SUMIFS(Исход!$D:$D,Исход!$A:$A,Y$1,Исход!$B:$B,$A22)+
SUMIFS(Исход!$G:$G,Исход!$A:$A,Y$1,Исход!$B:$B,$A22)+
SUMIFS(Исход!$H:$H,Исход!$A:$A,Y$1,Исход!$B:$B,$A22)+
SUMIFS(Исход!$I:$I,Исход!$A:$A,Y$1,Исход!$B:$B,$A22)-
SUMIFS(Исход!$L:$L,Исход!$A:$A,Y$1,Исход!$B:$B,$A22)</f>
        <v>0</v>
      </c>
      <c r="Z22" s="2">
        <f>SUMIFS(Исход!$D:$D,Исход!$A:$A,Z$1,Исход!$B:$B,$A22)+
SUMIFS(Исход!$G:$G,Исход!$A:$A,Z$1,Исход!$B:$B,$A22)+
SUMIFS(Исход!$H:$H,Исход!$A:$A,Z$1,Исход!$B:$B,$A22)+
SUMIFS(Исход!$I:$I,Исход!$A:$A,Z$1,Исход!$B:$B,$A22)-
SUMIFS(Исход!$L:$L,Исход!$A:$A,Z$1,Исход!$B:$B,$A22)</f>
        <v>0</v>
      </c>
      <c r="AA22" s="2">
        <f>SUMIFS(Исход!$D:$D,Исход!$A:$A,AA$1,Исход!$B:$B,$A22)+
SUMIFS(Исход!$G:$G,Исход!$A:$A,AA$1,Исход!$B:$B,$A22)+
SUMIFS(Исход!$H:$H,Исход!$A:$A,AA$1,Исход!$B:$B,$A22)+
SUMIFS(Исход!$I:$I,Исход!$A:$A,AA$1,Исход!$B:$B,$A22)-
SUMIFS(Исход!$L:$L,Исход!$A:$A,AA$1,Исход!$B:$B,$A22)</f>
        <v>0</v>
      </c>
      <c r="AB22" s="2">
        <f>SUMIFS(Исход!$D:$D,Исход!$A:$A,AB$1,Исход!$B:$B,$A22)+
SUMIFS(Исход!$G:$G,Исход!$A:$A,AB$1,Исход!$B:$B,$A22)+
SUMIFS(Исход!$H:$H,Исход!$A:$A,AB$1,Исход!$B:$B,$A22)+
SUMIFS(Исход!$I:$I,Исход!$A:$A,AB$1,Исход!$B:$B,$A22)-
SUMIFS(Исход!$L:$L,Исход!$A:$A,AB$1,Исход!$B:$B,$A22)</f>
        <v>0</v>
      </c>
      <c r="AC22" s="2">
        <f>SUMIFS(Исход!$D:$D,Исход!$A:$A,AC$1,Исход!$B:$B,$A22)+
SUMIFS(Исход!$G:$G,Исход!$A:$A,AC$1,Исход!$B:$B,$A22)+
SUMIFS(Исход!$H:$H,Исход!$A:$A,AC$1,Исход!$B:$B,$A22)+
SUMIFS(Исход!$I:$I,Исход!$A:$A,AC$1,Исход!$B:$B,$A22)-
SUMIFS(Исход!$L:$L,Исход!$A:$A,AC$1,Исход!$B:$B,$A22)</f>
        <v>0</v>
      </c>
      <c r="AD22" s="2">
        <f>SUMIFS(Исход!$D:$D,Исход!$A:$A,AD$1,Исход!$B:$B,$A22)+
SUMIFS(Исход!$G:$G,Исход!$A:$A,AD$1,Исход!$B:$B,$A22)+
SUMIFS(Исход!$H:$H,Исход!$A:$A,AD$1,Исход!$B:$B,$A22)+
SUMIFS(Исход!$I:$I,Исход!$A:$A,AD$1,Исход!$B:$B,$A22)-
SUMIFS(Исход!$L:$L,Исход!$A:$A,AD$1,Исход!$B:$B,$A22)</f>
        <v>0</v>
      </c>
      <c r="AE22" s="2">
        <f>SUMIFS(Исход!$D:$D,Исход!$A:$A,AE$1,Исход!$B:$B,$A22)+
SUMIFS(Исход!$G:$G,Исход!$A:$A,AE$1,Исход!$B:$B,$A22)+
SUMIFS(Исход!$H:$H,Исход!$A:$A,AE$1,Исход!$B:$B,$A22)+
SUMIFS(Исход!$I:$I,Исход!$A:$A,AE$1,Исход!$B:$B,$A22)-
SUMIFS(Исход!$L:$L,Исход!$A:$A,AE$1,Исход!$B:$B,$A22)</f>
        <v>0</v>
      </c>
      <c r="AF22" s="2">
        <f>SUMIFS(Исход!$D:$D,Исход!$A:$A,AF$1,Исход!$B:$B,$A22)+
SUMIFS(Исход!$G:$G,Исход!$A:$A,AF$1,Исход!$B:$B,$A22)+
SUMIFS(Исход!$H:$H,Исход!$A:$A,AF$1,Исход!$B:$B,$A22)+
SUMIFS(Исход!$I:$I,Исход!$A:$A,AF$1,Исход!$B:$B,$A22)-
SUMIFS(Исход!$L:$L,Исход!$A:$A,AF$1,Исход!$B:$B,$A22)</f>
        <v>0</v>
      </c>
      <c r="AG22" s="57">
        <f>SUMIFS(Исход!$D:$D,Исход!$A:$A,AG$1,Исход!$B:$B,$A22)+
SUMIFS(Исход!$G:$G,Исход!$A:$A,AG$1,Исход!$B:$B,$A22)+
SUMIFS(Исход!$H:$H,Исход!$A:$A,AG$1,Исход!$B:$B,$A22)+
SUMIFS(Исход!$I:$I,Исход!$A:$A,AG$1,Исход!$B:$B,$A22)-
SUMIFS(Исход!$L:$L,Исход!$A:$A,AG$1,Исход!$B:$B,$A22)</f>
        <v>0</v>
      </c>
    </row>
    <row r="23" spans="1:33" hidden="1" outlineLevel="1" x14ac:dyDescent="0.25">
      <c r="A23" s="103">
        <v>0.39583333333333331</v>
      </c>
      <c r="B23" s="123">
        <v>0.41666666666666669</v>
      </c>
      <c r="C23" s="63">
        <f>SUMIFS(Исход!$D:$D,Исход!$A:$A,C$1,Исход!$B:$B,$A23)+
SUMIFS(Исход!$G:$G,Исход!$A:$A,C$1,Исход!$B:$B,$A23)+
SUMIFS(Исход!$H:$H,Исход!$A:$A,C$1,Исход!$B:$B,$A23)+
SUMIFS(Исход!$I:$I,Исход!$A:$A,C$1,Исход!$B:$B,$A23)-
SUMIFS(Исход!$L:$L,Исход!$A:$A,C$1,Исход!$B:$B,$A23)</f>
        <v>0</v>
      </c>
      <c r="D23" s="2">
        <f>SUMIFS(Исход!$D:$D,Исход!$A:$A,D$1,Исход!$B:$B,$A23)+
SUMIFS(Исход!$G:$G,Исход!$A:$A,D$1,Исход!$B:$B,$A23)+
SUMIFS(Исход!$H:$H,Исход!$A:$A,D$1,Исход!$B:$B,$A23)+
SUMIFS(Исход!$I:$I,Исход!$A:$A,D$1,Исход!$B:$B,$A23)-
SUMIFS(Исход!$L:$L,Исход!$A:$A,D$1,Исход!$B:$B,$A23)</f>
        <v>0</v>
      </c>
      <c r="E23" s="2">
        <f>SUMIFS(Исход!$D:$D,Исход!$A:$A,E$1,Исход!$B:$B,$A23)+
SUMIFS(Исход!$G:$G,Исход!$A:$A,E$1,Исход!$B:$B,$A23)+
SUMIFS(Исход!$H:$H,Исход!$A:$A,E$1,Исход!$B:$B,$A23)+
SUMIFS(Исход!$I:$I,Исход!$A:$A,E$1,Исход!$B:$B,$A23)-
SUMIFS(Исход!$L:$L,Исход!$A:$A,E$1,Исход!$B:$B,$A23)</f>
        <v>0</v>
      </c>
      <c r="F23" s="2">
        <f>SUMIFS(Исход!$D:$D,Исход!$A:$A,F$1,Исход!$B:$B,$A23)+
SUMIFS(Исход!$G:$G,Исход!$A:$A,F$1,Исход!$B:$B,$A23)+
SUMIFS(Исход!$H:$H,Исход!$A:$A,F$1,Исход!$B:$B,$A23)+
SUMIFS(Исход!$I:$I,Исход!$A:$A,F$1,Исход!$B:$B,$A23)-
SUMIFS(Исход!$L:$L,Исход!$A:$A,F$1,Исход!$B:$B,$A23)</f>
        <v>0</v>
      </c>
      <c r="G23" s="2">
        <f>SUMIFS(Исход!$D:$D,Исход!$A:$A,G$1,Исход!$B:$B,$A23)+
SUMIFS(Исход!$G:$G,Исход!$A:$A,G$1,Исход!$B:$B,$A23)+
SUMIFS(Исход!$H:$H,Исход!$A:$A,G$1,Исход!$B:$B,$A23)+
SUMIFS(Исход!$I:$I,Исход!$A:$A,G$1,Исход!$B:$B,$A23)-
SUMIFS(Исход!$L:$L,Исход!$A:$A,G$1,Исход!$B:$B,$A23)</f>
        <v>0</v>
      </c>
      <c r="H23" s="2">
        <f>SUMIFS(Исход!$D:$D,Исход!$A:$A,H$1,Исход!$B:$B,$A23)+
SUMIFS(Исход!$G:$G,Исход!$A:$A,H$1,Исход!$B:$B,$A23)+
SUMIFS(Исход!$H:$H,Исход!$A:$A,H$1,Исход!$B:$B,$A23)+
SUMIFS(Исход!$I:$I,Исход!$A:$A,H$1,Исход!$B:$B,$A23)-
SUMIFS(Исход!$L:$L,Исход!$A:$A,H$1,Исход!$B:$B,$A23)</f>
        <v>0</v>
      </c>
      <c r="I23" s="2">
        <f>SUMIFS(Исход!$D:$D,Исход!$A:$A,I$1,Исход!$B:$B,$A23)+
SUMIFS(Исход!$G:$G,Исход!$A:$A,I$1,Исход!$B:$B,$A23)+
SUMIFS(Исход!$H:$H,Исход!$A:$A,I$1,Исход!$B:$B,$A23)+
SUMIFS(Исход!$I:$I,Исход!$A:$A,I$1,Исход!$B:$B,$A23)-
SUMIFS(Исход!$L:$L,Исход!$A:$A,I$1,Исход!$B:$B,$A23)</f>
        <v>0</v>
      </c>
      <c r="J23" s="2">
        <f>SUMIFS(Исход!$D:$D,Исход!$A:$A,J$1,Исход!$B:$B,$A23)+
SUMIFS(Исход!$G:$G,Исход!$A:$A,J$1,Исход!$B:$B,$A23)+
SUMIFS(Исход!$H:$H,Исход!$A:$A,J$1,Исход!$B:$B,$A23)+
SUMIFS(Исход!$I:$I,Исход!$A:$A,J$1,Исход!$B:$B,$A23)-
SUMIFS(Исход!$L:$L,Исход!$A:$A,J$1,Исход!$B:$B,$A23)</f>
        <v>0</v>
      </c>
      <c r="K23" s="2">
        <f>SUMIFS(Исход!$D:$D,Исход!$A:$A,K$1,Исход!$B:$B,$A23)+
SUMIFS(Исход!$G:$G,Исход!$A:$A,K$1,Исход!$B:$B,$A23)+
SUMIFS(Исход!$H:$H,Исход!$A:$A,K$1,Исход!$B:$B,$A23)+
SUMIFS(Исход!$I:$I,Исход!$A:$A,K$1,Исход!$B:$B,$A23)-
SUMIFS(Исход!$L:$L,Исход!$A:$A,K$1,Исход!$B:$B,$A23)</f>
        <v>0</v>
      </c>
      <c r="L23" s="2">
        <f>SUMIFS(Исход!$D:$D,Исход!$A:$A,L$1,Исход!$B:$B,$A23)+
SUMIFS(Исход!$G:$G,Исход!$A:$A,L$1,Исход!$B:$B,$A23)+
SUMIFS(Исход!$H:$H,Исход!$A:$A,L$1,Исход!$B:$B,$A23)+
SUMIFS(Исход!$I:$I,Исход!$A:$A,L$1,Исход!$B:$B,$A23)-
SUMIFS(Исход!$L:$L,Исход!$A:$A,L$1,Исход!$B:$B,$A23)</f>
        <v>0</v>
      </c>
      <c r="M23" s="2">
        <f>SUMIFS(Исход!$D:$D,Исход!$A:$A,M$1,Исход!$B:$B,$A23)+
SUMIFS(Исход!$G:$G,Исход!$A:$A,M$1,Исход!$B:$B,$A23)+
SUMIFS(Исход!$H:$H,Исход!$A:$A,M$1,Исход!$B:$B,$A23)+
SUMIFS(Исход!$I:$I,Исход!$A:$A,M$1,Исход!$B:$B,$A23)-
SUMIFS(Исход!$L:$L,Исход!$A:$A,M$1,Исход!$B:$B,$A23)</f>
        <v>0</v>
      </c>
      <c r="N23" s="2">
        <f>SUMIFS(Исход!$D:$D,Исход!$A:$A,N$1,Исход!$B:$B,$A23)+
SUMIFS(Исход!$G:$G,Исход!$A:$A,N$1,Исход!$B:$B,$A23)+
SUMIFS(Исход!$H:$H,Исход!$A:$A,N$1,Исход!$B:$B,$A23)+
SUMIFS(Исход!$I:$I,Исход!$A:$A,N$1,Исход!$B:$B,$A23)-
SUMIFS(Исход!$L:$L,Исход!$A:$A,N$1,Исход!$B:$B,$A23)</f>
        <v>0</v>
      </c>
      <c r="O23" s="2">
        <f>SUMIFS(Исход!$D:$D,Исход!$A:$A,O$1,Исход!$B:$B,$A23)+
SUMIFS(Исход!$G:$G,Исход!$A:$A,O$1,Исход!$B:$B,$A23)+
SUMIFS(Исход!$H:$H,Исход!$A:$A,O$1,Исход!$B:$B,$A23)+
SUMIFS(Исход!$I:$I,Исход!$A:$A,O$1,Исход!$B:$B,$A23)-
SUMIFS(Исход!$L:$L,Исход!$A:$A,O$1,Исход!$B:$B,$A23)</f>
        <v>0</v>
      </c>
      <c r="P23" s="2">
        <f>SUMIFS(Исход!$D:$D,Исход!$A:$A,P$1,Исход!$B:$B,$A23)+
SUMIFS(Исход!$G:$G,Исход!$A:$A,P$1,Исход!$B:$B,$A23)+
SUMIFS(Исход!$H:$H,Исход!$A:$A,P$1,Исход!$B:$B,$A23)+
SUMIFS(Исход!$I:$I,Исход!$A:$A,P$1,Исход!$B:$B,$A23)-
SUMIFS(Исход!$L:$L,Исход!$A:$A,P$1,Исход!$B:$B,$A23)</f>
        <v>0</v>
      </c>
      <c r="Q23" s="2">
        <f>SUMIFS(Исход!$D:$D,Исход!$A:$A,Q$1,Исход!$B:$B,$A23)+
SUMIFS(Исход!$G:$G,Исход!$A:$A,Q$1,Исход!$B:$B,$A23)+
SUMIFS(Исход!$H:$H,Исход!$A:$A,Q$1,Исход!$B:$B,$A23)+
SUMIFS(Исход!$I:$I,Исход!$A:$A,Q$1,Исход!$B:$B,$A23)-
SUMIFS(Исход!$L:$L,Исход!$A:$A,Q$1,Исход!$B:$B,$A23)</f>
        <v>0</v>
      </c>
      <c r="R23" s="2">
        <f>SUMIFS(Исход!$D:$D,Исход!$A:$A,R$1,Исход!$B:$B,$A23)+
SUMIFS(Исход!$G:$G,Исход!$A:$A,R$1,Исход!$B:$B,$A23)+
SUMIFS(Исход!$H:$H,Исход!$A:$A,R$1,Исход!$B:$B,$A23)+
SUMIFS(Исход!$I:$I,Исход!$A:$A,R$1,Исход!$B:$B,$A23)-
SUMIFS(Исход!$L:$L,Исход!$A:$A,R$1,Исход!$B:$B,$A23)</f>
        <v>0</v>
      </c>
      <c r="S23" s="2">
        <f>SUMIFS(Исход!$D:$D,Исход!$A:$A,S$1,Исход!$B:$B,$A23)+
SUMIFS(Исход!$G:$G,Исход!$A:$A,S$1,Исход!$B:$B,$A23)+
SUMIFS(Исход!$H:$H,Исход!$A:$A,S$1,Исход!$B:$B,$A23)+
SUMIFS(Исход!$I:$I,Исход!$A:$A,S$1,Исход!$B:$B,$A23)-
SUMIFS(Исход!$L:$L,Исход!$A:$A,S$1,Исход!$B:$B,$A23)</f>
        <v>0</v>
      </c>
      <c r="T23" s="2">
        <f>SUMIFS(Исход!$D:$D,Исход!$A:$A,T$1,Исход!$B:$B,$A23)+
SUMIFS(Исход!$G:$G,Исход!$A:$A,T$1,Исход!$B:$B,$A23)+
SUMIFS(Исход!$H:$H,Исход!$A:$A,T$1,Исход!$B:$B,$A23)+
SUMIFS(Исход!$I:$I,Исход!$A:$A,T$1,Исход!$B:$B,$A23)-
SUMIFS(Исход!$L:$L,Исход!$A:$A,T$1,Исход!$B:$B,$A23)</f>
        <v>0</v>
      </c>
      <c r="U23" s="2">
        <f>SUMIFS(Исход!$D:$D,Исход!$A:$A,U$1,Исход!$B:$B,$A23)+
SUMIFS(Исход!$G:$G,Исход!$A:$A,U$1,Исход!$B:$B,$A23)+
SUMIFS(Исход!$H:$H,Исход!$A:$A,U$1,Исход!$B:$B,$A23)+
SUMIFS(Исход!$I:$I,Исход!$A:$A,U$1,Исход!$B:$B,$A23)-
SUMIFS(Исход!$L:$L,Исход!$A:$A,U$1,Исход!$B:$B,$A23)</f>
        <v>0</v>
      </c>
      <c r="V23" s="2">
        <f>SUMIFS(Исход!$D:$D,Исход!$A:$A,V$1,Исход!$B:$B,$A23)+
SUMIFS(Исход!$G:$G,Исход!$A:$A,V$1,Исход!$B:$B,$A23)+
SUMIFS(Исход!$H:$H,Исход!$A:$A,V$1,Исход!$B:$B,$A23)+
SUMIFS(Исход!$I:$I,Исход!$A:$A,V$1,Исход!$B:$B,$A23)-
SUMIFS(Исход!$L:$L,Исход!$A:$A,V$1,Исход!$B:$B,$A23)</f>
        <v>0</v>
      </c>
      <c r="W23" s="2">
        <f>SUMIFS(Исход!$D:$D,Исход!$A:$A,W$1,Исход!$B:$B,$A23)+
SUMIFS(Исход!$G:$G,Исход!$A:$A,W$1,Исход!$B:$B,$A23)+
SUMIFS(Исход!$H:$H,Исход!$A:$A,W$1,Исход!$B:$B,$A23)+
SUMIFS(Исход!$I:$I,Исход!$A:$A,W$1,Исход!$B:$B,$A23)-
SUMIFS(Исход!$L:$L,Исход!$A:$A,W$1,Исход!$B:$B,$A23)</f>
        <v>0</v>
      </c>
      <c r="X23" s="2">
        <f>SUMIFS(Исход!$D:$D,Исход!$A:$A,X$1,Исход!$B:$B,$A23)+
SUMIFS(Исход!$G:$G,Исход!$A:$A,X$1,Исход!$B:$B,$A23)+
SUMIFS(Исход!$H:$H,Исход!$A:$A,X$1,Исход!$B:$B,$A23)+
SUMIFS(Исход!$I:$I,Исход!$A:$A,X$1,Исход!$B:$B,$A23)-
SUMIFS(Исход!$L:$L,Исход!$A:$A,X$1,Исход!$B:$B,$A23)</f>
        <v>0</v>
      </c>
      <c r="Y23" s="2">
        <f>SUMIFS(Исход!$D:$D,Исход!$A:$A,Y$1,Исход!$B:$B,$A23)+
SUMIFS(Исход!$G:$G,Исход!$A:$A,Y$1,Исход!$B:$B,$A23)+
SUMIFS(Исход!$H:$H,Исход!$A:$A,Y$1,Исход!$B:$B,$A23)+
SUMIFS(Исход!$I:$I,Исход!$A:$A,Y$1,Исход!$B:$B,$A23)-
SUMIFS(Исход!$L:$L,Исход!$A:$A,Y$1,Исход!$B:$B,$A23)</f>
        <v>0</v>
      </c>
      <c r="Z23" s="2">
        <f>SUMIFS(Исход!$D:$D,Исход!$A:$A,Z$1,Исход!$B:$B,$A23)+
SUMIFS(Исход!$G:$G,Исход!$A:$A,Z$1,Исход!$B:$B,$A23)+
SUMIFS(Исход!$H:$H,Исход!$A:$A,Z$1,Исход!$B:$B,$A23)+
SUMIFS(Исход!$I:$I,Исход!$A:$A,Z$1,Исход!$B:$B,$A23)-
SUMIFS(Исход!$L:$L,Исход!$A:$A,Z$1,Исход!$B:$B,$A23)</f>
        <v>0</v>
      </c>
      <c r="AA23" s="2">
        <f>SUMIFS(Исход!$D:$D,Исход!$A:$A,AA$1,Исход!$B:$B,$A23)+
SUMIFS(Исход!$G:$G,Исход!$A:$A,AA$1,Исход!$B:$B,$A23)+
SUMIFS(Исход!$H:$H,Исход!$A:$A,AA$1,Исход!$B:$B,$A23)+
SUMIFS(Исход!$I:$I,Исход!$A:$A,AA$1,Исход!$B:$B,$A23)-
SUMIFS(Исход!$L:$L,Исход!$A:$A,AA$1,Исход!$B:$B,$A23)</f>
        <v>0</v>
      </c>
      <c r="AB23" s="2">
        <f>SUMIFS(Исход!$D:$D,Исход!$A:$A,AB$1,Исход!$B:$B,$A23)+
SUMIFS(Исход!$G:$G,Исход!$A:$A,AB$1,Исход!$B:$B,$A23)+
SUMIFS(Исход!$H:$H,Исход!$A:$A,AB$1,Исход!$B:$B,$A23)+
SUMIFS(Исход!$I:$I,Исход!$A:$A,AB$1,Исход!$B:$B,$A23)-
SUMIFS(Исход!$L:$L,Исход!$A:$A,AB$1,Исход!$B:$B,$A23)</f>
        <v>0</v>
      </c>
      <c r="AC23" s="2">
        <f>SUMIFS(Исход!$D:$D,Исход!$A:$A,AC$1,Исход!$B:$B,$A23)+
SUMIFS(Исход!$G:$G,Исход!$A:$A,AC$1,Исход!$B:$B,$A23)+
SUMIFS(Исход!$H:$H,Исход!$A:$A,AC$1,Исход!$B:$B,$A23)+
SUMIFS(Исход!$I:$I,Исход!$A:$A,AC$1,Исход!$B:$B,$A23)-
SUMIFS(Исход!$L:$L,Исход!$A:$A,AC$1,Исход!$B:$B,$A23)</f>
        <v>0</v>
      </c>
      <c r="AD23" s="2">
        <f>SUMIFS(Исход!$D:$D,Исход!$A:$A,AD$1,Исход!$B:$B,$A23)+
SUMIFS(Исход!$G:$G,Исход!$A:$A,AD$1,Исход!$B:$B,$A23)+
SUMIFS(Исход!$H:$H,Исход!$A:$A,AD$1,Исход!$B:$B,$A23)+
SUMIFS(Исход!$I:$I,Исход!$A:$A,AD$1,Исход!$B:$B,$A23)-
SUMIFS(Исход!$L:$L,Исход!$A:$A,AD$1,Исход!$B:$B,$A23)</f>
        <v>0</v>
      </c>
      <c r="AE23" s="2">
        <f>SUMIFS(Исход!$D:$D,Исход!$A:$A,AE$1,Исход!$B:$B,$A23)+
SUMIFS(Исход!$G:$G,Исход!$A:$A,AE$1,Исход!$B:$B,$A23)+
SUMIFS(Исход!$H:$H,Исход!$A:$A,AE$1,Исход!$B:$B,$A23)+
SUMIFS(Исход!$I:$I,Исход!$A:$A,AE$1,Исход!$B:$B,$A23)-
SUMIFS(Исход!$L:$L,Исход!$A:$A,AE$1,Исход!$B:$B,$A23)</f>
        <v>0</v>
      </c>
      <c r="AF23" s="2">
        <f>SUMIFS(Исход!$D:$D,Исход!$A:$A,AF$1,Исход!$B:$B,$A23)+
SUMIFS(Исход!$G:$G,Исход!$A:$A,AF$1,Исход!$B:$B,$A23)+
SUMIFS(Исход!$H:$H,Исход!$A:$A,AF$1,Исход!$B:$B,$A23)+
SUMIFS(Исход!$I:$I,Исход!$A:$A,AF$1,Исход!$B:$B,$A23)-
SUMIFS(Исход!$L:$L,Исход!$A:$A,AF$1,Исход!$B:$B,$A23)</f>
        <v>0</v>
      </c>
      <c r="AG23" s="57">
        <f>SUMIFS(Исход!$D:$D,Исход!$A:$A,AG$1,Исход!$B:$B,$A23)+
SUMIFS(Исход!$G:$G,Исход!$A:$A,AG$1,Исход!$B:$B,$A23)+
SUMIFS(Исход!$H:$H,Исход!$A:$A,AG$1,Исход!$B:$B,$A23)+
SUMIFS(Исход!$I:$I,Исход!$A:$A,AG$1,Исход!$B:$B,$A23)-
SUMIFS(Исход!$L:$L,Исход!$A:$A,AG$1,Исход!$B:$B,$A23)</f>
        <v>0</v>
      </c>
    </row>
    <row r="24" spans="1:33" hidden="1" outlineLevel="1" x14ac:dyDescent="0.25">
      <c r="A24" s="103">
        <v>0.41666666666666669</v>
      </c>
      <c r="B24" s="123">
        <v>0.4375</v>
      </c>
      <c r="C24" s="63">
        <f>SUMIFS(Исход!$D:$D,Исход!$A:$A,C$1,Исход!$B:$B,$A24)+
SUMIFS(Исход!$G:$G,Исход!$A:$A,C$1,Исход!$B:$B,$A24)+
SUMIFS(Исход!$H:$H,Исход!$A:$A,C$1,Исход!$B:$B,$A24)+
SUMIFS(Исход!$I:$I,Исход!$A:$A,C$1,Исход!$B:$B,$A24)-
SUMIFS(Исход!$L:$L,Исход!$A:$A,C$1,Исход!$B:$B,$A24)</f>
        <v>0</v>
      </c>
      <c r="D24" s="2">
        <f>SUMIFS(Исход!$D:$D,Исход!$A:$A,D$1,Исход!$B:$B,$A24)+
SUMIFS(Исход!$G:$G,Исход!$A:$A,D$1,Исход!$B:$B,$A24)+
SUMIFS(Исход!$H:$H,Исход!$A:$A,D$1,Исход!$B:$B,$A24)+
SUMIFS(Исход!$I:$I,Исход!$A:$A,D$1,Исход!$B:$B,$A24)-
SUMIFS(Исход!$L:$L,Исход!$A:$A,D$1,Исход!$B:$B,$A24)</f>
        <v>0</v>
      </c>
      <c r="E24" s="2">
        <f>SUMIFS(Исход!$D:$D,Исход!$A:$A,E$1,Исход!$B:$B,$A24)+
SUMIFS(Исход!$G:$G,Исход!$A:$A,E$1,Исход!$B:$B,$A24)+
SUMIFS(Исход!$H:$H,Исход!$A:$A,E$1,Исход!$B:$B,$A24)+
SUMIFS(Исход!$I:$I,Исход!$A:$A,E$1,Исход!$B:$B,$A24)-
SUMIFS(Исход!$L:$L,Исход!$A:$A,E$1,Исход!$B:$B,$A24)</f>
        <v>0</v>
      </c>
      <c r="F24" s="2">
        <f>SUMIFS(Исход!$D:$D,Исход!$A:$A,F$1,Исход!$B:$B,$A24)+
SUMIFS(Исход!$G:$G,Исход!$A:$A,F$1,Исход!$B:$B,$A24)+
SUMIFS(Исход!$H:$H,Исход!$A:$A,F$1,Исход!$B:$B,$A24)+
SUMIFS(Исход!$I:$I,Исход!$A:$A,F$1,Исход!$B:$B,$A24)-
SUMIFS(Исход!$L:$L,Исход!$A:$A,F$1,Исход!$B:$B,$A24)</f>
        <v>0</v>
      </c>
      <c r="G24" s="2">
        <f>SUMIFS(Исход!$D:$D,Исход!$A:$A,G$1,Исход!$B:$B,$A24)+
SUMIFS(Исход!$G:$G,Исход!$A:$A,G$1,Исход!$B:$B,$A24)+
SUMIFS(Исход!$H:$H,Исход!$A:$A,G$1,Исход!$B:$B,$A24)+
SUMIFS(Исход!$I:$I,Исход!$A:$A,G$1,Исход!$B:$B,$A24)-
SUMIFS(Исход!$L:$L,Исход!$A:$A,G$1,Исход!$B:$B,$A24)</f>
        <v>0</v>
      </c>
      <c r="H24" s="2">
        <f>SUMIFS(Исход!$D:$D,Исход!$A:$A,H$1,Исход!$B:$B,$A24)+
SUMIFS(Исход!$G:$G,Исход!$A:$A,H$1,Исход!$B:$B,$A24)+
SUMIFS(Исход!$H:$H,Исход!$A:$A,H$1,Исход!$B:$B,$A24)+
SUMIFS(Исход!$I:$I,Исход!$A:$A,H$1,Исход!$B:$B,$A24)-
SUMIFS(Исход!$L:$L,Исход!$A:$A,H$1,Исход!$B:$B,$A24)</f>
        <v>0</v>
      </c>
      <c r="I24" s="2">
        <f>SUMIFS(Исход!$D:$D,Исход!$A:$A,I$1,Исход!$B:$B,$A24)+
SUMIFS(Исход!$G:$G,Исход!$A:$A,I$1,Исход!$B:$B,$A24)+
SUMIFS(Исход!$H:$H,Исход!$A:$A,I$1,Исход!$B:$B,$A24)+
SUMIFS(Исход!$I:$I,Исход!$A:$A,I$1,Исход!$B:$B,$A24)-
SUMIFS(Исход!$L:$L,Исход!$A:$A,I$1,Исход!$B:$B,$A24)</f>
        <v>0</v>
      </c>
      <c r="J24" s="2">
        <f>SUMIFS(Исход!$D:$D,Исход!$A:$A,J$1,Исход!$B:$B,$A24)+
SUMIFS(Исход!$G:$G,Исход!$A:$A,J$1,Исход!$B:$B,$A24)+
SUMIFS(Исход!$H:$H,Исход!$A:$A,J$1,Исход!$B:$B,$A24)+
SUMIFS(Исход!$I:$I,Исход!$A:$A,J$1,Исход!$B:$B,$A24)-
SUMIFS(Исход!$L:$L,Исход!$A:$A,J$1,Исход!$B:$B,$A24)</f>
        <v>0</v>
      </c>
      <c r="K24" s="2">
        <f>SUMIFS(Исход!$D:$D,Исход!$A:$A,K$1,Исход!$B:$B,$A24)+
SUMIFS(Исход!$G:$G,Исход!$A:$A,K$1,Исход!$B:$B,$A24)+
SUMIFS(Исход!$H:$H,Исход!$A:$A,K$1,Исход!$B:$B,$A24)+
SUMIFS(Исход!$I:$I,Исход!$A:$A,K$1,Исход!$B:$B,$A24)-
SUMIFS(Исход!$L:$L,Исход!$A:$A,K$1,Исход!$B:$B,$A24)</f>
        <v>0</v>
      </c>
      <c r="L24" s="2">
        <f>SUMIFS(Исход!$D:$D,Исход!$A:$A,L$1,Исход!$B:$B,$A24)+
SUMIFS(Исход!$G:$G,Исход!$A:$A,L$1,Исход!$B:$B,$A24)+
SUMIFS(Исход!$H:$H,Исход!$A:$A,L$1,Исход!$B:$B,$A24)+
SUMIFS(Исход!$I:$I,Исход!$A:$A,L$1,Исход!$B:$B,$A24)-
SUMIFS(Исход!$L:$L,Исход!$A:$A,L$1,Исход!$B:$B,$A24)</f>
        <v>0</v>
      </c>
      <c r="M24" s="2">
        <f>SUMIFS(Исход!$D:$D,Исход!$A:$A,M$1,Исход!$B:$B,$A24)+
SUMIFS(Исход!$G:$G,Исход!$A:$A,M$1,Исход!$B:$B,$A24)+
SUMIFS(Исход!$H:$H,Исход!$A:$A,M$1,Исход!$B:$B,$A24)+
SUMIFS(Исход!$I:$I,Исход!$A:$A,M$1,Исход!$B:$B,$A24)-
SUMIFS(Исход!$L:$L,Исход!$A:$A,M$1,Исход!$B:$B,$A24)</f>
        <v>0</v>
      </c>
      <c r="N24" s="2">
        <f>SUMIFS(Исход!$D:$D,Исход!$A:$A,N$1,Исход!$B:$B,$A24)+
SUMIFS(Исход!$G:$G,Исход!$A:$A,N$1,Исход!$B:$B,$A24)+
SUMIFS(Исход!$H:$H,Исход!$A:$A,N$1,Исход!$B:$B,$A24)+
SUMIFS(Исход!$I:$I,Исход!$A:$A,N$1,Исход!$B:$B,$A24)-
SUMIFS(Исход!$L:$L,Исход!$A:$A,N$1,Исход!$B:$B,$A24)</f>
        <v>0</v>
      </c>
      <c r="O24" s="2">
        <f>SUMIFS(Исход!$D:$D,Исход!$A:$A,O$1,Исход!$B:$B,$A24)+
SUMIFS(Исход!$G:$G,Исход!$A:$A,O$1,Исход!$B:$B,$A24)+
SUMIFS(Исход!$H:$H,Исход!$A:$A,O$1,Исход!$B:$B,$A24)+
SUMIFS(Исход!$I:$I,Исход!$A:$A,O$1,Исход!$B:$B,$A24)-
SUMIFS(Исход!$L:$L,Исход!$A:$A,O$1,Исход!$B:$B,$A24)</f>
        <v>0</v>
      </c>
      <c r="P24" s="2">
        <f>SUMIFS(Исход!$D:$D,Исход!$A:$A,P$1,Исход!$B:$B,$A24)+
SUMIFS(Исход!$G:$G,Исход!$A:$A,P$1,Исход!$B:$B,$A24)+
SUMIFS(Исход!$H:$H,Исход!$A:$A,P$1,Исход!$B:$B,$A24)+
SUMIFS(Исход!$I:$I,Исход!$A:$A,P$1,Исход!$B:$B,$A24)-
SUMIFS(Исход!$L:$L,Исход!$A:$A,P$1,Исход!$B:$B,$A24)</f>
        <v>0</v>
      </c>
      <c r="Q24" s="2">
        <f>SUMIFS(Исход!$D:$D,Исход!$A:$A,Q$1,Исход!$B:$B,$A24)+
SUMIFS(Исход!$G:$G,Исход!$A:$A,Q$1,Исход!$B:$B,$A24)+
SUMIFS(Исход!$H:$H,Исход!$A:$A,Q$1,Исход!$B:$B,$A24)+
SUMIFS(Исход!$I:$I,Исход!$A:$A,Q$1,Исход!$B:$B,$A24)-
SUMIFS(Исход!$L:$L,Исход!$A:$A,Q$1,Исход!$B:$B,$A24)</f>
        <v>0</v>
      </c>
      <c r="R24" s="2">
        <f>SUMIFS(Исход!$D:$D,Исход!$A:$A,R$1,Исход!$B:$B,$A24)+
SUMIFS(Исход!$G:$G,Исход!$A:$A,R$1,Исход!$B:$B,$A24)+
SUMIFS(Исход!$H:$H,Исход!$A:$A,R$1,Исход!$B:$B,$A24)+
SUMIFS(Исход!$I:$I,Исход!$A:$A,R$1,Исход!$B:$B,$A24)-
SUMIFS(Исход!$L:$L,Исход!$A:$A,R$1,Исход!$B:$B,$A24)</f>
        <v>0</v>
      </c>
      <c r="S24" s="2">
        <f>SUMIFS(Исход!$D:$D,Исход!$A:$A,S$1,Исход!$B:$B,$A24)+
SUMIFS(Исход!$G:$G,Исход!$A:$A,S$1,Исход!$B:$B,$A24)+
SUMIFS(Исход!$H:$H,Исход!$A:$A,S$1,Исход!$B:$B,$A24)+
SUMIFS(Исход!$I:$I,Исход!$A:$A,S$1,Исход!$B:$B,$A24)-
SUMIFS(Исход!$L:$L,Исход!$A:$A,S$1,Исход!$B:$B,$A24)</f>
        <v>0</v>
      </c>
      <c r="T24" s="2">
        <f>SUMIFS(Исход!$D:$D,Исход!$A:$A,T$1,Исход!$B:$B,$A24)+
SUMIFS(Исход!$G:$G,Исход!$A:$A,T$1,Исход!$B:$B,$A24)+
SUMIFS(Исход!$H:$H,Исход!$A:$A,T$1,Исход!$B:$B,$A24)+
SUMIFS(Исход!$I:$I,Исход!$A:$A,T$1,Исход!$B:$B,$A24)-
SUMIFS(Исход!$L:$L,Исход!$A:$A,T$1,Исход!$B:$B,$A24)</f>
        <v>0</v>
      </c>
      <c r="U24" s="2">
        <f>SUMIFS(Исход!$D:$D,Исход!$A:$A,U$1,Исход!$B:$B,$A24)+
SUMIFS(Исход!$G:$G,Исход!$A:$A,U$1,Исход!$B:$B,$A24)+
SUMIFS(Исход!$H:$H,Исход!$A:$A,U$1,Исход!$B:$B,$A24)+
SUMIFS(Исход!$I:$I,Исход!$A:$A,U$1,Исход!$B:$B,$A24)-
SUMIFS(Исход!$L:$L,Исход!$A:$A,U$1,Исход!$B:$B,$A24)</f>
        <v>0</v>
      </c>
      <c r="V24" s="2">
        <f>SUMIFS(Исход!$D:$D,Исход!$A:$A,V$1,Исход!$B:$B,$A24)+
SUMIFS(Исход!$G:$G,Исход!$A:$A,V$1,Исход!$B:$B,$A24)+
SUMIFS(Исход!$H:$H,Исход!$A:$A,V$1,Исход!$B:$B,$A24)+
SUMIFS(Исход!$I:$I,Исход!$A:$A,V$1,Исход!$B:$B,$A24)-
SUMIFS(Исход!$L:$L,Исход!$A:$A,V$1,Исход!$B:$B,$A24)</f>
        <v>0</v>
      </c>
      <c r="W24" s="2">
        <f>SUMIFS(Исход!$D:$D,Исход!$A:$A,W$1,Исход!$B:$B,$A24)+
SUMIFS(Исход!$G:$G,Исход!$A:$A,W$1,Исход!$B:$B,$A24)+
SUMIFS(Исход!$H:$H,Исход!$A:$A,W$1,Исход!$B:$B,$A24)+
SUMIFS(Исход!$I:$I,Исход!$A:$A,W$1,Исход!$B:$B,$A24)-
SUMIFS(Исход!$L:$L,Исход!$A:$A,W$1,Исход!$B:$B,$A24)</f>
        <v>0</v>
      </c>
      <c r="X24" s="2">
        <f>SUMIFS(Исход!$D:$D,Исход!$A:$A,X$1,Исход!$B:$B,$A24)+
SUMIFS(Исход!$G:$G,Исход!$A:$A,X$1,Исход!$B:$B,$A24)+
SUMIFS(Исход!$H:$H,Исход!$A:$A,X$1,Исход!$B:$B,$A24)+
SUMIFS(Исход!$I:$I,Исход!$A:$A,X$1,Исход!$B:$B,$A24)-
SUMIFS(Исход!$L:$L,Исход!$A:$A,X$1,Исход!$B:$B,$A24)</f>
        <v>0</v>
      </c>
      <c r="Y24" s="2">
        <f>SUMIFS(Исход!$D:$D,Исход!$A:$A,Y$1,Исход!$B:$B,$A24)+
SUMIFS(Исход!$G:$G,Исход!$A:$A,Y$1,Исход!$B:$B,$A24)+
SUMIFS(Исход!$H:$H,Исход!$A:$A,Y$1,Исход!$B:$B,$A24)+
SUMIFS(Исход!$I:$I,Исход!$A:$A,Y$1,Исход!$B:$B,$A24)-
SUMIFS(Исход!$L:$L,Исход!$A:$A,Y$1,Исход!$B:$B,$A24)</f>
        <v>0</v>
      </c>
      <c r="Z24" s="2">
        <f>SUMIFS(Исход!$D:$D,Исход!$A:$A,Z$1,Исход!$B:$B,$A24)+
SUMIFS(Исход!$G:$G,Исход!$A:$A,Z$1,Исход!$B:$B,$A24)+
SUMIFS(Исход!$H:$H,Исход!$A:$A,Z$1,Исход!$B:$B,$A24)+
SUMIFS(Исход!$I:$I,Исход!$A:$A,Z$1,Исход!$B:$B,$A24)-
SUMIFS(Исход!$L:$L,Исход!$A:$A,Z$1,Исход!$B:$B,$A24)</f>
        <v>0</v>
      </c>
      <c r="AA24" s="2">
        <f>SUMIFS(Исход!$D:$D,Исход!$A:$A,AA$1,Исход!$B:$B,$A24)+
SUMIFS(Исход!$G:$G,Исход!$A:$A,AA$1,Исход!$B:$B,$A24)+
SUMIFS(Исход!$H:$H,Исход!$A:$A,AA$1,Исход!$B:$B,$A24)+
SUMIFS(Исход!$I:$I,Исход!$A:$A,AA$1,Исход!$B:$B,$A24)-
SUMIFS(Исход!$L:$L,Исход!$A:$A,AA$1,Исход!$B:$B,$A24)</f>
        <v>0</v>
      </c>
      <c r="AB24" s="2">
        <f>SUMIFS(Исход!$D:$D,Исход!$A:$A,AB$1,Исход!$B:$B,$A24)+
SUMIFS(Исход!$G:$G,Исход!$A:$A,AB$1,Исход!$B:$B,$A24)+
SUMIFS(Исход!$H:$H,Исход!$A:$A,AB$1,Исход!$B:$B,$A24)+
SUMIFS(Исход!$I:$I,Исход!$A:$A,AB$1,Исход!$B:$B,$A24)-
SUMIFS(Исход!$L:$L,Исход!$A:$A,AB$1,Исход!$B:$B,$A24)</f>
        <v>0</v>
      </c>
      <c r="AC24" s="2">
        <f>SUMIFS(Исход!$D:$D,Исход!$A:$A,AC$1,Исход!$B:$B,$A24)+
SUMIFS(Исход!$G:$G,Исход!$A:$A,AC$1,Исход!$B:$B,$A24)+
SUMIFS(Исход!$H:$H,Исход!$A:$A,AC$1,Исход!$B:$B,$A24)+
SUMIFS(Исход!$I:$I,Исход!$A:$A,AC$1,Исход!$B:$B,$A24)-
SUMIFS(Исход!$L:$L,Исход!$A:$A,AC$1,Исход!$B:$B,$A24)</f>
        <v>0</v>
      </c>
      <c r="AD24" s="2">
        <f>SUMIFS(Исход!$D:$D,Исход!$A:$A,AD$1,Исход!$B:$B,$A24)+
SUMIFS(Исход!$G:$G,Исход!$A:$A,AD$1,Исход!$B:$B,$A24)+
SUMIFS(Исход!$H:$H,Исход!$A:$A,AD$1,Исход!$B:$B,$A24)+
SUMIFS(Исход!$I:$I,Исход!$A:$A,AD$1,Исход!$B:$B,$A24)-
SUMIFS(Исход!$L:$L,Исход!$A:$A,AD$1,Исход!$B:$B,$A24)</f>
        <v>0</v>
      </c>
      <c r="AE24" s="2">
        <f>SUMIFS(Исход!$D:$D,Исход!$A:$A,AE$1,Исход!$B:$B,$A24)+
SUMIFS(Исход!$G:$G,Исход!$A:$A,AE$1,Исход!$B:$B,$A24)+
SUMIFS(Исход!$H:$H,Исход!$A:$A,AE$1,Исход!$B:$B,$A24)+
SUMIFS(Исход!$I:$I,Исход!$A:$A,AE$1,Исход!$B:$B,$A24)-
SUMIFS(Исход!$L:$L,Исход!$A:$A,AE$1,Исход!$B:$B,$A24)</f>
        <v>0</v>
      </c>
      <c r="AF24" s="2">
        <f>SUMIFS(Исход!$D:$D,Исход!$A:$A,AF$1,Исход!$B:$B,$A24)+
SUMIFS(Исход!$G:$G,Исход!$A:$A,AF$1,Исход!$B:$B,$A24)+
SUMIFS(Исход!$H:$H,Исход!$A:$A,AF$1,Исход!$B:$B,$A24)+
SUMIFS(Исход!$I:$I,Исход!$A:$A,AF$1,Исход!$B:$B,$A24)-
SUMIFS(Исход!$L:$L,Исход!$A:$A,AF$1,Исход!$B:$B,$A24)</f>
        <v>0</v>
      </c>
      <c r="AG24" s="57">
        <f>SUMIFS(Исход!$D:$D,Исход!$A:$A,AG$1,Исход!$B:$B,$A24)+
SUMIFS(Исход!$G:$G,Исход!$A:$A,AG$1,Исход!$B:$B,$A24)+
SUMIFS(Исход!$H:$H,Исход!$A:$A,AG$1,Исход!$B:$B,$A24)+
SUMIFS(Исход!$I:$I,Исход!$A:$A,AG$1,Исход!$B:$B,$A24)-
SUMIFS(Исход!$L:$L,Исход!$A:$A,AG$1,Исход!$B:$B,$A24)</f>
        <v>0</v>
      </c>
    </row>
    <row r="25" spans="1:33" hidden="1" outlineLevel="1" x14ac:dyDescent="0.25">
      <c r="A25" s="103">
        <v>0.4375</v>
      </c>
      <c r="B25" s="123">
        <v>0.45833333333333331</v>
      </c>
      <c r="C25" s="63">
        <f>SUMIFS(Исход!$D:$D,Исход!$A:$A,C$1,Исход!$B:$B,$A25)+
SUMIFS(Исход!$G:$G,Исход!$A:$A,C$1,Исход!$B:$B,$A25)+
SUMIFS(Исход!$H:$H,Исход!$A:$A,C$1,Исход!$B:$B,$A25)+
SUMIFS(Исход!$I:$I,Исход!$A:$A,C$1,Исход!$B:$B,$A25)-
SUMIFS(Исход!$L:$L,Исход!$A:$A,C$1,Исход!$B:$B,$A25)</f>
        <v>0</v>
      </c>
      <c r="D25" s="2">
        <f>SUMIFS(Исход!$D:$D,Исход!$A:$A,D$1,Исход!$B:$B,$A25)+
SUMIFS(Исход!$G:$G,Исход!$A:$A,D$1,Исход!$B:$B,$A25)+
SUMIFS(Исход!$H:$H,Исход!$A:$A,D$1,Исход!$B:$B,$A25)+
SUMIFS(Исход!$I:$I,Исход!$A:$A,D$1,Исход!$B:$B,$A25)-
SUMIFS(Исход!$L:$L,Исход!$A:$A,D$1,Исход!$B:$B,$A25)</f>
        <v>0</v>
      </c>
      <c r="E25" s="2">
        <f>SUMIFS(Исход!$D:$D,Исход!$A:$A,E$1,Исход!$B:$B,$A25)+
SUMIFS(Исход!$G:$G,Исход!$A:$A,E$1,Исход!$B:$B,$A25)+
SUMIFS(Исход!$H:$H,Исход!$A:$A,E$1,Исход!$B:$B,$A25)+
SUMIFS(Исход!$I:$I,Исход!$A:$A,E$1,Исход!$B:$B,$A25)-
SUMIFS(Исход!$L:$L,Исход!$A:$A,E$1,Исход!$B:$B,$A25)</f>
        <v>0</v>
      </c>
      <c r="F25" s="2">
        <f>SUMIFS(Исход!$D:$D,Исход!$A:$A,F$1,Исход!$B:$B,$A25)+
SUMIFS(Исход!$G:$G,Исход!$A:$A,F$1,Исход!$B:$B,$A25)+
SUMIFS(Исход!$H:$H,Исход!$A:$A,F$1,Исход!$B:$B,$A25)+
SUMIFS(Исход!$I:$I,Исход!$A:$A,F$1,Исход!$B:$B,$A25)-
SUMIFS(Исход!$L:$L,Исход!$A:$A,F$1,Исход!$B:$B,$A25)</f>
        <v>0</v>
      </c>
      <c r="G25" s="2">
        <f>SUMIFS(Исход!$D:$D,Исход!$A:$A,G$1,Исход!$B:$B,$A25)+
SUMIFS(Исход!$G:$G,Исход!$A:$A,G$1,Исход!$B:$B,$A25)+
SUMIFS(Исход!$H:$H,Исход!$A:$A,G$1,Исход!$B:$B,$A25)+
SUMIFS(Исход!$I:$I,Исход!$A:$A,G$1,Исход!$B:$B,$A25)-
SUMIFS(Исход!$L:$L,Исход!$A:$A,G$1,Исход!$B:$B,$A25)</f>
        <v>0</v>
      </c>
      <c r="H25" s="2">
        <f>SUMIFS(Исход!$D:$D,Исход!$A:$A,H$1,Исход!$B:$B,$A25)+
SUMIFS(Исход!$G:$G,Исход!$A:$A,H$1,Исход!$B:$B,$A25)+
SUMIFS(Исход!$H:$H,Исход!$A:$A,H$1,Исход!$B:$B,$A25)+
SUMIFS(Исход!$I:$I,Исход!$A:$A,H$1,Исход!$B:$B,$A25)-
SUMIFS(Исход!$L:$L,Исход!$A:$A,H$1,Исход!$B:$B,$A25)</f>
        <v>0</v>
      </c>
      <c r="I25" s="2">
        <f>SUMIFS(Исход!$D:$D,Исход!$A:$A,I$1,Исход!$B:$B,$A25)+
SUMIFS(Исход!$G:$G,Исход!$A:$A,I$1,Исход!$B:$B,$A25)+
SUMIFS(Исход!$H:$H,Исход!$A:$A,I$1,Исход!$B:$B,$A25)+
SUMIFS(Исход!$I:$I,Исход!$A:$A,I$1,Исход!$B:$B,$A25)-
SUMIFS(Исход!$L:$L,Исход!$A:$A,I$1,Исход!$B:$B,$A25)</f>
        <v>0</v>
      </c>
      <c r="J25" s="2">
        <f>SUMIFS(Исход!$D:$D,Исход!$A:$A,J$1,Исход!$B:$B,$A25)+
SUMIFS(Исход!$G:$G,Исход!$A:$A,J$1,Исход!$B:$B,$A25)+
SUMIFS(Исход!$H:$H,Исход!$A:$A,J$1,Исход!$B:$B,$A25)+
SUMIFS(Исход!$I:$I,Исход!$A:$A,J$1,Исход!$B:$B,$A25)-
SUMIFS(Исход!$L:$L,Исход!$A:$A,J$1,Исход!$B:$B,$A25)</f>
        <v>0</v>
      </c>
      <c r="K25" s="2">
        <f>SUMIFS(Исход!$D:$D,Исход!$A:$A,K$1,Исход!$B:$B,$A25)+
SUMIFS(Исход!$G:$G,Исход!$A:$A,K$1,Исход!$B:$B,$A25)+
SUMIFS(Исход!$H:$H,Исход!$A:$A,K$1,Исход!$B:$B,$A25)+
SUMIFS(Исход!$I:$I,Исход!$A:$A,K$1,Исход!$B:$B,$A25)-
SUMIFS(Исход!$L:$L,Исход!$A:$A,K$1,Исход!$B:$B,$A25)</f>
        <v>0</v>
      </c>
      <c r="L25" s="2">
        <f>SUMIFS(Исход!$D:$D,Исход!$A:$A,L$1,Исход!$B:$B,$A25)+
SUMIFS(Исход!$G:$G,Исход!$A:$A,L$1,Исход!$B:$B,$A25)+
SUMIFS(Исход!$H:$H,Исход!$A:$A,L$1,Исход!$B:$B,$A25)+
SUMIFS(Исход!$I:$I,Исход!$A:$A,L$1,Исход!$B:$B,$A25)-
SUMIFS(Исход!$L:$L,Исход!$A:$A,L$1,Исход!$B:$B,$A25)</f>
        <v>0</v>
      </c>
      <c r="M25" s="2">
        <f>SUMIFS(Исход!$D:$D,Исход!$A:$A,M$1,Исход!$B:$B,$A25)+
SUMIFS(Исход!$G:$G,Исход!$A:$A,M$1,Исход!$B:$B,$A25)+
SUMIFS(Исход!$H:$H,Исход!$A:$A,M$1,Исход!$B:$B,$A25)+
SUMIFS(Исход!$I:$I,Исход!$A:$A,M$1,Исход!$B:$B,$A25)-
SUMIFS(Исход!$L:$L,Исход!$A:$A,M$1,Исход!$B:$B,$A25)</f>
        <v>0</v>
      </c>
      <c r="N25" s="2">
        <f>SUMIFS(Исход!$D:$D,Исход!$A:$A,N$1,Исход!$B:$B,$A25)+
SUMIFS(Исход!$G:$G,Исход!$A:$A,N$1,Исход!$B:$B,$A25)+
SUMIFS(Исход!$H:$H,Исход!$A:$A,N$1,Исход!$B:$B,$A25)+
SUMIFS(Исход!$I:$I,Исход!$A:$A,N$1,Исход!$B:$B,$A25)-
SUMIFS(Исход!$L:$L,Исход!$A:$A,N$1,Исход!$B:$B,$A25)</f>
        <v>0</v>
      </c>
      <c r="O25" s="2">
        <f>SUMIFS(Исход!$D:$D,Исход!$A:$A,O$1,Исход!$B:$B,$A25)+
SUMIFS(Исход!$G:$G,Исход!$A:$A,O$1,Исход!$B:$B,$A25)+
SUMIFS(Исход!$H:$H,Исход!$A:$A,O$1,Исход!$B:$B,$A25)+
SUMIFS(Исход!$I:$I,Исход!$A:$A,O$1,Исход!$B:$B,$A25)-
SUMIFS(Исход!$L:$L,Исход!$A:$A,O$1,Исход!$B:$B,$A25)</f>
        <v>0</v>
      </c>
      <c r="P25" s="2">
        <f>SUMIFS(Исход!$D:$D,Исход!$A:$A,P$1,Исход!$B:$B,$A25)+
SUMIFS(Исход!$G:$G,Исход!$A:$A,P$1,Исход!$B:$B,$A25)+
SUMIFS(Исход!$H:$H,Исход!$A:$A,P$1,Исход!$B:$B,$A25)+
SUMIFS(Исход!$I:$I,Исход!$A:$A,P$1,Исход!$B:$B,$A25)-
SUMIFS(Исход!$L:$L,Исход!$A:$A,P$1,Исход!$B:$B,$A25)</f>
        <v>0</v>
      </c>
      <c r="Q25" s="2">
        <f>SUMIFS(Исход!$D:$D,Исход!$A:$A,Q$1,Исход!$B:$B,$A25)+
SUMIFS(Исход!$G:$G,Исход!$A:$A,Q$1,Исход!$B:$B,$A25)+
SUMIFS(Исход!$H:$H,Исход!$A:$A,Q$1,Исход!$B:$B,$A25)+
SUMIFS(Исход!$I:$I,Исход!$A:$A,Q$1,Исход!$B:$B,$A25)-
SUMIFS(Исход!$L:$L,Исход!$A:$A,Q$1,Исход!$B:$B,$A25)</f>
        <v>0</v>
      </c>
      <c r="R25" s="2">
        <f>SUMIFS(Исход!$D:$D,Исход!$A:$A,R$1,Исход!$B:$B,$A25)+
SUMIFS(Исход!$G:$G,Исход!$A:$A,R$1,Исход!$B:$B,$A25)+
SUMIFS(Исход!$H:$H,Исход!$A:$A,R$1,Исход!$B:$B,$A25)+
SUMIFS(Исход!$I:$I,Исход!$A:$A,R$1,Исход!$B:$B,$A25)-
SUMIFS(Исход!$L:$L,Исход!$A:$A,R$1,Исход!$B:$B,$A25)</f>
        <v>0</v>
      </c>
      <c r="S25" s="2">
        <f>SUMIFS(Исход!$D:$D,Исход!$A:$A,S$1,Исход!$B:$B,$A25)+
SUMIFS(Исход!$G:$G,Исход!$A:$A,S$1,Исход!$B:$B,$A25)+
SUMIFS(Исход!$H:$H,Исход!$A:$A,S$1,Исход!$B:$B,$A25)+
SUMIFS(Исход!$I:$I,Исход!$A:$A,S$1,Исход!$B:$B,$A25)-
SUMIFS(Исход!$L:$L,Исход!$A:$A,S$1,Исход!$B:$B,$A25)</f>
        <v>0</v>
      </c>
      <c r="T25" s="2">
        <f>SUMIFS(Исход!$D:$D,Исход!$A:$A,T$1,Исход!$B:$B,$A25)+
SUMIFS(Исход!$G:$G,Исход!$A:$A,T$1,Исход!$B:$B,$A25)+
SUMIFS(Исход!$H:$H,Исход!$A:$A,T$1,Исход!$B:$B,$A25)+
SUMIFS(Исход!$I:$I,Исход!$A:$A,T$1,Исход!$B:$B,$A25)-
SUMIFS(Исход!$L:$L,Исход!$A:$A,T$1,Исход!$B:$B,$A25)</f>
        <v>0</v>
      </c>
      <c r="U25" s="2">
        <f>SUMIFS(Исход!$D:$D,Исход!$A:$A,U$1,Исход!$B:$B,$A25)+
SUMIFS(Исход!$G:$G,Исход!$A:$A,U$1,Исход!$B:$B,$A25)+
SUMIFS(Исход!$H:$H,Исход!$A:$A,U$1,Исход!$B:$B,$A25)+
SUMIFS(Исход!$I:$I,Исход!$A:$A,U$1,Исход!$B:$B,$A25)-
SUMIFS(Исход!$L:$L,Исход!$A:$A,U$1,Исход!$B:$B,$A25)</f>
        <v>0</v>
      </c>
      <c r="V25" s="2">
        <f>SUMIFS(Исход!$D:$D,Исход!$A:$A,V$1,Исход!$B:$B,$A25)+
SUMIFS(Исход!$G:$G,Исход!$A:$A,V$1,Исход!$B:$B,$A25)+
SUMIFS(Исход!$H:$H,Исход!$A:$A,V$1,Исход!$B:$B,$A25)+
SUMIFS(Исход!$I:$I,Исход!$A:$A,V$1,Исход!$B:$B,$A25)-
SUMIFS(Исход!$L:$L,Исход!$A:$A,V$1,Исход!$B:$B,$A25)</f>
        <v>0</v>
      </c>
      <c r="W25" s="2">
        <f>SUMIFS(Исход!$D:$D,Исход!$A:$A,W$1,Исход!$B:$B,$A25)+
SUMIFS(Исход!$G:$G,Исход!$A:$A,W$1,Исход!$B:$B,$A25)+
SUMIFS(Исход!$H:$H,Исход!$A:$A,W$1,Исход!$B:$B,$A25)+
SUMIFS(Исход!$I:$I,Исход!$A:$A,W$1,Исход!$B:$B,$A25)-
SUMIFS(Исход!$L:$L,Исход!$A:$A,W$1,Исход!$B:$B,$A25)</f>
        <v>0</v>
      </c>
      <c r="X25" s="2">
        <f>SUMIFS(Исход!$D:$D,Исход!$A:$A,X$1,Исход!$B:$B,$A25)+
SUMIFS(Исход!$G:$G,Исход!$A:$A,X$1,Исход!$B:$B,$A25)+
SUMIFS(Исход!$H:$H,Исход!$A:$A,X$1,Исход!$B:$B,$A25)+
SUMIFS(Исход!$I:$I,Исход!$A:$A,X$1,Исход!$B:$B,$A25)-
SUMIFS(Исход!$L:$L,Исход!$A:$A,X$1,Исход!$B:$B,$A25)</f>
        <v>0</v>
      </c>
      <c r="Y25" s="2">
        <f>SUMIFS(Исход!$D:$D,Исход!$A:$A,Y$1,Исход!$B:$B,$A25)+
SUMIFS(Исход!$G:$G,Исход!$A:$A,Y$1,Исход!$B:$B,$A25)+
SUMIFS(Исход!$H:$H,Исход!$A:$A,Y$1,Исход!$B:$B,$A25)+
SUMIFS(Исход!$I:$I,Исход!$A:$A,Y$1,Исход!$B:$B,$A25)-
SUMIFS(Исход!$L:$L,Исход!$A:$A,Y$1,Исход!$B:$B,$A25)</f>
        <v>0</v>
      </c>
      <c r="Z25" s="2">
        <f>SUMIFS(Исход!$D:$D,Исход!$A:$A,Z$1,Исход!$B:$B,$A25)+
SUMIFS(Исход!$G:$G,Исход!$A:$A,Z$1,Исход!$B:$B,$A25)+
SUMIFS(Исход!$H:$H,Исход!$A:$A,Z$1,Исход!$B:$B,$A25)+
SUMIFS(Исход!$I:$I,Исход!$A:$A,Z$1,Исход!$B:$B,$A25)-
SUMIFS(Исход!$L:$L,Исход!$A:$A,Z$1,Исход!$B:$B,$A25)</f>
        <v>0</v>
      </c>
      <c r="AA25" s="2">
        <f>SUMIFS(Исход!$D:$D,Исход!$A:$A,AA$1,Исход!$B:$B,$A25)+
SUMIFS(Исход!$G:$G,Исход!$A:$A,AA$1,Исход!$B:$B,$A25)+
SUMIFS(Исход!$H:$H,Исход!$A:$A,AA$1,Исход!$B:$B,$A25)+
SUMIFS(Исход!$I:$I,Исход!$A:$A,AA$1,Исход!$B:$B,$A25)-
SUMIFS(Исход!$L:$L,Исход!$A:$A,AA$1,Исход!$B:$B,$A25)</f>
        <v>0</v>
      </c>
      <c r="AB25" s="2">
        <f>SUMIFS(Исход!$D:$D,Исход!$A:$A,AB$1,Исход!$B:$B,$A25)+
SUMIFS(Исход!$G:$G,Исход!$A:$A,AB$1,Исход!$B:$B,$A25)+
SUMIFS(Исход!$H:$H,Исход!$A:$A,AB$1,Исход!$B:$B,$A25)+
SUMIFS(Исход!$I:$I,Исход!$A:$A,AB$1,Исход!$B:$B,$A25)-
SUMIFS(Исход!$L:$L,Исход!$A:$A,AB$1,Исход!$B:$B,$A25)</f>
        <v>0</v>
      </c>
      <c r="AC25" s="2">
        <f>SUMIFS(Исход!$D:$D,Исход!$A:$A,AC$1,Исход!$B:$B,$A25)+
SUMIFS(Исход!$G:$G,Исход!$A:$A,AC$1,Исход!$B:$B,$A25)+
SUMIFS(Исход!$H:$H,Исход!$A:$A,AC$1,Исход!$B:$B,$A25)+
SUMIFS(Исход!$I:$I,Исход!$A:$A,AC$1,Исход!$B:$B,$A25)-
SUMIFS(Исход!$L:$L,Исход!$A:$A,AC$1,Исход!$B:$B,$A25)</f>
        <v>0</v>
      </c>
      <c r="AD25" s="2">
        <f>SUMIFS(Исход!$D:$D,Исход!$A:$A,AD$1,Исход!$B:$B,$A25)+
SUMIFS(Исход!$G:$G,Исход!$A:$A,AD$1,Исход!$B:$B,$A25)+
SUMIFS(Исход!$H:$H,Исход!$A:$A,AD$1,Исход!$B:$B,$A25)+
SUMIFS(Исход!$I:$I,Исход!$A:$A,AD$1,Исход!$B:$B,$A25)-
SUMIFS(Исход!$L:$L,Исход!$A:$A,AD$1,Исход!$B:$B,$A25)</f>
        <v>0</v>
      </c>
      <c r="AE25" s="2">
        <f>SUMIFS(Исход!$D:$D,Исход!$A:$A,AE$1,Исход!$B:$B,$A25)+
SUMIFS(Исход!$G:$G,Исход!$A:$A,AE$1,Исход!$B:$B,$A25)+
SUMIFS(Исход!$H:$H,Исход!$A:$A,AE$1,Исход!$B:$B,$A25)+
SUMIFS(Исход!$I:$I,Исход!$A:$A,AE$1,Исход!$B:$B,$A25)-
SUMIFS(Исход!$L:$L,Исход!$A:$A,AE$1,Исход!$B:$B,$A25)</f>
        <v>0</v>
      </c>
      <c r="AF25" s="2">
        <f>SUMIFS(Исход!$D:$D,Исход!$A:$A,AF$1,Исход!$B:$B,$A25)+
SUMIFS(Исход!$G:$G,Исход!$A:$A,AF$1,Исход!$B:$B,$A25)+
SUMIFS(Исход!$H:$H,Исход!$A:$A,AF$1,Исход!$B:$B,$A25)+
SUMIFS(Исход!$I:$I,Исход!$A:$A,AF$1,Исход!$B:$B,$A25)-
SUMIFS(Исход!$L:$L,Исход!$A:$A,AF$1,Исход!$B:$B,$A25)</f>
        <v>0</v>
      </c>
      <c r="AG25" s="57">
        <f>SUMIFS(Исход!$D:$D,Исход!$A:$A,AG$1,Исход!$B:$B,$A25)+
SUMIFS(Исход!$G:$G,Исход!$A:$A,AG$1,Исход!$B:$B,$A25)+
SUMIFS(Исход!$H:$H,Исход!$A:$A,AG$1,Исход!$B:$B,$A25)+
SUMIFS(Исход!$I:$I,Исход!$A:$A,AG$1,Исход!$B:$B,$A25)-
SUMIFS(Исход!$L:$L,Исход!$A:$A,AG$1,Исход!$B:$B,$A25)</f>
        <v>0</v>
      </c>
    </row>
    <row r="26" spans="1:33" hidden="1" outlineLevel="1" x14ac:dyDescent="0.25">
      <c r="A26" s="103">
        <v>0.45833333333333331</v>
      </c>
      <c r="B26" s="123">
        <v>0.47916666666666669</v>
      </c>
      <c r="C26" s="63">
        <f>SUMIFS(Исход!$D:$D,Исход!$A:$A,C$1,Исход!$B:$B,$A26)+
SUMIFS(Исход!$G:$G,Исход!$A:$A,C$1,Исход!$B:$B,$A26)+
SUMIFS(Исход!$H:$H,Исход!$A:$A,C$1,Исход!$B:$B,$A26)+
SUMIFS(Исход!$I:$I,Исход!$A:$A,C$1,Исход!$B:$B,$A26)-
SUMIFS(Исход!$L:$L,Исход!$A:$A,C$1,Исход!$B:$B,$A26)</f>
        <v>0</v>
      </c>
      <c r="D26" s="2">
        <f>SUMIFS(Исход!$D:$D,Исход!$A:$A,D$1,Исход!$B:$B,$A26)+
SUMIFS(Исход!$G:$G,Исход!$A:$A,D$1,Исход!$B:$B,$A26)+
SUMIFS(Исход!$H:$H,Исход!$A:$A,D$1,Исход!$B:$B,$A26)+
SUMIFS(Исход!$I:$I,Исход!$A:$A,D$1,Исход!$B:$B,$A26)-
SUMIFS(Исход!$L:$L,Исход!$A:$A,D$1,Исход!$B:$B,$A26)</f>
        <v>0</v>
      </c>
      <c r="E26" s="2">
        <f>SUMIFS(Исход!$D:$D,Исход!$A:$A,E$1,Исход!$B:$B,$A26)+
SUMIFS(Исход!$G:$G,Исход!$A:$A,E$1,Исход!$B:$B,$A26)+
SUMIFS(Исход!$H:$H,Исход!$A:$A,E$1,Исход!$B:$B,$A26)+
SUMIFS(Исход!$I:$I,Исход!$A:$A,E$1,Исход!$B:$B,$A26)-
SUMIFS(Исход!$L:$L,Исход!$A:$A,E$1,Исход!$B:$B,$A26)</f>
        <v>0</v>
      </c>
      <c r="F26" s="2">
        <f>SUMIFS(Исход!$D:$D,Исход!$A:$A,F$1,Исход!$B:$B,$A26)+
SUMIFS(Исход!$G:$G,Исход!$A:$A,F$1,Исход!$B:$B,$A26)+
SUMIFS(Исход!$H:$H,Исход!$A:$A,F$1,Исход!$B:$B,$A26)+
SUMIFS(Исход!$I:$I,Исход!$A:$A,F$1,Исход!$B:$B,$A26)-
SUMIFS(Исход!$L:$L,Исход!$A:$A,F$1,Исход!$B:$B,$A26)</f>
        <v>0</v>
      </c>
      <c r="G26" s="2">
        <f>SUMIFS(Исход!$D:$D,Исход!$A:$A,G$1,Исход!$B:$B,$A26)+
SUMIFS(Исход!$G:$G,Исход!$A:$A,G$1,Исход!$B:$B,$A26)+
SUMIFS(Исход!$H:$H,Исход!$A:$A,G$1,Исход!$B:$B,$A26)+
SUMIFS(Исход!$I:$I,Исход!$A:$A,G$1,Исход!$B:$B,$A26)-
SUMIFS(Исход!$L:$L,Исход!$A:$A,G$1,Исход!$B:$B,$A26)</f>
        <v>0</v>
      </c>
      <c r="H26" s="2">
        <f>SUMIFS(Исход!$D:$D,Исход!$A:$A,H$1,Исход!$B:$B,$A26)+
SUMIFS(Исход!$G:$G,Исход!$A:$A,H$1,Исход!$B:$B,$A26)+
SUMIFS(Исход!$H:$H,Исход!$A:$A,H$1,Исход!$B:$B,$A26)+
SUMIFS(Исход!$I:$I,Исход!$A:$A,H$1,Исход!$B:$B,$A26)-
SUMIFS(Исход!$L:$L,Исход!$A:$A,H$1,Исход!$B:$B,$A26)</f>
        <v>0</v>
      </c>
      <c r="I26" s="2">
        <f>SUMIFS(Исход!$D:$D,Исход!$A:$A,I$1,Исход!$B:$B,$A26)+
SUMIFS(Исход!$G:$G,Исход!$A:$A,I$1,Исход!$B:$B,$A26)+
SUMIFS(Исход!$H:$H,Исход!$A:$A,I$1,Исход!$B:$B,$A26)+
SUMIFS(Исход!$I:$I,Исход!$A:$A,I$1,Исход!$B:$B,$A26)-
SUMIFS(Исход!$L:$L,Исход!$A:$A,I$1,Исход!$B:$B,$A26)</f>
        <v>0</v>
      </c>
      <c r="J26" s="2">
        <f>SUMIFS(Исход!$D:$D,Исход!$A:$A,J$1,Исход!$B:$B,$A26)+
SUMIFS(Исход!$G:$G,Исход!$A:$A,J$1,Исход!$B:$B,$A26)+
SUMIFS(Исход!$H:$H,Исход!$A:$A,J$1,Исход!$B:$B,$A26)+
SUMIFS(Исход!$I:$I,Исход!$A:$A,J$1,Исход!$B:$B,$A26)-
SUMIFS(Исход!$L:$L,Исход!$A:$A,J$1,Исход!$B:$B,$A26)</f>
        <v>0</v>
      </c>
      <c r="K26" s="2">
        <f>SUMIFS(Исход!$D:$D,Исход!$A:$A,K$1,Исход!$B:$B,$A26)+
SUMIFS(Исход!$G:$G,Исход!$A:$A,K$1,Исход!$B:$B,$A26)+
SUMIFS(Исход!$H:$H,Исход!$A:$A,K$1,Исход!$B:$B,$A26)+
SUMIFS(Исход!$I:$I,Исход!$A:$A,K$1,Исход!$B:$B,$A26)-
SUMIFS(Исход!$L:$L,Исход!$A:$A,K$1,Исход!$B:$B,$A26)</f>
        <v>0</v>
      </c>
      <c r="L26" s="2">
        <f>SUMIFS(Исход!$D:$D,Исход!$A:$A,L$1,Исход!$B:$B,$A26)+
SUMIFS(Исход!$G:$G,Исход!$A:$A,L$1,Исход!$B:$B,$A26)+
SUMIFS(Исход!$H:$H,Исход!$A:$A,L$1,Исход!$B:$B,$A26)+
SUMIFS(Исход!$I:$I,Исход!$A:$A,L$1,Исход!$B:$B,$A26)-
SUMIFS(Исход!$L:$L,Исход!$A:$A,L$1,Исход!$B:$B,$A26)</f>
        <v>0</v>
      </c>
      <c r="M26" s="2">
        <f>SUMIFS(Исход!$D:$D,Исход!$A:$A,M$1,Исход!$B:$B,$A26)+
SUMIFS(Исход!$G:$G,Исход!$A:$A,M$1,Исход!$B:$B,$A26)+
SUMIFS(Исход!$H:$H,Исход!$A:$A,M$1,Исход!$B:$B,$A26)+
SUMIFS(Исход!$I:$I,Исход!$A:$A,M$1,Исход!$B:$B,$A26)-
SUMIFS(Исход!$L:$L,Исход!$A:$A,M$1,Исход!$B:$B,$A26)</f>
        <v>0</v>
      </c>
      <c r="N26" s="2">
        <f>SUMIFS(Исход!$D:$D,Исход!$A:$A,N$1,Исход!$B:$B,$A26)+
SUMIFS(Исход!$G:$G,Исход!$A:$A,N$1,Исход!$B:$B,$A26)+
SUMIFS(Исход!$H:$H,Исход!$A:$A,N$1,Исход!$B:$B,$A26)+
SUMIFS(Исход!$I:$I,Исход!$A:$A,N$1,Исход!$B:$B,$A26)-
SUMIFS(Исход!$L:$L,Исход!$A:$A,N$1,Исход!$B:$B,$A26)</f>
        <v>0</v>
      </c>
      <c r="O26" s="2">
        <f>SUMIFS(Исход!$D:$D,Исход!$A:$A,O$1,Исход!$B:$B,$A26)+
SUMIFS(Исход!$G:$G,Исход!$A:$A,O$1,Исход!$B:$B,$A26)+
SUMIFS(Исход!$H:$H,Исход!$A:$A,O$1,Исход!$B:$B,$A26)+
SUMIFS(Исход!$I:$I,Исход!$A:$A,O$1,Исход!$B:$B,$A26)-
SUMIFS(Исход!$L:$L,Исход!$A:$A,O$1,Исход!$B:$B,$A26)</f>
        <v>0</v>
      </c>
      <c r="P26" s="2">
        <f>SUMIFS(Исход!$D:$D,Исход!$A:$A,P$1,Исход!$B:$B,$A26)+
SUMIFS(Исход!$G:$G,Исход!$A:$A,P$1,Исход!$B:$B,$A26)+
SUMIFS(Исход!$H:$H,Исход!$A:$A,P$1,Исход!$B:$B,$A26)+
SUMIFS(Исход!$I:$I,Исход!$A:$A,P$1,Исход!$B:$B,$A26)-
SUMIFS(Исход!$L:$L,Исход!$A:$A,P$1,Исход!$B:$B,$A26)</f>
        <v>0</v>
      </c>
      <c r="Q26" s="2">
        <f>SUMIFS(Исход!$D:$D,Исход!$A:$A,Q$1,Исход!$B:$B,$A26)+
SUMIFS(Исход!$G:$G,Исход!$A:$A,Q$1,Исход!$B:$B,$A26)+
SUMIFS(Исход!$H:$H,Исход!$A:$A,Q$1,Исход!$B:$B,$A26)+
SUMIFS(Исход!$I:$I,Исход!$A:$A,Q$1,Исход!$B:$B,$A26)-
SUMIFS(Исход!$L:$L,Исход!$A:$A,Q$1,Исход!$B:$B,$A26)</f>
        <v>0</v>
      </c>
      <c r="R26" s="2">
        <f>SUMIFS(Исход!$D:$D,Исход!$A:$A,R$1,Исход!$B:$B,$A26)+
SUMIFS(Исход!$G:$G,Исход!$A:$A,R$1,Исход!$B:$B,$A26)+
SUMIFS(Исход!$H:$H,Исход!$A:$A,R$1,Исход!$B:$B,$A26)+
SUMIFS(Исход!$I:$I,Исход!$A:$A,R$1,Исход!$B:$B,$A26)-
SUMIFS(Исход!$L:$L,Исход!$A:$A,R$1,Исход!$B:$B,$A26)</f>
        <v>0</v>
      </c>
      <c r="S26" s="2">
        <f>SUMIFS(Исход!$D:$D,Исход!$A:$A,S$1,Исход!$B:$B,$A26)+
SUMIFS(Исход!$G:$G,Исход!$A:$A,S$1,Исход!$B:$B,$A26)+
SUMIFS(Исход!$H:$H,Исход!$A:$A,S$1,Исход!$B:$B,$A26)+
SUMIFS(Исход!$I:$I,Исход!$A:$A,S$1,Исход!$B:$B,$A26)-
SUMIFS(Исход!$L:$L,Исход!$A:$A,S$1,Исход!$B:$B,$A26)</f>
        <v>0</v>
      </c>
      <c r="T26" s="2">
        <f>SUMIFS(Исход!$D:$D,Исход!$A:$A,T$1,Исход!$B:$B,$A26)+
SUMIFS(Исход!$G:$G,Исход!$A:$A,T$1,Исход!$B:$B,$A26)+
SUMIFS(Исход!$H:$H,Исход!$A:$A,T$1,Исход!$B:$B,$A26)+
SUMIFS(Исход!$I:$I,Исход!$A:$A,T$1,Исход!$B:$B,$A26)-
SUMIFS(Исход!$L:$L,Исход!$A:$A,T$1,Исход!$B:$B,$A26)</f>
        <v>0</v>
      </c>
      <c r="U26" s="2">
        <f>SUMIFS(Исход!$D:$D,Исход!$A:$A,U$1,Исход!$B:$B,$A26)+
SUMIFS(Исход!$G:$G,Исход!$A:$A,U$1,Исход!$B:$B,$A26)+
SUMIFS(Исход!$H:$H,Исход!$A:$A,U$1,Исход!$B:$B,$A26)+
SUMIFS(Исход!$I:$I,Исход!$A:$A,U$1,Исход!$B:$B,$A26)-
SUMIFS(Исход!$L:$L,Исход!$A:$A,U$1,Исход!$B:$B,$A26)</f>
        <v>0</v>
      </c>
      <c r="V26" s="2">
        <f>SUMIFS(Исход!$D:$D,Исход!$A:$A,V$1,Исход!$B:$B,$A26)+
SUMIFS(Исход!$G:$G,Исход!$A:$A,V$1,Исход!$B:$B,$A26)+
SUMIFS(Исход!$H:$H,Исход!$A:$A,V$1,Исход!$B:$B,$A26)+
SUMIFS(Исход!$I:$I,Исход!$A:$A,V$1,Исход!$B:$B,$A26)-
SUMIFS(Исход!$L:$L,Исход!$A:$A,V$1,Исход!$B:$B,$A26)</f>
        <v>0</v>
      </c>
      <c r="W26" s="2">
        <f>SUMIFS(Исход!$D:$D,Исход!$A:$A,W$1,Исход!$B:$B,$A26)+
SUMIFS(Исход!$G:$G,Исход!$A:$A,W$1,Исход!$B:$B,$A26)+
SUMIFS(Исход!$H:$H,Исход!$A:$A,W$1,Исход!$B:$B,$A26)+
SUMIFS(Исход!$I:$I,Исход!$A:$A,W$1,Исход!$B:$B,$A26)-
SUMIFS(Исход!$L:$L,Исход!$A:$A,W$1,Исход!$B:$B,$A26)</f>
        <v>0</v>
      </c>
      <c r="X26" s="2">
        <f>SUMIFS(Исход!$D:$D,Исход!$A:$A,X$1,Исход!$B:$B,$A26)+
SUMIFS(Исход!$G:$G,Исход!$A:$A,X$1,Исход!$B:$B,$A26)+
SUMIFS(Исход!$H:$H,Исход!$A:$A,X$1,Исход!$B:$B,$A26)+
SUMIFS(Исход!$I:$I,Исход!$A:$A,X$1,Исход!$B:$B,$A26)-
SUMIFS(Исход!$L:$L,Исход!$A:$A,X$1,Исход!$B:$B,$A26)</f>
        <v>0</v>
      </c>
      <c r="Y26" s="2">
        <f>SUMIFS(Исход!$D:$D,Исход!$A:$A,Y$1,Исход!$B:$B,$A26)+
SUMIFS(Исход!$G:$G,Исход!$A:$A,Y$1,Исход!$B:$B,$A26)+
SUMIFS(Исход!$H:$H,Исход!$A:$A,Y$1,Исход!$B:$B,$A26)+
SUMIFS(Исход!$I:$I,Исход!$A:$A,Y$1,Исход!$B:$B,$A26)-
SUMIFS(Исход!$L:$L,Исход!$A:$A,Y$1,Исход!$B:$B,$A26)</f>
        <v>0</v>
      </c>
      <c r="Z26" s="2">
        <f>SUMIFS(Исход!$D:$D,Исход!$A:$A,Z$1,Исход!$B:$B,$A26)+
SUMIFS(Исход!$G:$G,Исход!$A:$A,Z$1,Исход!$B:$B,$A26)+
SUMIFS(Исход!$H:$H,Исход!$A:$A,Z$1,Исход!$B:$B,$A26)+
SUMIFS(Исход!$I:$I,Исход!$A:$A,Z$1,Исход!$B:$B,$A26)-
SUMIFS(Исход!$L:$L,Исход!$A:$A,Z$1,Исход!$B:$B,$A26)</f>
        <v>0</v>
      </c>
      <c r="AA26" s="2">
        <f>SUMIFS(Исход!$D:$D,Исход!$A:$A,AA$1,Исход!$B:$B,$A26)+
SUMIFS(Исход!$G:$G,Исход!$A:$A,AA$1,Исход!$B:$B,$A26)+
SUMIFS(Исход!$H:$H,Исход!$A:$A,AA$1,Исход!$B:$B,$A26)+
SUMIFS(Исход!$I:$I,Исход!$A:$A,AA$1,Исход!$B:$B,$A26)-
SUMIFS(Исход!$L:$L,Исход!$A:$A,AA$1,Исход!$B:$B,$A26)</f>
        <v>0</v>
      </c>
      <c r="AB26" s="2">
        <f>SUMIFS(Исход!$D:$D,Исход!$A:$A,AB$1,Исход!$B:$B,$A26)+
SUMIFS(Исход!$G:$G,Исход!$A:$A,AB$1,Исход!$B:$B,$A26)+
SUMIFS(Исход!$H:$H,Исход!$A:$A,AB$1,Исход!$B:$B,$A26)+
SUMIFS(Исход!$I:$I,Исход!$A:$A,AB$1,Исход!$B:$B,$A26)-
SUMIFS(Исход!$L:$L,Исход!$A:$A,AB$1,Исход!$B:$B,$A26)</f>
        <v>0</v>
      </c>
      <c r="AC26" s="2">
        <f>SUMIFS(Исход!$D:$D,Исход!$A:$A,AC$1,Исход!$B:$B,$A26)+
SUMIFS(Исход!$G:$G,Исход!$A:$A,AC$1,Исход!$B:$B,$A26)+
SUMIFS(Исход!$H:$H,Исход!$A:$A,AC$1,Исход!$B:$B,$A26)+
SUMIFS(Исход!$I:$I,Исход!$A:$A,AC$1,Исход!$B:$B,$A26)-
SUMIFS(Исход!$L:$L,Исход!$A:$A,AC$1,Исход!$B:$B,$A26)</f>
        <v>0</v>
      </c>
      <c r="AD26" s="2">
        <f>SUMIFS(Исход!$D:$D,Исход!$A:$A,AD$1,Исход!$B:$B,$A26)+
SUMIFS(Исход!$G:$G,Исход!$A:$A,AD$1,Исход!$B:$B,$A26)+
SUMIFS(Исход!$H:$H,Исход!$A:$A,AD$1,Исход!$B:$B,$A26)+
SUMIFS(Исход!$I:$I,Исход!$A:$A,AD$1,Исход!$B:$B,$A26)-
SUMIFS(Исход!$L:$L,Исход!$A:$A,AD$1,Исход!$B:$B,$A26)</f>
        <v>0</v>
      </c>
      <c r="AE26" s="2">
        <f>SUMIFS(Исход!$D:$D,Исход!$A:$A,AE$1,Исход!$B:$B,$A26)+
SUMIFS(Исход!$G:$G,Исход!$A:$A,AE$1,Исход!$B:$B,$A26)+
SUMIFS(Исход!$H:$H,Исход!$A:$A,AE$1,Исход!$B:$B,$A26)+
SUMIFS(Исход!$I:$I,Исход!$A:$A,AE$1,Исход!$B:$B,$A26)-
SUMIFS(Исход!$L:$L,Исход!$A:$A,AE$1,Исход!$B:$B,$A26)</f>
        <v>0</v>
      </c>
      <c r="AF26" s="2">
        <f>SUMIFS(Исход!$D:$D,Исход!$A:$A,AF$1,Исход!$B:$B,$A26)+
SUMIFS(Исход!$G:$G,Исход!$A:$A,AF$1,Исход!$B:$B,$A26)+
SUMIFS(Исход!$H:$H,Исход!$A:$A,AF$1,Исход!$B:$B,$A26)+
SUMIFS(Исход!$I:$I,Исход!$A:$A,AF$1,Исход!$B:$B,$A26)-
SUMIFS(Исход!$L:$L,Исход!$A:$A,AF$1,Исход!$B:$B,$A26)</f>
        <v>0</v>
      </c>
      <c r="AG26" s="57">
        <f>SUMIFS(Исход!$D:$D,Исход!$A:$A,AG$1,Исход!$B:$B,$A26)+
SUMIFS(Исход!$G:$G,Исход!$A:$A,AG$1,Исход!$B:$B,$A26)+
SUMIFS(Исход!$H:$H,Исход!$A:$A,AG$1,Исход!$B:$B,$A26)+
SUMIFS(Исход!$I:$I,Исход!$A:$A,AG$1,Исход!$B:$B,$A26)-
SUMIFS(Исход!$L:$L,Исход!$A:$A,AG$1,Исход!$B:$B,$A26)</f>
        <v>0</v>
      </c>
    </row>
    <row r="27" spans="1:33" hidden="1" outlineLevel="1" x14ac:dyDescent="0.25">
      <c r="A27" s="103">
        <v>0.47916666666666669</v>
      </c>
      <c r="B27" s="123">
        <v>0.5</v>
      </c>
      <c r="C27" s="63">
        <f>SUMIFS(Исход!$D:$D,Исход!$A:$A,C$1,Исход!$B:$B,$A27)+
SUMIFS(Исход!$G:$G,Исход!$A:$A,C$1,Исход!$B:$B,$A27)+
SUMIFS(Исход!$H:$H,Исход!$A:$A,C$1,Исход!$B:$B,$A27)+
SUMIFS(Исход!$I:$I,Исход!$A:$A,C$1,Исход!$B:$B,$A27)-
SUMIFS(Исход!$L:$L,Исход!$A:$A,C$1,Исход!$B:$B,$A27)</f>
        <v>0</v>
      </c>
      <c r="D27" s="2">
        <f>SUMIFS(Исход!$D:$D,Исход!$A:$A,D$1,Исход!$B:$B,$A27)+
SUMIFS(Исход!$G:$G,Исход!$A:$A,D$1,Исход!$B:$B,$A27)+
SUMIFS(Исход!$H:$H,Исход!$A:$A,D$1,Исход!$B:$B,$A27)+
SUMIFS(Исход!$I:$I,Исход!$A:$A,D$1,Исход!$B:$B,$A27)-
SUMIFS(Исход!$L:$L,Исход!$A:$A,D$1,Исход!$B:$B,$A27)</f>
        <v>0</v>
      </c>
      <c r="E27" s="2">
        <f>SUMIFS(Исход!$D:$D,Исход!$A:$A,E$1,Исход!$B:$B,$A27)+
SUMIFS(Исход!$G:$G,Исход!$A:$A,E$1,Исход!$B:$B,$A27)+
SUMIFS(Исход!$H:$H,Исход!$A:$A,E$1,Исход!$B:$B,$A27)+
SUMIFS(Исход!$I:$I,Исход!$A:$A,E$1,Исход!$B:$B,$A27)-
SUMIFS(Исход!$L:$L,Исход!$A:$A,E$1,Исход!$B:$B,$A27)</f>
        <v>0</v>
      </c>
      <c r="F27" s="2">
        <f>SUMIFS(Исход!$D:$D,Исход!$A:$A,F$1,Исход!$B:$B,$A27)+
SUMIFS(Исход!$G:$G,Исход!$A:$A,F$1,Исход!$B:$B,$A27)+
SUMIFS(Исход!$H:$H,Исход!$A:$A,F$1,Исход!$B:$B,$A27)+
SUMIFS(Исход!$I:$I,Исход!$A:$A,F$1,Исход!$B:$B,$A27)-
SUMIFS(Исход!$L:$L,Исход!$A:$A,F$1,Исход!$B:$B,$A27)</f>
        <v>0</v>
      </c>
      <c r="G27" s="2">
        <f>SUMIFS(Исход!$D:$D,Исход!$A:$A,G$1,Исход!$B:$B,$A27)+
SUMIFS(Исход!$G:$G,Исход!$A:$A,G$1,Исход!$B:$B,$A27)+
SUMIFS(Исход!$H:$H,Исход!$A:$A,G$1,Исход!$B:$B,$A27)+
SUMIFS(Исход!$I:$I,Исход!$A:$A,G$1,Исход!$B:$B,$A27)-
SUMIFS(Исход!$L:$L,Исход!$A:$A,G$1,Исход!$B:$B,$A27)</f>
        <v>0</v>
      </c>
      <c r="H27" s="2">
        <f>SUMIFS(Исход!$D:$D,Исход!$A:$A,H$1,Исход!$B:$B,$A27)+
SUMIFS(Исход!$G:$G,Исход!$A:$A,H$1,Исход!$B:$B,$A27)+
SUMIFS(Исход!$H:$H,Исход!$A:$A,H$1,Исход!$B:$B,$A27)+
SUMIFS(Исход!$I:$I,Исход!$A:$A,H$1,Исход!$B:$B,$A27)-
SUMIFS(Исход!$L:$L,Исход!$A:$A,H$1,Исход!$B:$B,$A27)</f>
        <v>0</v>
      </c>
      <c r="I27" s="2">
        <f>SUMIFS(Исход!$D:$D,Исход!$A:$A,I$1,Исход!$B:$B,$A27)+
SUMIFS(Исход!$G:$G,Исход!$A:$A,I$1,Исход!$B:$B,$A27)+
SUMIFS(Исход!$H:$H,Исход!$A:$A,I$1,Исход!$B:$B,$A27)+
SUMIFS(Исход!$I:$I,Исход!$A:$A,I$1,Исход!$B:$B,$A27)-
SUMIFS(Исход!$L:$L,Исход!$A:$A,I$1,Исход!$B:$B,$A27)</f>
        <v>0</v>
      </c>
      <c r="J27" s="2">
        <f>SUMIFS(Исход!$D:$D,Исход!$A:$A,J$1,Исход!$B:$B,$A27)+
SUMIFS(Исход!$G:$G,Исход!$A:$A,J$1,Исход!$B:$B,$A27)+
SUMIFS(Исход!$H:$H,Исход!$A:$A,J$1,Исход!$B:$B,$A27)+
SUMIFS(Исход!$I:$I,Исход!$A:$A,J$1,Исход!$B:$B,$A27)-
SUMIFS(Исход!$L:$L,Исход!$A:$A,J$1,Исход!$B:$B,$A27)</f>
        <v>0</v>
      </c>
      <c r="K27" s="2">
        <f>SUMIFS(Исход!$D:$D,Исход!$A:$A,K$1,Исход!$B:$B,$A27)+
SUMIFS(Исход!$G:$G,Исход!$A:$A,K$1,Исход!$B:$B,$A27)+
SUMIFS(Исход!$H:$H,Исход!$A:$A,K$1,Исход!$B:$B,$A27)+
SUMIFS(Исход!$I:$I,Исход!$A:$A,K$1,Исход!$B:$B,$A27)-
SUMIFS(Исход!$L:$L,Исход!$A:$A,K$1,Исход!$B:$B,$A27)</f>
        <v>0</v>
      </c>
      <c r="L27" s="2">
        <f>SUMIFS(Исход!$D:$D,Исход!$A:$A,L$1,Исход!$B:$B,$A27)+
SUMIFS(Исход!$G:$G,Исход!$A:$A,L$1,Исход!$B:$B,$A27)+
SUMIFS(Исход!$H:$H,Исход!$A:$A,L$1,Исход!$B:$B,$A27)+
SUMIFS(Исход!$I:$I,Исход!$A:$A,L$1,Исход!$B:$B,$A27)-
SUMIFS(Исход!$L:$L,Исход!$A:$A,L$1,Исход!$B:$B,$A27)</f>
        <v>0</v>
      </c>
      <c r="M27" s="2">
        <f>SUMIFS(Исход!$D:$D,Исход!$A:$A,M$1,Исход!$B:$B,$A27)+
SUMIFS(Исход!$G:$G,Исход!$A:$A,M$1,Исход!$B:$B,$A27)+
SUMIFS(Исход!$H:$H,Исход!$A:$A,M$1,Исход!$B:$B,$A27)+
SUMIFS(Исход!$I:$I,Исход!$A:$A,M$1,Исход!$B:$B,$A27)-
SUMIFS(Исход!$L:$L,Исход!$A:$A,M$1,Исход!$B:$B,$A27)</f>
        <v>0</v>
      </c>
      <c r="N27" s="2">
        <f>SUMIFS(Исход!$D:$D,Исход!$A:$A,N$1,Исход!$B:$B,$A27)+
SUMIFS(Исход!$G:$G,Исход!$A:$A,N$1,Исход!$B:$B,$A27)+
SUMIFS(Исход!$H:$H,Исход!$A:$A,N$1,Исход!$B:$B,$A27)+
SUMIFS(Исход!$I:$I,Исход!$A:$A,N$1,Исход!$B:$B,$A27)-
SUMIFS(Исход!$L:$L,Исход!$A:$A,N$1,Исход!$B:$B,$A27)</f>
        <v>0</v>
      </c>
      <c r="O27" s="2">
        <f>SUMIFS(Исход!$D:$D,Исход!$A:$A,O$1,Исход!$B:$B,$A27)+
SUMIFS(Исход!$G:$G,Исход!$A:$A,O$1,Исход!$B:$B,$A27)+
SUMIFS(Исход!$H:$H,Исход!$A:$A,O$1,Исход!$B:$B,$A27)+
SUMIFS(Исход!$I:$I,Исход!$A:$A,O$1,Исход!$B:$B,$A27)-
SUMIFS(Исход!$L:$L,Исход!$A:$A,O$1,Исход!$B:$B,$A27)</f>
        <v>0</v>
      </c>
      <c r="P27" s="2">
        <f>SUMIFS(Исход!$D:$D,Исход!$A:$A,P$1,Исход!$B:$B,$A27)+
SUMIFS(Исход!$G:$G,Исход!$A:$A,P$1,Исход!$B:$B,$A27)+
SUMIFS(Исход!$H:$H,Исход!$A:$A,P$1,Исход!$B:$B,$A27)+
SUMIFS(Исход!$I:$I,Исход!$A:$A,P$1,Исход!$B:$B,$A27)-
SUMIFS(Исход!$L:$L,Исход!$A:$A,P$1,Исход!$B:$B,$A27)</f>
        <v>0</v>
      </c>
      <c r="Q27" s="2">
        <f>SUMIFS(Исход!$D:$D,Исход!$A:$A,Q$1,Исход!$B:$B,$A27)+
SUMIFS(Исход!$G:$G,Исход!$A:$A,Q$1,Исход!$B:$B,$A27)+
SUMIFS(Исход!$H:$H,Исход!$A:$A,Q$1,Исход!$B:$B,$A27)+
SUMIFS(Исход!$I:$I,Исход!$A:$A,Q$1,Исход!$B:$B,$A27)-
SUMIFS(Исход!$L:$L,Исход!$A:$A,Q$1,Исход!$B:$B,$A27)</f>
        <v>0</v>
      </c>
      <c r="R27" s="2">
        <f>SUMIFS(Исход!$D:$D,Исход!$A:$A,R$1,Исход!$B:$B,$A27)+
SUMIFS(Исход!$G:$G,Исход!$A:$A,R$1,Исход!$B:$B,$A27)+
SUMIFS(Исход!$H:$H,Исход!$A:$A,R$1,Исход!$B:$B,$A27)+
SUMIFS(Исход!$I:$I,Исход!$A:$A,R$1,Исход!$B:$B,$A27)-
SUMIFS(Исход!$L:$L,Исход!$A:$A,R$1,Исход!$B:$B,$A27)</f>
        <v>0</v>
      </c>
      <c r="S27" s="2">
        <f>SUMIFS(Исход!$D:$D,Исход!$A:$A,S$1,Исход!$B:$B,$A27)+
SUMIFS(Исход!$G:$G,Исход!$A:$A,S$1,Исход!$B:$B,$A27)+
SUMIFS(Исход!$H:$H,Исход!$A:$A,S$1,Исход!$B:$B,$A27)+
SUMIFS(Исход!$I:$I,Исход!$A:$A,S$1,Исход!$B:$B,$A27)-
SUMIFS(Исход!$L:$L,Исход!$A:$A,S$1,Исход!$B:$B,$A27)</f>
        <v>0</v>
      </c>
      <c r="T27" s="2">
        <f>SUMIFS(Исход!$D:$D,Исход!$A:$A,T$1,Исход!$B:$B,$A27)+
SUMIFS(Исход!$G:$G,Исход!$A:$A,T$1,Исход!$B:$B,$A27)+
SUMIFS(Исход!$H:$H,Исход!$A:$A,T$1,Исход!$B:$B,$A27)+
SUMIFS(Исход!$I:$I,Исход!$A:$A,T$1,Исход!$B:$B,$A27)-
SUMIFS(Исход!$L:$L,Исход!$A:$A,T$1,Исход!$B:$B,$A27)</f>
        <v>0</v>
      </c>
      <c r="U27" s="2">
        <f>SUMIFS(Исход!$D:$D,Исход!$A:$A,U$1,Исход!$B:$B,$A27)+
SUMIFS(Исход!$G:$G,Исход!$A:$A,U$1,Исход!$B:$B,$A27)+
SUMIFS(Исход!$H:$H,Исход!$A:$A,U$1,Исход!$B:$B,$A27)+
SUMIFS(Исход!$I:$I,Исход!$A:$A,U$1,Исход!$B:$B,$A27)-
SUMIFS(Исход!$L:$L,Исход!$A:$A,U$1,Исход!$B:$B,$A27)</f>
        <v>0</v>
      </c>
      <c r="V27" s="2">
        <f>SUMIFS(Исход!$D:$D,Исход!$A:$A,V$1,Исход!$B:$B,$A27)+
SUMIFS(Исход!$G:$G,Исход!$A:$A,V$1,Исход!$B:$B,$A27)+
SUMIFS(Исход!$H:$H,Исход!$A:$A,V$1,Исход!$B:$B,$A27)+
SUMIFS(Исход!$I:$I,Исход!$A:$A,V$1,Исход!$B:$B,$A27)-
SUMIFS(Исход!$L:$L,Исход!$A:$A,V$1,Исход!$B:$B,$A27)</f>
        <v>0</v>
      </c>
      <c r="W27" s="2">
        <f>SUMIFS(Исход!$D:$D,Исход!$A:$A,W$1,Исход!$B:$B,$A27)+
SUMIFS(Исход!$G:$G,Исход!$A:$A,W$1,Исход!$B:$B,$A27)+
SUMIFS(Исход!$H:$H,Исход!$A:$A,W$1,Исход!$B:$B,$A27)+
SUMIFS(Исход!$I:$I,Исход!$A:$A,W$1,Исход!$B:$B,$A27)-
SUMIFS(Исход!$L:$L,Исход!$A:$A,W$1,Исход!$B:$B,$A27)</f>
        <v>0</v>
      </c>
      <c r="X27" s="2">
        <f>SUMIFS(Исход!$D:$D,Исход!$A:$A,X$1,Исход!$B:$B,$A27)+
SUMIFS(Исход!$G:$G,Исход!$A:$A,X$1,Исход!$B:$B,$A27)+
SUMIFS(Исход!$H:$H,Исход!$A:$A,X$1,Исход!$B:$B,$A27)+
SUMIFS(Исход!$I:$I,Исход!$A:$A,X$1,Исход!$B:$B,$A27)-
SUMIFS(Исход!$L:$L,Исход!$A:$A,X$1,Исход!$B:$B,$A27)</f>
        <v>0</v>
      </c>
      <c r="Y27" s="2">
        <f>SUMIFS(Исход!$D:$D,Исход!$A:$A,Y$1,Исход!$B:$B,$A27)+
SUMIFS(Исход!$G:$G,Исход!$A:$A,Y$1,Исход!$B:$B,$A27)+
SUMIFS(Исход!$H:$H,Исход!$A:$A,Y$1,Исход!$B:$B,$A27)+
SUMIFS(Исход!$I:$I,Исход!$A:$A,Y$1,Исход!$B:$B,$A27)-
SUMIFS(Исход!$L:$L,Исход!$A:$A,Y$1,Исход!$B:$B,$A27)</f>
        <v>0</v>
      </c>
      <c r="Z27" s="2">
        <f>SUMIFS(Исход!$D:$D,Исход!$A:$A,Z$1,Исход!$B:$B,$A27)+
SUMIFS(Исход!$G:$G,Исход!$A:$A,Z$1,Исход!$B:$B,$A27)+
SUMIFS(Исход!$H:$H,Исход!$A:$A,Z$1,Исход!$B:$B,$A27)+
SUMIFS(Исход!$I:$I,Исход!$A:$A,Z$1,Исход!$B:$B,$A27)-
SUMIFS(Исход!$L:$L,Исход!$A:$A,Z$1,Исход!$B:$B,$A27)</f>
        <v>0</v>
      </c>
      <c r="AA27" s="2">
        <f>SUMIFS(Исход!$D:$D,Исход!$A:$A,AA$1,Исход!$B:$B,$A27)+
SUMIFS(Исход!$G:$G,Исход!$A:$A,AA$1,Исход!$B:$B,$A27)+
SUMIFS(Исход!$H:$H,Исход!$A:$A,AA$1,Исход!$B:$B,$A27)+
SUMIFS(Исход!$I:$I,Исход!$A:$A,AA$1,Исход!$B:$B,$A27)-
SUMIFS(Исход!$L:$L,Исход!$A:$A,AA$1,Исход!$B:$B,$A27)</f>
        <v>0</v>
      </c>
      <c r="AB27" s="2">
        <f>SUMIFS(Исход!$D:$D,Исход!$A:$A,AB$1,Исход!$B:$B,$A27)+
SUMIFS(Исход!$G:$G,Исход!$A:$A,AB$1,Исход!$B:$B,$A27)+
SUMIFS(Исход!$H:$H,Исход!$A:$A,AB$1,Исход!$B:$B,$A27)+
SUMIFS(Исход!$I:$I,Исход!$A:$A,AB$1,Исход!$B:$B,$A27)-
SUMIFS(Исход!$L:$L,Исход!$A:$A,AB$1,Исход!$B:$B,$A27)</f>
        <v>0</v>
      </c>
      <c r="AC27" s="2">
        <f>SUMIFS(Исход!$D:$D,Исход!$A:$A,AC$1,Исход!$B:$B,$A27)+
SUMIFS(Исход!$G:$G,Исход!$A:$A,AC$1,Исход!$B:$B,$A27)+
SUMIFS(Исход!$H:$H,Исход!$A:$A,AC$1,Исход!$B:$B,$A27)+
SUMIFS(Исход!$I:$I,Исход!$A:$A,AC$1,Исход!$B:$B,$A27)-
SUMIFS(Исход!$L:$L,Исход!$A:$A,AC$1,Исход!$B:$B,$A27)</f>
        <v>0</v>
      </c>
      <c r="AD27" s="2">
        <f>SUMIFS(Исход!$D:$D,Исход!$A:$A,AD$1,Исход!$B:$B,$A27)+
SUMIFS(Исход!$G:$G,Исход!$A:$A,AD$1,Исход!$B:$B,$A27)+
SUMIFS(Исход!$H:$H,Исход!$A:$A,AD$1,Исход!$B:$B,$A27)+
SUMIFS(Исход!$I:$I,Исход!$A:$A,AD$1,Исход!$B:$B,$A27)-
SUMIFS(Исход!$L:$L,Исход!$A:$A,AD$1,Исход!$B:$B,$A27)</f>
        <v>0</v>
      </c>
      <c r="AE27" s="2">
        <f>SUMIFS(Исход!$D:$D,Исход!$A:$A,AE$1,Исход!$B:$B,$A27)+
SUMIFS(Исход!$G:$G,Исход!$A:$A,AE$1,Исход!$B:$B,$A27)+
SUMIFS(Исход!$H:$H,Исход!$A:$A,AE$1,Исход!$B:$B,$A27)+
SUMIFS(Исход!$I:$I,Исход!$A:$A,AE$1,Исход!$B:$B,$A27)-
SUMIFS(Исход!$L:$L,Исход!$A:$A,AE$1,Исход!$B:$B,$A27)</f>
        <v>0</v>
      </c>
      <c r="AF27" s="2">
        <f>SUMIFS(Исход!$D:$D,Исход!$A:$A,AF$1,Исход!$B:$B,$A27)+
SUMIFS(Исход!$G:$G,Исход!$A:$A,AF$1,Исход!$B:$B,$A27)+
SUMIFS(Исход!$H:$H,Исход!$A:$A,AF$1,Исход!$B:$B,$A27)+
SUMIFS(Исход!$I:$I,Исход!$A:$A,AF$1,Исход!$B:$B,$A27)-
SUMIFS(Исход!$L:$L,Исход!$A:$A,AF$1,Исход!$B:$B,$A27)</f>
        <v>0</v>
      </c>
      <c r="AG27" s="57">
        <f>SUMIFS(Исход!$D:$D,Исход!$A:$A,AG$1,Исход!$B:$B,$A27)+
SUMIFS(Исход!$G:$G,Исход!$A:$A,AG$1,Исход!$B:$B,$A27)+
SUMIFS(Исход!$H:$H,Исход!$A:$A,AG$1,Исход!$B:$B,$A27)+
SUMIFS(Исход!$I:$I,Исход!$A:$A,AG$1,Исход!$B:$B,$A27)-
SUMIFS(Исход!$L:$L,Исход!$A:$A,AG$1,Исход!$B:$B,$A27)</f>
        <v>0</v>
      </c>
    </row>
    <row r="28" spans="1:33" hidden="1" outlineLevel="1" x14ac:dyDescent="0.25">
      <c r="A28" s="103">
        <v>0.5</v>
      </c>
      <c r="B28" s="123">
        <v>0.52083333333333337</v>
      </c>
      <c r="C28" s="63">
        <f>SUMIFS(Исход!$D:$D,Исход!$A:$A,C$1,Исход!$B:$B,$A28)+
SUMIFS(Исход!$G:$G,Исход!$A:$A,C$1,Исход!$B:$B,$A28)+
SUMIFS(Исход!$H:$H,Исход!$A:$A,C$1,Исход!$B:$B,$A28)+
SUMIFS(Исход!$I:$I,Исход!$A:$A,C$1,Исход!$B:$B,$A28)-
SUMIFS(Исход!$L:$L,Исход!$A:$A,C$1,Исход!$B:$B,$A28)</f>
        <v>0</v>
      </c>
      <c r="D28" s="2">
        <f>SUMIFS(Исход!$D:$D,Исход!$A:$A,D$1,Исход!$B:$B,$A28)+
SUMIFS(Исход!$G:$G,Исход!$A:$A,D$1,Исход!$B:$B,$A28)+
SUMIFS(Исход!$H:$H,Исход!$A:$A,D$1,Исход!$B:$B,$A28)+
SUMIFS(Исход!$I:$I,Исход!$A:$A,D$1,Исход!$B:$B,$A28)-
SUMIFS(Исход!$L:$L,Исход!$A:$A,D$1,Исход!$B:$B,$A28)</f>
        <v>0</v>
      </c>
      <c r="E28" s="2">
        <f>SUMIFS(Исход!$D:$D,Исход!$A:$A,E$1,Исход!$B:$B,$A28)+
SUMIFS(Исход!$G:$G,Исход!$A:$A,E$1,Исход!$B:$B,$A28)+
SUMIFS(Исход!$H:$H,Исход!$A:$A,E$1,Исход!$B:$B,$A28)+
SUMIFS(Исход!$I:$I,Исход!$A:$A,E$1,Исход!$B:$B,$A28)-
SUMIFS(Исход!$L:$L,Исход!$A:$A,E$1,Исход!$B:$B,$A28)</f>
        <v>0</v>
      </c>
      <c r="F28" s="2">
        <f>SUMIFS(Исход!$D:$D,Исход!$A:$A,F$1,Исход!$B:$B,$A28)+
SUMIFS(Исход!$G:$G,Исход!$A:$A,F$1,Исход!$B:$B,$A28)+
SUMIFS(Исход!$H:$H,Исход!$A:$A,F$1,Исход!$B:$B,$A28)+
SUMIFS(Исход!$I:$I,Исход!$A:$A,F$1,Исход!$B:$B,$A28)-
SUMIFS(Исход!$L:$L,Исход!$A:$A,F$1,Исход!$B:$B,$A28)</f>
        <v>0</v>
      </c>
      <c r="G28" s="2">
        <f>SUMIFS(Исход!$D:$D,Исход!$A:$A,G$1,Исход!$B:$B,$A28)+
SUMIFS(Исход!$G:$G,Исход!$A:$A,G$1,Исход!$B:$B,$A28)+
SUMIFS(Исход!$H:$H,Исход!$A:$A,G$1,Исход!$B:$B,$A28)+
SUMIFS(Исход!$I:$I,Исход!$A:$A,G$1,Исход!$B:$B,$A28)-
SUMIFS(Исход!$L:$L,Исход!$A:$A,G$1,Исход!$B:$B,$A28)</f>
        <v>0</v>
      </c>
      <c r="H28" s="2">
        <f>SUMIFS(Исход!$D:$D,Исход!$A:$A,H$1,Исход!$B:$B,$A28)+
SUMIFS(Исход!$G:$G,Исход!$A:$A,H$1,Исход!$B:$B,$A28)+
SUMIFS(Исход!$H:$H,Исход!$A:$A,H$1,Исход!$B:$B,$A28)+
SUMIFS(Исход!$I:$I,Исход!$A:$A,H$1,Исход!$B:$B,$A28)-
SUMIFS(Исход!$L:$L,Исход!$A:$A,H$1,Исход!$B:$B,$A28)</f>
        <v>0</v>
      </c>
      <c r="I28" s="2">
        <f>SUMIFS(Исход!$D:$D,Исход!$A:$A,I$1,Исход!$B:$B,$A28)+
SUMIFS(Исход!$G:$G,Исход!$A:$A,I$1,Исход!$B:$B,$A28)+
SUMIFS(Исход!$H:$H,Исход!$A:$A,I$1,Исход!$B:$B,$A28)+
SUMIFS(Исход!$I:$I,Исход!$A:$A,I$1,Исход!$B:$B,$A28)-
SUMIFS(Исход!$L:$L,Исход!$A:$A,I$1,Исход!$B:$B,$A28)</f>
        <v>0</v>
      </c>
      <c r="J28" s="2">
        <f>SUMIFS(Исход!$D:$D,Исход!$A:$A,J$1,Исход!$B:$B,$A28)+
SUMIFS(Исход!$G:$G,Исход!$A:$A,J$1,Исход!$B:$B,$A28)+
SUMIFS(Исход!$H:$H,Исход!$A:$A,J$1,Исход!$B:$B,$A28)+
SUMIFS(Исход!$I:$I,Исход!$A:$A,J$1,Исход!$B:$B,$A28)-
SUMIFS(Исход!$L:$L,Исход!$A:$A,J$1,Исход!$B:$B,$A28)</f>
        <v>0</v>
      </c>
      <c r="K28" s="2">
        <f>SUMIFS(Исход!$D:$D,Исход!$A:$A,K$1,Исход!$B:$B,$A28)+
SUMIFS(Исход!$G:$G,Исход!$A:$A,K$1,Исход!$B:$B,$A28)+
SUMIFS(Исход!$H:$H,Исход!$A:$A,K$1,Исход!$B:$B,$A28)+
SUMIFS(Исход!$I:$I,Исход!$A:$A,K$1,Исход!$B:$B,$A28)-
SUMIFS(Исход!$L:$L,Исход!$A:$A,K$1,Исход!$B:$B,$A28)</f>
        <v>0</v>
      </c>
      <c r="L28" s="2">
        <f>SUMIFS(Исход!$D:$D,Исход!$A:$A,L$1,Исход!$B:$B,$A28)+
SUMIFS(Исход!$G:$G,Исход!$A:$A,L$1,Исход!$B:$B,$A28)+
SUMIFS(Исход!$H:$H,Исход!$A:$A,L$1,Исход!$B:$B,$A28)+
SUMIFS(Исход!$I:$I,Исход!$A:$A,L$1,Исход!$B:$B,$A28)-
SUMIFS(Исход!$L:$L,Исход!$A:$A,L$1,Исход!$B:$B,$A28)</f>
        <v>0</v>
      </c>
      <c r="M28" s="2">
        <f>SUMIFS(Исход!$D:$D,Исход!$A:$A,M$1,Исход!$B:$B,$A28)+
SUMIFS(Исход!$G:$G,Исход!$A:$A,M$1,Исход!$B:$B,$A28)+
SUMIFS(Исход!$H:$H,Исход!$A:$A,M$1,Исход!$B:$B,$A28)+
SUMIFS(Исход!$I:$I,Исход!$A:$A,M$1,Исход!$B:$B,$A28)-
SUMIFS(Исход!$L:$L,Исход!$A:$A,M$1,Исход!$B:$B,$A28)</f>
        <v>0</v>
      </c>
      <c r="N28" s="2">
        <f>SUMIFS(Исход!$D:$D,Исход!$A:$A,N$1,Исход!$B:$B,$A28)+
SUMIFS(Исход!$G:$G,Исход!$A:$A,N$1,Исход!$B:$B,$A28)+
SUMIFS(Исход!$H:$H,Исход!$A:$A,N$1,Исход!$B:$B,$A28)+
SUMIFS(Исход!$I:$I,Исход!$A:$A,N$1,Исход!$B:$B,$A28)-
SUMIFS(Исход!$L:$L,Исход!$A:$A,N$1,Исход!$B:$B,$A28)</f>
        <v>0</v>
      </c>
      <c r="O28" s="2">
        <f>SUMIFS(Исход!$D:$D,Исход!$A:$A,O$1,Исход!$B:$B,$A28)+
SUMIFS(Исход!$G:$G,Исход!$A:$A,O$1,Исход!$B:$B,$A28)+
SUMIFS(Исход!$H:$H,Исход!$A:$A,O$1,Исход!$B:$B,$A28)+
SUMIFS(Исход!$I:$I,Исход!$A:$A,O$1,Исход!$B:$B,$A28)-
SUMIFS(Исход!$L:$L,Исход!$A:$A,O$1,Исход!$B:$B,$A28)</f>
        <v>0</v>
      </c>
      <c r="P28" s="2">
        <f>SUMIFS(Исход!$D:$D,Исход!$A:$A,P$1,Исход!$B:$B,$A28)+
SUMIFS(Исход!$G:$G,Исход!$A:$A,P$1,Исход!$B:$B,$A28)+
SUMIFS(Исход!$H:$H,Исход!$A:$A,P$1,Исход!$B:$B,$A28)+
SUMIFS(Исход!$I:$I,Исход!$A:$A,P$1,Исход!$B:$B,$A28)-
SUMIFS(Исход!$L:$L,Исход!$A:$A,P$1,Исход!$B:$B,$A28)</f>
        <v>0</v>
      </c>
      <c r="Q28" s="2">
        <f>SUMIFS(Исход!$D:$D,Исход!$A:$A,Q$1,Исход!$B:$B,$A28)+
SUMIFS(Исход!$G:$G,Исход!$A:$A,Q$1,Исход!$B:$B,$A28)+
SUMIFS(Исход!$H:$H,Исход!$A:$A,Q$1,Исход!$B:$B,$A28)+
SUMIFS(Исход!$I:$I,Исход!$A:$A,Q$1,Исход!$B:$B,$A28)-
SUMIFS(Исход!$L:$L,Исход!$A:$A,Q$1,Исход!$B:$B,$A28)</f>
        <v>0</v>
      </c>
      <c r="R28" s="2">
        <f>SUMIFS(Исход!$D:$D,Исход!$A:$A,R$1,Исход!$B:$B,$A28)+
SUMIFS(Исход!$G:$G,Исход!$A:$A,R$1,Исход!$B:$B,$A28)+
SUMIFS(Исход!$H:$H,Исход!$A:$A,R$1,Исход!$B:$B,$A28)+
SUMIFS(Исход!$I:$I,Исход!$A:$A,R$1,Исход!$B:$B,$A28)-
SUMIFS(Исход!$L:$L,Исход!$A:$A,R$1,Исход!$B:$B,$A28)</f>
        <v>0</v>
      </c>
      <c r="S28" s="2">
        <f>SUMIFS(Исход!$D:$D,Исход!$A:$A,S$1,Исход!$B:$B,$A28)+
SUMIFS(Исход!$G:$G,Исход!$A:$A,S$1,Исход!$B:$B,$A28)+
SUMIFS(Исход!$H:$H,Исход!$A:$A,S$1,Исход!$B:$B,$A28)+
SUMIFS(Исход!$I:$I,Исход!$A:$A,S$1,Исход!$B:$B,$A28)-
SUMIFS(Исход!$L:$L,Исход!$A:$A,S$1,Исход!$B:$B,$A28)</f>
        <v>0</v>
      </c>
      <c r="T28" s="2">
        <f>SUMIFS(Исход!$D:$D,Исход!$A:$A,T$1,Исход!$B:$B,$A28)+
SUMIFS(Исход!$G:$G,Исход!$A:$A,T$1,Исход!$B:$B,$A28)+
SUMIFS(Исход!$H:$H,Исход!$A:$A,T$1,Исход!$B:$B,$A28)+
SUMIFS(Исход!$I:$I,Исход!$A:$A,T$1,Исход!$B:$B,$A28)-
SUMIFS(Исход!$L:$L,Исход!$A:$A,T$1,Исход!$B:$B,$A28)</f>
        <v>0</v>
      </c>
      <c r="U28" s="2">
        <f>SUMIFS(Исход!$D:$D,Исход!$A:$A,U$1,Исход!$B:$B,$A28)+
SUMIFS(Исход!$G:$G,Исход!$A:$A,U$1,Исход!$B:$B,$A28)+
SUMIFS(Исход!$H:$H,Исход!$A:$A,U$1,Исход!$B:$B,$A28)+
SUMIFS(Исход!$I:$I,Исход!$A:$A,U$1,Исход!$B:$B,$A28)-
SUMIFS(Исход!$L:$L,Исход!$A:$A,U$1,Исход!$B:$B,$A28)</f>
        <v>0</v>
      </c>
      <c r="V28" s="2">
        <f>SUMIFS(Исход!$D:$D,Исход!$A:$A,V$1,Исход!$B:$B,$A28)+
SUMIFS(Исход!$G:$G,Исход!$A:$A,V$1,Исход!$B:$B,$A28)+
SUMIFS(Исход!$H:$H,Исход!$A:$A,V$1,Исход!$B:$B,$A28)+
SUMIFS(Исход!$I:$I,Исход!$A:$A,V$1,Исход!$B:$B,$A28)-
SUMIFS(Исход!$L:$L,Исход!$A:$A,V$1,Исход!$B:$B,$A28)</f>
        <v>0</v>
      </c>
      <c r="W28" s="2">
        <f>SUMIFS(Исход!$D:$D,Исход!$A:$A,W$1,Исход!$B:$B,$A28)+
SUMIFS(Исход!$G:$G,Исход!$A:$A,W$1,Исход!$B:$B,$A28)+
SUMIFS(Исход!$H:$H,Исход!$A:$A,W$1,Исход!$B:$B,$A28)+
SUMIFS(Исход!$I:$I,Исход!$A:$A,W$1,Исход!$B:$B,$A28)-
SUMIFS(Исход!$L:$L,Исход!$A:$A,W$1,Исход!$B:$B,$A28)</f>
        <v>0</v>
      </c>
      <c r="X28" s="2">
        <f>SUMIFS(Исход!$D:$D,Исход!$A:$A,X$1,Исход!$B:$B,$A28)+
SUMIFS(Исход!$G:$G,Исход!$A:$A,X$1,Исход!$B:$B,$A28)+
SUMIFS(Исход!$H:$H,Исход!$A:$A,X$1,Исход!$B:$B,$A28)+
SUMIFS(Исход!$I:$I,Исход!$A:$A,X$1,Исход!$B:$B,$A28)-
SUMIFS(Исход!$L:$L,Исход!$A:$A,X$1,Исход!$B:$B,$A28)</f>
        <v>0</v>
      </c>
      <c r="Y28" s="2">
        <f>SUMIFS(Исход!$D:$D,Исход!$A:$A,Y$1,Исход!$B:$B,$A28)+
SUMIFS(Исход!$G:$G,Исход!$A:$A,Y$1,Исход!$B:$B,$A28)+
SUMIFS(Исход!$H:$H,Исход!$A:$A,Y$1,Исход!$B:$B,$A28)+
SUMIFS(Исход!$I:$I,Исход!$A:$A,Y$1,Исход!$B:$B,$A28)-
SUMIFS(Исход!$L:$L,Исход!$A:$A,Y$1,Исход!$B:$B,$A28)</f>
        <v>0</v>
      </c>
      <c r="Z28" s="2">
        <f>SUMIFS(Исход!$D:$D,Исход!$A:$A,Z$1,Исход!$B:$B,$A28)+
SUMIFS(Исход!$G:$G,Исход!$A:$A,Z$1,Исход!$B:$B,$A28)+
SUMIFS(Исход!$H:$H,Исход!$A:$A,Z$1,Исход!$B:$B,$A28)+
SUMIFS(Исход!$I:$I,Исход!$A:$A,Z$1,Исход!$B:$B,$A28)-
SUMIFS(Исход!$L:$L,Исход!$A:$A,Z$1,Исход!$B:$B,$A28)</f>
        <v>0</v>
      </c>
      <c r="AA28" s="2">
        <f>SUMIFS(Исход!$D:$D,Исход!$A:$A,AA$1,Исход!$B:$B,$A28)+
SUMIFS(Исход!$G:$G,Исход!$A:$A,AA$1,Исход!$B:$B,$A28)+
SUMIFS(Исход!$H:$H,Исход!$A:$A,AA$1,Исход!$B:$B,$A28)+
SUMIFS(Исход!$I:$I,Исход!$A:$A,AA$1,Исход!$B:$B,$A28)-
SUMIFS(Исход!$L:$L,Исход!$A:$A,AA$1,Исход!$B:$B,$A28)</f>
        <v>0</v>
      </c>
      <c r="AB28" s="2">
        <f>SUMIFS(Исход!$D:$D,Исход!$A:$A,AB$1,Исход!$B:$B,$A28)+
SUMIFS(Исход!$G:$G,Исход!$A:$A,AB$1,Исход!$B:$B,$A28)+
SUMIFS(Исход!$H:$H,Исход!$A:$A,AB$1,Исход!$B:$B,$A28)+
SUMIFS(Исход!$I:$I,Исход!$A:$A,AB$1,Исход!$B:$B,$A28)-
SUMIFS(Исход!$L:$L,Исход!$A:$A,AB$1,Исход!$B:$B,$A28)</f>
        <v>0</v>
      </c>
      <c r="AC28" s="2">
        <f>SUMIFS(Исход!$D:$D,Исход!$A:$A,AC$1,Исход!$B:$B,$A28)+
SUMIFS(Исход!$G:$G,Исход!$A:$A,AC$1,Исход!$B:$B,$A28)+
SUMIFS(Исход!$H:$H,Исход!$A:$A,AC$1,Исход!$B:$B,$A28)+
SUMIFS(Исход!$I:$I,Исход!$A:$A,AC$1,Исход!$B:$B,$A28)-
SUMIFS(Исход!$L:$L,Исход!$A:$A,AC$1,Исход!$B:$B,$A28)</f>
        <v>0</v>
      </c>
      <c r="AD28" s="2">
        <f>SUMIFS(Исход!$D:$D,Исход!$A:$A,AD$1,Исход!$B:$B,$A28)+
SUMIFS(Исход!$G:$G,Исход!$A:$A,AD$1,Исход!$B:$B,$A28)+
SUMIFS(Исход!$H:$H,Исход!$A:$A,AD$1,Исход!$B:$B,$A28)+
SUMIFS(Исход!$I:$I,Исход!$A:$A,AD$1,Исход!$B:$B,$A28)-
SUMIFS(Исход!$L:$L,Исход!$A:$A,AD$1,Исход!$B:$B,$A28)</f>
        <v>0</v>
      </c>
      <c r="AE28" s="2">
        <f>SUMIFS(Исход!$D:$D,Исход!$A:$A,AE$1,Исход!$B:$B,$A28)+
SUMIFS(Исход!$G:$G,Исход!$A:$A,AE$1,Исход!$B:$B,$A28)+
SUMIFS(Исход!$H:$H,Исход!$A:$A,AE$1,Исход!$B:$B,$A28)+
SUMIFS(Исход!$I:$I,Исход!$A:$A,AE$1,Исход!$B:$B,$A28)-
SUMIFS(Исход!$L:$L,Исход!$A:$A,AE$1,Исход!$B:$B,$A28)</f>
        <v>0</v>
      </c>
      <c r="AF28" s="2">
        <f>SUMIFS(Исход!$D:$D,Исход!$A:$A,AF$1,Исход!$B:$B,$A28)+
SUMIFS(Исход!$G:$G,Исход!$A:$A,AF$1,Исход!$B:$B,$A28)+
SUMIFS(Исход!$H:$H,Исход!$A:$A,AF$1,Исход!$B:$B,$A28)+
SUMIFS(Исход!$I:$I,Исход!$A:$A,AF$1,Исход!$B:$B,$A28)-
SUMIFS(Исход!$L:$L,Исход!$A:$A,AF$1,Исход!$B:$B,$A28)</f>
        <v>0</v>
      </c>
      <c r="AG28" s="57">
        <f>SUMIFS(Исход!$D:$D,Исход!$A:$A,AG$1,Исход!$B:$B,$A28)+
SUMIFS(Исход!$G:$G,Исход!$A:$A,AG$1,Исход!$B:$B,$A28)+
SUMIFS(Исход!$H:$H,Исход!$A:$A,AG$1,Исход!$B:$B,$A28)+
SUMIFS(Исход!$I:$I,Исход!$A:$A,AG$1,Исход!$B:$B,$A28)-
SUMIFS(Исход!$L:$L,Исход!$A:$A,AG$1,Исход!$B:$B,$A28)</f>
        <v>0</v>
      </c>
    </row>
    <row r="29" spans="1:33" hidden="1" outlineLevel="1" x14ac:dyDescent="0.25">
      <c r="A29" s="103">
        <v>0.52083333333333337</v>
      </c>
      <c r="B29" s="123">
        <v>0.54166666666666663</v>
      </c>
      <c r="C29" s="63">
        <f>SUMIFS(Исход!$D:$D,Исход!$A:$A,C$1,Исход!$B:$B,$A29)+
SUMIFS(Исход!$G:$G,Исход!$A:$A,C$1,Исход!$B:$B,$A29)+
SUMIFS(Исход!$H:$H,Исход!$A:$A,C$1,Исход!$B:$B,$A29)+
SUMIFS(Исход!$I:$I,Исход!$A:$A,C$1,Исход!$B:$B,$A29)-
SUMIFS(Исход!$L:$L,Исход!$A:$A,C$1,Исход!$B:$B,$A29)</f>
        <v>0</v>
      </c>
      <c r="D29" s="2">
        <f>SUMIFS(Исход!$D:$D,Исход!$A:$A,D$1,Исход!$B:$B,$A29)+
SUMIFS(Исход!$G:$G,Исход!$A:$A,D$1,Исход!$B:$B,$A29)+
SUMIFS(Исход!$H:$H,Исход!$A:$A,D$1,Исход!$B:$B,$A29)+
SUMIFS(Исход!$I:$I,Исход!$A:$A,D$1,Исход!$B:$B,$A29)-
SUMIFS(Исход!$L:$L,Исход!$A:$A,D$1,Исход!$B:$B,$A29)</f>
        <v>0</v>
      </c>
      <c r="E29" s="2">
        <f>SUMIFS(Исход!$D:$D,Исход!$A:$A,E$1,Исход!$B:$B,$A29)+
SUMIFS(Исход!$G:$G,Исход!$A:$A,E$1,Исход!$B:$B,$A29)+
SUMIFS(Исход!$H:$H,Исход!$A:$A,E$1,Исход!$B:$B,$A29)+
SUMIFS(Исход!$I:$I,Исход!$A:$A,E$1,Исход!$B:$B,$A29)-
SUMIFS(Исход!$L:$L,Исход!$A:$A,E$1,Исход!$B:$B,$A29)</f>
        <v>0</v>
      </c>
      <c r="F29" s="2">
        <f>SUMIFS(Исход!$D:$D,Исход!$A:$A,F$1,Исход!$B:$B,$A29)+
SUMIFS(Исход!$G:$G,Исход!$A:$A,F$1,Исход!$B:$B,$A29)+
SUMIFS(Исход!$H:$H,Исход!$A:$A,F$1,Исход!$B:$B,$A29)+
SUMIFS(Исход!$I:$I,Исход!$A:$A,F$1,Исход!$B:$B,$A29)-
SUMIFS(Исход!$L:$L,Исход!$A:$A,F$1,Исход!$B:$B,$A29)</f>
        <v>0</v>
      </c>
      <c r="G29" s="2">
        <f>SUMIFS(Исход!$D:$D,Исход!$A:$A,G$1,Исход!$B:$B,$A29)+
SUMIFS(Исход!$G:$G,Исход!$A:$A,G$1,Исход!$B:$B,$A29)+
SUMIFS(Исход!$H:$H,Исход!$A:$A,G$1,Исход!$B:$B,$A29)+
SUMIFS(Исход!$I:$I,Исход!$A:$A,G$1,Исход!$B:$B,$A29)-
SUMIFS(Исход!$L:$L,Исход!$A:$A,G$1,Исход!$B:$B,$A29)</f>
        <v>0</v>
      </c>
      <c r="H29" s="2">
        <f>SUMIFS(Исход!$D:$D,Исход!$A:$A,H$1,Исход!$B:$B,$A29)+
SUMIFS(Исход!$G:$G,Исход!$A:$A,H$1,Исход!$B:$B,$A29)+
SUMIFS(Исход!$H:$H,Исход!$A:$A,H$1,Исход!$B:$B,$A29)+
SUMIFS(Исход!$I:$I,Исход!$A:$A,H$1,Исход!$B:$B,$A29)-
SUMIFS(Исход!$L:$L,Исход!$A:$A,H$1,Исход!$B:$B,$A29)</f>
        <v>0</v>
      </c>
      <c r="I29" s="2">
        <f>SUMIFS(Исход!$D:$D,Исход!$A:$A,I$1,Исход!$B:$B,$A29)+
SUMIFS(Исход!$G:$G,Исход!$A:$A,I$1,Исход!$B:$B,$A29)+
SUMIFS(Исход!$H:$H,Исход!$A:$A,I$1,Исход!$B:$B,$A29)+
SUMIFS(Исход!$I:$I,Исход!$A:$A,I$1,Исход!$B:$B,$A29)-
SUMIFS(Исход!$L:$L,Исход!$A:$A,I$1,Исход!$B:$B,$A29)</f>
        <v>0</v>
      </c>
      <c r="J29" s="2">
        <f>SUMIFS(Исход!$D:$D,Исход!$A:$A,J$1,Исход!$B:$B,$A29)+
SUMIFS(Исход!$G:$G,Исход!$A:$A,J$1,Исход!$B:$B,$A29)+
SUMIFS(Исход!$H:$H,Исход!$A:$A,J$1,Исход!$B:$B,$A29)+
SUMIFS(Исход!$I:$I,Исход!$A:$A,J$1,Исход!$B:$B,$A29)-
SUMIFS(Исход!$L:$L,Исход!$A:$A,J$1,Исход!$B:$B,$A29)</f>
        <v>0</v>
      </c>
      <c r="K29" s="2">
        <f>SUMIFS(Исход!$D:$D,Исход!$A:$A,K$1,Исход!$B:$B,$A29)+
SUMIFS(Исход!$G:$G,Исход!$A:$A,K$1,Исход!$B:$B,$A29)+
SUMIFS(Исход!$H:$H,Исход!$A:$A,K$1,Исход!$B:$B,$A29)+
SUMIFS(Исход!$I:$I,Исход!$A:$A,K$1,Исход!$B:$B,$A29)-
SUMIFS(Исход!$L:$L,Исход!$A:$A,K$1,Исход!$B:$B,$A29)</f>
        <v>0</v>
      </c>
      <c r="L29" s="2">
        <f>SUMIFS(Исход!$D:$D,Исход!$A:$A,L$1,Исход!$B:$B,$A29)+
SUMIFS(Исход!$G:$G,Исход!$A:$A,L$1,Исход!$B:$B,$A29)+
SUMIFS(Исход!$H:$H,Исход!$A:$A,L$1,Исход!$B:$B,$A29)+
SUMIFS(Исход!$I:$I,Исход!$A:$A,L$1,Исход!$B:$B,$A29)-
SUMIFS(Исход!$L:$L,Исход!$A:$A,L$1,Исход!$B:$B,$A29)</f>
        <v>0</v>
      </c>
      <c r="M29" s="2">
        <f>SUMIFS(Исход!$D:$D,Исход!$A:$A,M$1,Исход!$B:$B,$A29)+
SUMIFS(Исход!$G:$G,Исход!$A:$A,M$1,Исход!$B:$B,$A29)+
SUMIFS(Исход!$H:$H,Исход!$A:$A,M$1,Исход!$B:$B,$A29)+
SUMIFS(Исход!$I:$I,Исход!$A:$A,M$1,Исход!$B:$B,$A29)-
SUMIFS(Исход!$L:$L,Исход!$A:$A,M$1,Исход!$B:$B,$A29)</f>
        <v>0</v>
      </c>
      <c r="N29" s="2">
        <f>SUMIFS(Исход!$D:$D,Исход!$A:$A,N$1,Исход!$B:$B,$A29)+
SUMIFS(Исход!$G:$G,Исход!$A:$A,N$1,Исход!$B:$B,$A29)+
SUMIFS(Исход!$H:$H,Исход!$A:$A,N$1,Исход!$B:$B,$A29)+
SUMIFS(Исход!$I:$I,Исход!$A:$A,N$1,Исход!$B:$B,$A29)-
SUMIFS(Исход!$L:$L,Исход!$A:$A,N$1,Исход!$B:$B,$A29)</f>
        <v>0</v>
      </c>
      <c r="O29" s="2">
        <f>SUMIFS(Исход!$D:$D,Исход!$A:$A,O$1,Исход!$B:$B,$A29)+
SUMIFS(Исход!$G:$G,Исход!$A:$A,O$1,Исход!$B:$B,$A29)+
SUMIFS(Исход!$H:$H,Исход!$A:$A,O$1,Исход!$B:$B,$A29)+
SUMIFS(Исход!$I:$I,Исход!$A:$A,O$1,Исход!$B:$B,$A29)-
SUMIFS(Исход!$L:$L,Исход!$A:$A,O$1,Исход!$B:$B,$A29)</f>
        <v>0</v>
      </c>
      <c r="P29" s="2">
        <f>SUMIFS(Исход!$D:$D,Исход!$A:$A,P$1,Исход!$B:$B,$A29)+
SUMIFS(Исход!$G:$G,Исход!$A:$A,P$1,Исход!$B:$B,$A29)+
SUMIFS(Исход!$H:$H,Исход!$A:$A,P$1,Исход!$B:$B,$A29)+
SUMIFS(Исход!$I:$I,Исход!$A:$A,P$1,Исход!$B:$B,$A29)-
SUMIFS(Исход!$L:$L,Исход!$A:$A,P$1,Исход!$B:$B,$A29)</f>
        <v>0</v>
      </c>
      <c r="Q29" s="2">
        <f>SUMIFS(Исход!$D:$D,Исход!$A:$A,Q$1,Исход!$B:$B,$A29)+
SUMIFS(Исход!$G:$G,Исход!$A:$A,Q$1,Исход!$B:$B,$A29)+
SUMIFS(Исход!$H:$H,Исход!$A:$A,Q$1,Исход!$B:$B,$A29)+
SUMIFS(Исход!$I:$I,Исход!$A:$A,Q$1,Исход!$B:$B,$A29)-
SUMIFS(Исход!$L:$L,Исход!$A:$A,Q$1,Исход!$B:$B,$A29)</f>
        <v>0</v>
      </c>
      <c r="R29" s="2">
        <f>SUMIFS(Исход!$D:$D,Исход!$A:$A,R$1,Исход!$B:$B,$A29)+
SUMIFS(Исход!$G:$G,Исход!$A:$A,R$1,Исход!$B:$B,$A29)+
SUMIFS(Исход!$H:$H,Исход!$A:$A,R$1,Исход!$B:$B,$A29)+
SUMIFS(Исход!$I:$I,Исход!$A:$A,R$1,Исход!$B:$B,$A29)-
SUMIFS(Исход!$L:$L,Исход!$A:$A,R$1,Исход!$B:$B,$A29)</f>
        <v>0</v>
      </c>
      <c r="S29" s="2">
        <f>SUMIFS(Исход!$D:$D,Исход!$A:$A,S$1,Исход!$B:$B,$A29)+
SUMIFS(Исход!$G:$G,Исход!$A:$A,S$1,Исход!$B:$B,$A29)+
SUMIFS(Исход!$H:$H,Исход!$A:$A,S$1,Исход!$B:$B,$A29)+
SUMIFS(Исход!$I:$I,Исход!$A:$A,S$1,Исход!$B:$B,$A29)-
SUMIFS(Исход!$L:$L,Исход!$A:$A,S$1,Исход!$B:$B,$A29)</f>
        <v>0</v>
      </c>
      <c r="T29" s="2">
        <f>SUMIFS(Исход!$D:$D,Исход!$A:$A,T$1,Исход!$B:$B,$A29)+
SUMIFS(Исход!$G:$G,Исход!$A:$A,T$1,Исход!$B:$B,$A29)+
SUMIFS(Исход!$H:$H,Исход!$A:$A,T$1,Исход!$B:$B,$A29)+
SUMIFS(Исход!$I:$I,Исход!$A:$A,T$1,Исход!$B:$B,$A29)-
SUMIFS(Исход!$L:$L,Исход!$A:$A,T$1,Исход!$B:$B,$A29)</f>
        <v>0</v>
      </c>
      <c r="U29" s="2">
        <f>SUMIFS(Исход!$D:$D,Исход!$A:$A,U$1,Исход!$B:$B,$A29)+
SUMIFS(Исход!$G:$G,Исход!$A:$A,U$1,Исход!$B:$B,$A29)+
SUMIFS(Исход!$H:$H,Исход!$A:$A,U$1,Исход!$B:$B,$A29)+
SUMIFS(Исход!$I:$I,Исход!$A:$A,U$1,Исход!$B:$B,$A29)-
SUMIFS(Исход!$L:$L,Исход!$A:$A,U$1,Исход!$B:$B,$A29)</f>
        <v>0</v>
      </c>
      <c r="V29" s="2">
        <f>SUMIFS(Исход!$D:$D,Исход!$A:$A,V$1,Исход!$B:$B,$A29)+
SUMIFS(Исход!$G:$G,Исход!$A:$A,V$1,Исход!$B:$B,$A29)+
SUMIFS(Исход!$H:$H,Исход!$A:$A,V$1,Исход!$B:$B,$A29)+
SUMIFS(Исход!$I:$I,Исход!$A:$A,V$1,Исход!$B:$B,$A29)-
SUMIFS(Исход!$L:$L,Исход!$A:$A,V$1,Исход!$B:$B,$A29)</f>
        <v>0</v>
      </c>
      <c r="W29" s="2">
        <f>SUMIFS(Исход!$D:$D,Исход!$A:$A,W$1,Исход!$B:$B,$A29)+
SUMIFS(Исход!$G:$G,Исход!$A:$A,W$1,Исход!$B:$B,$A29)+
SUMIFS(Исход!$H:$H,Исход!$A:$A,W$1,Исход!$B:$B,$A29)+
SUMIFS(Исход!$I:$I,Исход!$A:$A,W$1,Исход!$B:$B,$A29)-
SUMIFS(Исход!$L:$L,Исход!$A:$A,W$1,Исход!$B:$B,$A29)</f>
        <v>0</v>
      </c>
      <c r="X29" s="2">
        <f>SUMIFS(Исход!$D:$D,Исход!$A:$A,X$1,Исход!$B:$B,$A29)+
SUMIFS(Исход!$G:$G,Исход!$A:$A,X$1,Исход!$B:$B,$A29)+
SUMIFS(Исход!$H:$H,Исход!$A:$A,X$1,Исход!$B:$B,$A29)+
SUMIFS(Исход!$I:$I,Исход!$A:$A,X$1,Исход!$B:$B,$A29)-
SUMIFS(Исход!$L:$L,Исход!$A:$A,X$1,Исход!$B:$B,$A29)</f>
        <v>0</v>
      </c>
      <c r="Y29" s="2">
        <f>SUMIFS(Исход!$D:$D,Исход!$A:$A,Y$1,Исход!$B:$B,$A29)+
SUMIFS(Исход!$G:$G,Исход!$A:$A,Y$1,Исход!$B:$B,$A29)+
SUMIFS(Исход!$H:$H,Исход!$A:$A,Y$1,Исход!$B:$B,$A29)+
SUMIFS(Исход!$I:$I,Исход!$A:$A,Y$1,Исход!$B:$B,$A29)-
SUMIFS(Исход!$L:$L,Исход!$A:$A,Y$1,Исход!$B:$B,$A29)</f>
        <v>0</v>
      </c>
      <c r="Z29" s="2">
        <f>SUMIFS(Исход!$D:$D,Исход!$A:$A,Z$1,Исход!$B:$B,$A29)+
SUMIFS(Исход!$G:$G,Исход!$A:$A,Z$1,Исход!$B:$B,$A29)+
SUMIFS(Исход!$H:$H,Исход!$A:$A,Z$1,Исход!$B:$B,$A29)+
SUMIFS(Исход!$I:$I,Исход!$A:$A,Z$1,Исход!$B:$B,$A29)-
SUMIFS(Исход!$L:$L,Исход!$A:$A,Z$1,Исход!$B:$B,$A29)</f>
        <v>0</v>
      </c>
      <c r="AA29" s="2">
        <f>SUMIFS(Исход!$D:$D,Исход!$A:$A,AA$1,Исход!$B:$B,$A29)+
SUMIFS(Исход!$G:$G,Исход!$A:$A,AA$1,Исход!$B:$B,$A29)+
SUMIFS(Исход!$H:$H,Исход!$A:$A,AA$1,Исход!$B:$B,$A29)+
SUMIFS(Исход!$I:$I,Исход!$A:$A,AA$1,Исход!$B:$B,$A29)-
SUMIFS(Исход!$L:$L,Исход!$A:$A,AA$1,Исход!$B:$B,$A29)</f>
        <v>0</v>
      </c>
      <c r="AB29" s="2">
        <f>SUMIFS(Исход!$D:$D,Исход!$A:$A,AB$1,Исход!$B:$B,$A29)+
SUMIFS(Исход!$G:$G,Исход!$A:$A,AB$1,Исход!$B:$B,$A29)+
SUMIFS(Исход!$H:$H,Исход!$A:$A,AB$1,Исход!$B:$B,$A29)+
SUMIFS(Исход!$I:$I,Исход!$A:$A,AB$1,Исход!$B:$B,$A29)-
SUMIFS(Исход!$L:$L,Исход!$A:$A,AB$1,Исход!$B:$B,$A29)</f>
        <v>0</v>
      </c>
      <c r="AC29" s="2">
        <f>SUMIFS(Исход!$D:$D,Исход!$A:$A,AC$1,Исход!$B:$B,$A29)+
SUMIFS(Исход!$G:$G,Исход!$A:$A,AC$1,Исход!$B:$B,$A29)+
SUMIFS(Исход!$H:$H,Исход!$A:$A,AC$1,Исход!$B:$B,$A29)+
SUMIFS(Исход!$I:$I,Исход!$A:$A,AC$1,Исход!$B:$B,$A29)-
SUMIFS(Исход!$L:$L,Исход!$A:$A,AC$1,Исход!$B:$B,$A29)</f>
        <v>0</v>
      </c>
      <c r="AD29" s="2">
        <f>SUMIFS(Исход!$D:$D,Исход!$A:$A,AD$1,Исход!$B:$B,$A29)+
SUMIFS(Исход!$G:$G,Исход!$A:$A,AD$1,Исход!$B:$B,$A29)+
SUMIFS(Исход!$H:$H,Исход!$A:$A,AD$1,Исход!$B:$B,$A29)+
SUMIFS(Исход!$I:$I,Исход!$A:$A,AD$1,Исход!$B:$B,$A29)-
SUMIFS(Исход!$L:$L,Исход!$A:$A,AD$1,Исход!$B:$B,$A29)</f>
        <v>0</v>
      </c>
      <c r="AE29" s="2">
        <f>SUMIFS(Исход!$D:$D,Исход!$A:$A,AE$1,Исход!$B:$B,$A29)+
SUMIFS(Исход!$G:$G,Исход!$A:$A,AE$1,Исход!$B:$B,$A29)+
SUMIFS(Исход!$H:$H,Исход!$A:$A,AE$1,Исход!$B:$B,$A29)+
SUMIFS(Исход!$I:$I,Исход!$A:$A,AE$1,Исход!$B:$B,$A29)-
SUMIFS(Исход!$L:$L,Исход!$A:$A,AE$1,Исход!$B:$B,$A29)</f>
        <v>0</v>
      </c>
      <c r="AF29" s="2">
        <f>SUMIFS(Исход!$D:$D,Исход!$A:$A,AF$1,Исход!$B:$B,$A29)+
SUMIFS(Исход!$G:$G,Исход!$A:$A,AF$1,Исход!$B:$B,$A29)+
SUMIFS(Исход!$H:$H,Исход!$A:$A,AF$1,Исход!$B:$B,$A29)+
SUMIFS(Исход!$I:$I,Исход!$A:$A,AF$1,Исход!$B:$B,$A29)-
SUMIFS(Исход!$L:$L,Исход!$A:$A,AF$1,Исход!$B:$B,$A29)</f>
        <v>0</v>
      </c>
      <c r="AG29" s="57">
        <f>SUMIFS(Исход!$D:$D,Исход!$A:$A,AG$1,Исход!$B:$B,$A29)+
SUMIFS(Исход!$G:$G,Исход!$A:$A,AG$1,Исход!$B:$B,$A29)+
SUMIFS(Исход!$H:$H,Исход!$A:$A,AG$1,Исход!$B:$B,$A29)+
SUMIFS(Исход!$I:$I,Исход!$A:$A,AG$1,Исход!$B:$B,$A29)-
SUMIFS(Исход!$L:$L,Исход!$A:$A,AG$1,Исход!$B:$B,$A29)</f>
        <v>0</v>
      </c>
    </row>
    <row r="30" spans="1:33" hidden="1" outlineLevel="1" x14ac:dyDescent="0.25">
      <c r="A30" s="103">
        <v>0.54166666666666663</v>
      </c>
      <c r="B30" s="123">
        <v>0.5625</v>
      </c>
      <c r="C30" s="63">
        <f>SUMIFS(Исход!$D:$D,Исход!$A:$A,C$1,Исход!$B:$B,$A30)+
SUMIFS(Исход!$G:$G,Исход!$A:$A,C$1,Исход!$B:$B,$A30)+
SUMIFS(Исход!$H:$H,Исход!$A:$A,C$1,Исход!$B:$B,$A30)+
SUMIFS(Исход!$I:$I,Исход!$A:$A,C$1,Исход!$B:$B,$A30)-
SUMIFS(Исход!$L:$L,Исход!$A:$A,C$1,Исход!$B:$B,$A30)</f>
        <v>0</v>
      </c>
      <c r="D30" s="2">
        <f>SUMIFS(Исход!$D:$D,Исход!$A:$A,D$1,Исход!$B:$B,$A30)+
SUMIFS(Исход!$G:$G,Исход!$A:$A,D$1,Исход!$B:$B,$A30)+
SUMIFS(Исход!$H:$H,Исход!$A:$A,D$1,Исход!$B:$B,$A30)+
SUMIFS(Исход!$I:$I,Исход!$A:$A,D$1,Исход!$B:$B,$A30)-
SUMIFS(Исход!$L:$L,Исход!$A:$A,D$1,Исход!$B:$B,$A30)</f>
        <v>0</v>
      </c>
      <c r="E30" s="2">
        <f>SUMIFS(Исход!$D:$D,Исход!$A:$A,E$1,Исход!$B:$B,$A30)+
SUMIFS(Исход!$G:$G,Исход!$A:$A,E$1,Исход!$B:$B,$A30)+
SUMIFS(Исход!$H:$H,Исход!$A:$A,E$1,Исход!$B:$B,$A30)+
SUMIFS(Исход!$I:$I,Исход!$A:$A,E$1,Исход!$B:$B,$A30)-
SUMIFS(Исход!$L:$L,Исход!$A:$A,E$1,Исход!$B:$B,$A30)</f>
        <v>0</v>
      </c>
      <c r="F30" s="2">
        <f>SUMIFS(Исход!$D:$D,Исход!$A:$A,F$1,Исход!$B:$B,$A30)+
SUMIFS(Исход!$G:$G,Исход!$A:$A,F$1,Исход!$B:$B,$A30)+
SUMIFS(Исход!$H:$H,Исход!$A:$A,F$1,Исход!$B:$B,$A30)+
SUMIFS(Исход!$I:$I,Исход!$A:$A,F$1,Исход!$B:$B,$A30)-
SUMIFS(Исход!$L:$L,Исход!$A:$A,F$1,Исход!$B:$B,$A30)</f>
        <v>0</v>
      </c>
      <c r="G30" s="2">
        <f>SUMIFS(Исход!$D:$D,Исход!$A:$A,G$1,Исход!$B:$B,$A30)+
SUMIFS(Исход!$G:$G,Исход!$A:$A,G$1,Исход!$B:$B,$A30)+
SUMIFS(Исход!$H:$H,Исход!$A:$A,G$1,Исход!$B:$B,$A30)+
SUMIFS(Исход!$I:$I,Исход!$A:$A,G$1,Исход!$B:$B,$A30)-
SUMIFS(Исход!$L:$L,Исход!$A:$A,G$1,Исход!$B:$B,$A30)</f>
        <v>0</v>
      </c>
      <c r="H30" s="2">
        <f>SUMIFS(Исход!$D:$D,Исход!$A:$A,H$1,Исход!$B:$B,$A30)+
SUMIFS(Исход!$G:$G,Исход!$A:$A,H$1,Исход!$B:$B,$A30)+
SUMIFS(Исход!$H:$H,Исход!$A:$A,H$1,Исход!$B:$B,$A30)+
SUMIFS(Исход!$I:$I,Исход!$A:$A,H$1,Исход!$B:$B,$A30)-
SUMIFS(Исход!$L:$L,Исход!$A:$A,H$1,Исход!$B:$B,$A30)</f>
        <v>0</v>
      </c>
      <c r="I30" s="2">
        <f>SUMIFS(Исход!$D:$D,Исход!$A:$A,I$1,Исход!$B:$B,$A30)+
SUMIFS(Исход!$G:$G,Исход!$A:$A,I$1,Исход!$B:$B,$A30)+
SUMIFS(Исход!$H:$H,Исход!$A:$A,I$1,Исход!$B:$B,$A30)+
SUMIFS(Исход!$I:$I,Исход!$A:$A,I$1,Исход!$B:$B,$A30)-
SUMIFS(Исход!$L:$L,Исход!$A:$A,I$1,Исход!$B:$B,$A30)</f>
        <v>0</v>
      </c>
      <c r="J30" s="2">
        <f>SUMIFS(Исход!$D:$D,Исход!$A:$A,J$1,Исход!$B:$B,$A30)+
SUMIFS(Исход!$G:$G,Исход!$A:$A,J$1,Исход!$B:$B,$A30)+
SUMIFS(Исход!$H:$H,Исход!$A:$A,J$1,Исход!$B:$B,$A30)+
SUMIFS(Исход!$I:$I,Исход!$A:$A,J$1,Исход!$B:$B,$A30)-
SUMIFS(Исход!$L:$L,Исход!$A:$A,J$1,Исход!$B:$B,$A30)</f>
        <v>0</v>
      </c>
      <c r="K30" s="2">
        <f>SUMIFS(Исход!$D:$D,Исход!$A:$A,K$1,Исход!$B:$B,$A30)+
SUMIFS(Исход!$G:$G,Исход!$A:$A,K$1,Исход!$B:$B,$A30)+
SUMIFS(Исход!$H:$H,Исход!$A:$A,K$1,Исход!$B:$B,$A30)+
SUMIFS(Исход!$I:$I,Исход!$A:$A,K$1,Исход!$B:$B,$A30)-
SUMIFS(Исход!$L:$L,Исход!$A:$A,K$1,Исход!$B:$B,$A30)</f>
        <v>0</v>
      </c>
      <c r="L30" s="2">
        <f>SUMIFS(Исход!$D:$D,Исход!$A:$A,L$1,Исход!$B:$B,$A30)+
SUMIFS(Исход!$G:$G,Исход!$A:$A,L$1,Исход!$B:$B,$A30)+
SUMIFS(Исход!$H:$H,Исход!$A:$A,L$1,Исход!$B:$B,$A30)+
SUMIFS(Исход!$I:$I,Исход!$A:$A,L$1,Исход!$B:$B,$A30)-
SUMIFS(Исход!$L:$L,Исход!$A:$A,L$1,Исход!$B:$B,$A30)</f>
        <v>0</v>
      </c>
      <c r="M30" s="2">
        <f>SUMIFS(Исход!$D:$D,Исход!$A:$A,M$1,Исход!$B:$B,$A30)+
SUMIFS(Исход!$G:$G,Исход!$A:$A,M$1,Исход!$B:$B,$A30)+
SUMIFS(Исход!$H:$H,Исход!$A:$A,M$1,Исход!$B:$B,$A30)+
SUMIFS(Исход!$I:$I,Исход!$A:$A,M$1,Исход!$B:$B,$A30)-
SUMIFS(Исход!$L:$L,Исход!$A:$A,M$1,Исход!$B:$B,$A30)</f>
        <v>0</v>
      </c>
      <c r="N30" s="2">
        <f>SUMIFS(Исход!$D:$D,Исход!$A:$A,N$1,Исход!$B:$B,$A30)+
SUMIFS(Исход!$G:$G,Исход!$A:$A,N$1,Исход!$B:$B,$A30)+
SUMIFS(Исход!$H:$H,Исход!$A:$A,N$1,Исход!$B:$B,$A30)+
SUMIFS(Исход!$I:$I,Исход!$A:$A,N$1,Исход!$B:$B,$A30)-
SUMIFS(Исход!$L:$L,Исход!$A:$A,N$1,Исход!$B:$B,$A30)</f>
        <v>0</v>
      </c>
      <c r="O30" s="2">
        <f>SUMIFS(Исход!$D:$D,Исход!$A:$A,O$1,Исход!$B:$B,$A30)+
SUMIFS(Исход!$G:$G,Исход!$A:$A,O$1,Исход!$B:$B,$A30)+
SUMIFS(Исход!$H:$H,Исход!$A:$A,O$1,Исход!$B:$B,$A30)+
SUMIFS(Исход!$I:$I,Исход!$A:$A,O$1,Исход!$B:$B,$A30)-
SUMIFS(Исход!$L:$L,Исход!$A:$A,O$1,Исход!$B:$B,$A30)</f>
        <v>0</v>
      </c>
      <c r="P30" s="2">
        <f>SUMIFS(Исход!$D:$D,Исход!$A:$A,P$1,Исход!$B:$B,$A30)+
SUMIFS(Исход!$G:$G,Исход!$A:$A,P$1,Исход!$B:$B,$A30)+
SUMIFS(Исход!$H:$H,Исход!$A:$A,P$1,Исход!$B:$B,$A30)+
SUMIFS(Исход!$I:$I,Исход!$A:$A,P$1,Исход!$B:$B,$A30)-
SUMIFS(Исход!$L:$L,Исход!$A:$A,P$1,Исход!$B:$B,$A30)</f>
        <v>0</v>
      </c>
      <c r="Q30" s="2">
        <f>SUMIFS(Исход!$D:$D,Исход!$A:$A,Q$1,Исход!$B:$B,$A30)+
SUMIFS(Исход!$G:$G,Исход!$A:$A,Q$1,Исход!$B:$B,$A30)+
SUMIFS(Исход!$H:$H,Исход!$A:$A,Q$1,Исход!$B:$B,$A30)+
SUMIFS(Исход!$I:$I,Исход!$A:$A,Q$1,Исход!$B:$B,$A30)-
SUMIFS(Исход!$L:$L,Исход!$A:$A,Q$1,Исход!$B:$B,$A30)</f>
        <v>0</v>
      </c>
      <c r="R30" s="2">
        <f>SUMIFS(Исход!$D:$D,Исход!$A:$A,R$1,Исход!$B:$B,$A30)+
SUMIFS(Исход!$G:$G,Исход!$A:$A,R$1,Исход!$B:$B,$A30)+
SUMIFS(Исход!$H:$H,Исход!$A:$A,R$1,Исход!$B:$B,$A30)+
SUMIFS(Исход!$I:$I,Исход!$A:$A,R$1,Исход!$B:$B,$A30)-
SUMIFS(Исход!$L:$L,Исход!$A:$A,R$1,Исход!$B:$B,$A30)</f>
        <v>0</v>
      </c>
      <c r="S30" s="2">
        <f>SUMIFS(Исход!$D:$D,Исход!$A:$A,S$1,Исход!$B:$B,$A30)+
SUMIFS(Исход!$G:$G,Исход!$A:$A,S$1,Исход!$B:$B,$A30)+
SUMIFS(Исход!$H:$H,Исход!$A:$A,S$1,Исход!$B:$B,$A30)+
SUMIFS(Исход!$I:$I,Исход!$A:$A,S$1,Исход!$B:$B,$A30)-
SUMIFS(Исход!$L:$L,Исход!$A:$A,S$1,Исход!$B:$B,$A30)</f>
        <v>0</v>
      </c>
      <c r="T30" s="2">
        <f>SUMIFS(Исход!$D:$D,Исход!$A:$A,T$1,Исход!$B:$B,$A30)+
SUMIFS(Исход!$G:$G,Исход!$A:$A,T$1,Исход!$B:$B,$A30)+
SUMIFS(Исход!$H:$H,Исход!$A:$A,T$1,Исход!$B:$B,$A30)+
SUMIFS(Исход!$I:$I,Исход!$A:$A,T$1,Исход!$B:$B,$A30)-
SUMIFS(Исход!$L:$L,Исход!$A:$A,T$1,Исход!$B:$B,$A30)</f>
        <v>0</v>
      </c>
      <c r="U30" s="2">
        <f>SUMIFS(Исход!$D:$D,Исход!$A:$A,U$1,Исход!$B:$B,$A30)+
SUMIFS(Исход!$G:$G,Исход!$A:$A,U$1,Исход!$B:$B,$A30)+
SUMIFS(Исход!$H:$H,Исход!$A:$A,U$1,Исход!$B:$B,$A30)+
SUMIFS(Исход!$I:$I,Исход!$A:$A,U$1,Исход!$B:$B,$A30)-
SUMIFS(Исход!$L:$L,Исход!$A:$A,U$1,Исход!$B:$B,$A30)</f>
        <v>0</v>
      </c>
      <c r="V30" s="2">
        <f>SUMIFS(Исход!$D:$D,Исход!$A:$A,V$1,Исход!$B:$B,$A30)+
SUMIFS(Исход!$G:$G,Исход!$A:$A,V$1,Исход!$B:$B,$A30)+
SUMIFS(Исход!$H:$H,Исход!$A:$A,V$1,Исход!$B:$B,$A30)+
SUMIFS(Исход!$I:$I,Исход!$A:$A,V$1,Исход!$B:$B,$A30)-
SUMIFS(Исход!$L:$L,Исход!$A:$A,V$1,Исход!$B:$B,$A30)</f>
        <v>0</v>
      </c>
      <c r="W30" s="2">
        <f>SUMIFS(Исход!$D:$D,Исход!$A:$A,W$1,Исход!$B:$B,$A30)+
SUMIFS(Исход!$G:$G,Исход!$A:$A,W$1,Исход!$B:$B,$A30)+
SUMIFS(Исход!$H:$H,Исход!$A:$A,W$1,Исход!$B:$B,$A30)+
SUMIFS(Исход!$I:$I,Исход!$A:$A,W$1,Исход!$B:$B,$A30)-
SUMIFS(Исход!$L:$L,Исход!$A:$A,W$1,Исход!$B:$B,$A30)</f>
        <v>0</v>
      </c>
      <c r="X30" s="2">
        <f>SUMIFS(Исход!$D:$D,Исход!$A:$A,X$1,Исход!$B:$B,$A30)+
SUMIFS(Исход!$G:$G,Исход!$A:$A,X$1,Исход!$B:$B,$A30)+
SUMIFS(Исход!$H:$H,Исход!$A:$A,X$1,Исход!$B:$B,$A30)+
SUMIFS(Исход!$I:$I,Исход!$A:$A,X$1,Исход!$B:$B,$A30)-
SUMIFS(Исход!$L:$L,Исход!$A:$A,X$1,Исход!$B:$B,$A30)</f>
        <v>0</v>
      </c>
      <c r="Y30" s="2">
        <f>SUMIFS(Исход!$D:$D,Исход!$A:$A,Y$1,Исход!$B:$B,$A30)+
SUMIFS(Исход!$G:$G,Исход!$A:$A,Y$1,Исход!$B:$B,$A30)+
SUMIFS(Исход!$H:$H,Исход!$A:$A,Y$1,Исход!$B:$B,$A30)+
SUMIFS(Исход!$I:$I,Исход!$A:$A,Y$1,Исход!$B:$B,$A30)-
SUMIFS(Исход!$L:$L,Исход!$A:$A,Y$1,Исход!$B:$B,$A30)</f>
        <v>0</v>
      </c>
      <c r="Z30" s="2">
        <f>SUMIFS(Исход!$D:$D,Исход!$A:$A,Z$1,Исход!$B:$B,$A30)+
SUMIFS(Исход!$G:$G,Исход!$A:$A,Z$1,Исход!$B:$B,$A30)+
SUMIFS(Исход!$H:$H,Исход!$A:$A,Z$1,Исход!$B:$B,$A30)+
SUMIFS(Исход!$I:$I,Исход!$A:$A,Z$1,Исход!$B:$B,$A30)-
SUMIFS(Исход!$L:$L,Исход!$A:$A,Z$1,Исход!$B:$B,$A30)</f>
        <v>0</v>
      </c>
      <c r="AA30" s="2">
        <f>SUMIFS(Исход!$D:$D,Исход!$A:$A,AA$1,Исход!$B:$B,$A30)+
SUMIFS(Исход!$G:$G,Исход!$A:$A,AA$1,Исход!$B:$B,$A30)+
SUMIFS(Исход!$H:$H,Исход!$A:$A,AA$1,Исход!$B:$B,$A30)+
SUMIFS(Исход!$I:$I,Исход!$A:$A,AA$1,Исход!$B:$B,$A30)-
SUMIFS(Исход!$L:$L,Исход!$A:$A,AA$1,Исход!$B:$B,$A30)</f>
        <v>0</v>
      </c>
      <c r="AB30" s="2">
        <f>SUMIFS(Исход!$D:$D,Исход!$A:$A,AB$1,Исход!$B:$B,$A30)+
SUMIFS(Исход!$G:$G,Исход!$A:$A,AB$1,Исход!$B:$B,$A30)+
SUMIFS(Исход!$H:$H,Исход!$A:$A,AB$1,Исход!$B:$B,$A30)+
SUMIFS(Исход!$I:$I,Исход!$A:$A,AB$1,Исход!$B:$B,$A30)-
SUMIFS(Исход!$L:$L,Исход!$A:$A,AB$1,Исход!$B:$B,$A30)</f>
        <v>0</v>
      </c>
      <c r="AC30" s="2">
        <f>SUMIFS(Исход!$D:$D,Исход!$A:$A,AC$1,Исход!$B:$B,$A30)+
SUMIFS(Исход!$G:$G,Исход!$A:$A,AC$1,Исход!$B:$B,$A30)+
SUMIFS(Исход!$H:$H,Исход!$A:$A,AC$1,Исход!$B:$B,$A30)+
SUMIFS(Исход!$I:$I,Исход!$A:$A,AC$1,Исход!$B:$B,$A30)-
SUMIFS(Исход!$L:$L,Исход!$A:$A,AC$1,Исход!$B:$B,$A30)</f>
        <v>0</v>
      </c>
      <c r="AD30" s="2">
        <f>SUMIFS(Исход!$D:$D,Исход!$A:$A,AD$1,Исход!$B:$B,$A30)+
SUMIFS(Исход!$G:$G,Исход!$A:$A,AD$1,Исход!$B:$B,$A30)+
SUMIFS(Исход!$H:$H,Исход!$A:$A,AD$1,Исход!$B:$B,$A30)+
SUMIFS(Исход!$I:$I,Исход!$A:$A,AD$1,Исход!$B:$B,$A30)-
SUMIFS(Исход!$L:$L,Исход!$A:$A,AD$1,Исход!$B:$B,$A30)</f>
        <v>0</v>
      </c>
      <c r="AE30" s="2">
        <f>SUMIFS(Исход!$D:$D,Исход!$A:$A,AE$1,Исход!$B:$B,$A30)+
SUMIFS(Исход!$G:$G,Исход!$A:$A,AE$1,Исход!$B:$B,$A30)+
SUMIFS(Исход!$H:$H,Исход!$A:$A,AE$1,Исход!$B:$B,$A30)+
SUMIFS(Исход!$I:$I,Исход!$A:$A,AE$1,Исход!$B:$B,$A30)-
SUMIFS(Исход!$L:$L,Исход!$A:$A,AE$1,Исход!$B:$B,$A30)</f>
        <v>0</v>
      </c>
      <c r="AF30" s="2">
        <f>SUMIFS(Исход!$D:$D,Исход!$A:$A,AF$1,Исход!$B:$B,$A30)+
SUMIFS(Исход!$G:$G,Исход!$A:$A,AF$1,Исход!$B:$B,$A30)+
SUMIFS(Исход!$H:$H,Исход!$A:$A,AF$1,Исход!$B:$B,$A30)+
SUMIFS(Исход!$I:$I,Исход!$A:$A,AF$1,Исход!$B:$B,$A30)-
SUMIFS(Исход!$L:$L,Исход!$A:$A,AF$1,Исход!$B:$B,$A30)</f>
        <v>0</v>
      </c>
      <c r="AG30" s="57">
        <f>SUMIFS(Исход!$D:$D,Исход!$A:$A,AG$1,Исход!$B:$B,$A30)+
SUMIFS(Исход!$G:$G,Исход!$A:$A,AG$1,Исход!$B:$B,$A30)+
SUMIFS(Исход!$H:$H,Исход!$A:$A,AG$1,Исход!$B:$B,$A30)+
SUMIFS(Исход!$I:$I,Исход!$A:$A,AG$1,Исход!$B:$B,$A30)-
SUMIFS(Исход!$L:$L,Исход!$A:$A,AG$1,Исход!$B:$B,$A30)</f>
        <v>0</v>
      </c>
    </row>
    <row r="31" spans="1:33" hidden="1" outlineLevel="1" x14ac:dyDescent="0.25">
      <c r="A31" s="103">
        <v>0.5625</v>
      </c>
      <c r="B31" s="123">
        <v>0.58333333333333337</v>
      </c>
      <c r="C31" s="63">
        <f>SUMIFS(Исход!$D:$D,Исход!$A:$A,C$1,Исход!$B:$B,$A31)+
SUMIFS(Исход!$G:$G,Исход!$A:$A,C$1,Исход!$B:$B,$A31)+
SUMIFS(Исход!$H:$H,Исход!$A:$A,C$1,Исход!$B:$B,$A31)+
SUMIFS(Исход!$I:$I,Исход!$A:$A,C$1,Исход!$B:$B,$A31)-
SUMIFS(Исход!$L:$L,Исход!$A:$A,C$1,Исход!$B:$B,$A31)</f>
        <v>0</v>
      </c>
      <c r="D31" s="2">
        <f>SUMIFS(Исход!$D:$D,Исход!$A:$A,D$1,Исход!$B:$B,$A31)+
SUMIFS(Исход!$G:$G,Исход!$A:$A,D$1,Исход!$B:$B,$A31)+
SUMIFS(Исход!$H:$H,Исход!$A:$A,D$1,Исход!$B:$B,$A31)+
SUMIFS(Исход!$I:$I,Исход!$A:$A,D$1,Исход!$B:$B,$A31)-
SUMIFS(Исход!$L:$L,Исход!$A:$A,D$1,Исход!$B:$B,$A31)</f>
        <v>0</v>
      </c>
      <c r="E31" s="2">
        <f>SUMIFS(Исход!$D:$D,Исход!$A:$A,E$1,Исход!$B:$B,$A31)+
SUMIFS(Исход!$G:$G,Исход!$A:$A,E$1,Исход!$B:$B,$A31)+
SUMIFS(Исход!$H:$H,Исход!$A:$A,E$1,Исход!$B:$B,$A31)+
SUMIFS(Исход!$I:$I,Исход!$A:$A,E$1,Исход!$B:$B,$A31)-
SUMIFS(Исход!$L:$L,Исход!$A:$A,E$1,Исход!$B:$B,$A31)</f>
        <v>0</v>
      </c>
      <c r="F31" s="2">
        <f>SUMIFS(Исход!$D:$D,Исход!$A:$A,F$1,Исход!$B:$B,$A31)+
SUMIFS(Исход!$G:$G,Исход!$A:$A,F$1,Исход!$B:$B,$A31)+
SUMIFS(Исход!$H:$H,Исход!$A:$A,F$1,Исход!$B:$B,$A31)+
SUMIFS(Исход!$I:$I,Исход!$A:$A,F$1,Исход!$B:$B,$A31)-
SUMIFS(Исход!$L:$L,Исход!$A:$A,F$1,Исход!$B:$B,$A31)</f>
        <v>0</v>
      </c>
      <c r="G31" s="2">
        <f>SUMIFS(Исход!$D:$D,Исход!$A:$A,G$1,Исход!$B:$B,$A31)+
SUMIFS(Исход!$G:$G,Исход!$A:$A,G$1,Исход!$B:$B,$A31)+
SUMIFS(Исход!$H:$H,Исход!$A:$A,G$1,Исход!$B:$B,$A31)+
SUMIFS(Исход!$I:$I,Исход!$A:$A,G$1,Исход!$B:$B,$A31)-
SUMIFS(Исход!$L:$L,Исход!$A:$A,G$1,Исход!$B:$B,$A31)</f>
        <v>0</v>
      </c>
      <c r="H31" s="2">
        <f>SUMIFS(Исход!$D:$D,Исход!$A:$A,H$1,Исход!$B:$B,$A31)+
SUMIFS(Исход!$G:$G,Исход!$A:$A,H$1,Исход!$B:$B,$A31)+
SUMIFS(Исход!$H:$H,Исход!$A:$A,H$1,Исход!$B:$B,$A31)+
SUMIFS(Исход!$I:$I,Исход!$A:$A,H$1,Исход!$B:$B,$A31)-
SUMIFS(Исход!$L:$L,Исход!$A:$A,H$1,Исход!$B:$B,$A31)</f>
        <v>0</v>
      </c>
      <c r="I31" s="2">
        <f>SUMIFS(Исход!$D:$D,Исход!$A:$A,I$1,Исход!$B:$B,$A31)+
SUMIFS(Исход!$G:$G,Исход!$A:$A,I$1,Исход!$B:$B,$A31)+
SUMIFS(Исход!$H:$H,Исход!$A:$A,I$1,Исход!$B:$B,$A31)+
SUMIFS(Исход!$I:$I,Исход!$A:$A,I$1,Исход!$B:$B,$A31)-
SUMIFS(Исход!$L:$L,Исход!$A:$A,I$1,Исход!$B:$B,$A31)</f>
        <v>0</v>
      </c>
      <c r="J31" s="2">
        <f>SUMIFS(Исход!$D:$D,Исход!$A:$A,J$1,Исход!$B:$B,$A31)+
SUMIFS(Исход!$G:$G,Исход!$A:$A,J$1,Исход!$B:$B,$A31)+
SUMIFS(Исход!$H:$H,Исход!$A:$A,J$1,Исход!$B:$B,$A31)+
SUMIFS(Исход!$I:$I,Исход!$A:$A,J$1,Исход!$B:$B,$A31)-
SUMIFS(Исход!$L:$L,Исход!$A:$A,J$1,Исход!$B:$B,$A31)</f>
        <v>0</v>
      </c>
      <c r="K31" s="2">
        <f>SUMIFS(Исход!$D:$D,Исход!$A:$A,K$1,Исход!$B:$B,$A31)+
SUMIFS(Исход!$G:$G,Исход!$A:$A,K$1,Исход!$B:$B,$A31)+
SUMIFS(Исход!$H:$H,Исход!$A:$A,K$1,Исход!$B:$B,$A31)+
SUMIFS(Исход!$I:$I,Исход!$A:$A,K$1,Исход!$B:$B,$A31)-
SUMIFS(Исход!$L:$L,Исход!$A:$A,K$1,Исход!$B:$B,$A31)</f>
        <v>0</v>
      </c>
      <c r="L31" s="2">
        <f>SUMIFS(Исход!$D:$D,Исход!$A:$A,L$1,Исход!$B:$B,$A31)+
SUMIFS(Исход!$G:$G,Исход!$A:$A,L$1,Исход!$B:$B,$A31)+
SUMIFS(Исход!$H:$H,Исход!$A:$A,L$1,Исход!$B:$B,$A31)+
SUMIFS(Исход!$I:$I,Исход!$A:$A,L$1,Исход!$B:$B,$A31)-
SUMIFS(Исход!$L:$L,Исход!$A:$A,L$1,Исход!$B:$B,$A31)</f>
        <v>0</v>
      </c>
      <c r="M31" s="2">
        <f>SUMIFS(Исход!$D:$D,Исход!$A:$A,M$1,Исход!$B:$B,$A31)+
SUMIFS(Исход!$G:$G,Исход!$A:$A,M$1,Исход!$B:$B,$A31)+
SUMIFS(Исход!$H:$H,Исход!$A:$A,M$1,Исход!$B:$B,$A31)+
SUMIFS(Исход!$I:$I,Исход!$A:$A,M$1,Исход!$B:$B,$A31)-
SUMIFS(Исход!$L:$L,Исход!$A:$A,M$1,Исход!$B:$B,$A31)</f>
        <v>0</v>
      </c>
      <c r="N31" s="2">
        <f>SUMIFS(Исход!$D:$D,Исход!$A:$A,N$1,Исход!$B:$B,$A31)+
SUMIFS(Исход!$G:$G,Исход!$A:$A,N$1,Исход!$B:$B,$A31)+
SUMIFS(Исход!$H:$H,Исход!$A:$A,N$1,Исход!$B:$B,$A31)+
SUMIFS(Исход!$I:$I,Исход!$A:$A,N$1,Исход!$B:$B,$A31)-
SUMIFS(Исход!$L:$L,Исход!$A:$A,N$1,Исход!$B:$B,$A31)</f>
        <v>0</v>
      </c>
      <c r="O31" s="2">
        <f>SUMIFS(Исход!$D:$D,Исход!$A:$A,O$1,Исход!$B:$B,$A31)+
SUMIFS(Исход!$G:$G,Исход!$A:$A,O$1,Исход!$B:$B,$A31)+
SUMIFS(Исход!$H:$H,Исход!$A:$A,O$1,Исход!$B:$B,$A31)+
SUMIFS(Исход!$I:$I,Исход!$A:$A,O$1,Исход!$B:$B,$A31)-
SUMIFS(Исход!$L:$L,Исход!$A:$A,O$1,Исход!$B:$B,$A31)</f>
        <v>0</v>
      </c>
      <c r="P31" s="2">
        <f>SUMIFS(Исход!$D:$D,Исход!$A:$A,P$1,Исход!$B:$B,$A31)+
SUMIFS(Исход!$G:$G,Исход!$A:$A,P$1,Исход!$B:$B,$A31)+
SUMIFS(Исход!$H:$H,Исход!$A:$A,P$1,Исход!$B:$B,$A31)+
SUMIFS(Исход!$I:$I,Исход!$A:$A,P$1,Исход!$B:$B,$A31)-
SUMIFS(Исход!$L:$L,Исход!$A:$A,P$1,Исход!$B:$B,$A31)</f>
        <v>0</v>
      </c>
      <c r="Q31" s="2">
        <f>SUMIFS(Исход!$D:$D,Исход!$A:$A,Q$1,Исход!$B:$B,$A31)+
SUMIFS(Исход!$G:$G,Исход!$A:$A,Q$1,Исход!$B:$B,$A31)+
SUMIFS(Исход!$H:$H,Исход!$A:$A,Q$1,Исход!$B:$B,$A31)+
SUMIFS(Исход!$I:$I,Исход!$A:$A,Q$1,Исход!$B:$B,$A31)-
SUMIFS(Исход!$L:$L,Исход!$A:$A,Q$1,Исход!$B:$B,$A31)</f>
        <v>0</v>
      </c>
      <c r="R31" s="2">
        <f>SUMIFS(Исход!$D:$D,Исход!$A:$A,R$1,Исход!$B:$B,$A31)+
SUMIFS(Исход!$G:$G,Исход!$A:$A,R$1,Исход!$B:$B,$A31)+
SUMIFS(Исход!$H:$H,Исход!$A:$A,R$1,Исход!$B:$B,$A31)+
SUMIFS(Исход!$I:$I,Исход!$A:$A,R$1,Исход!$B:$B,$A31)-
SUMIFS(Исход!$L:$L,Исход!$A:$A,R$1,Исход!$B:$B,$A31)</f>
        <v>0</v>
      </c>
      <c r="S31" s="2">
        <f>SUMIFS(Исход!$D:$D,Исход!$A:$A,S$1,Исход!$B:$B,$A31)+
SUMIFS(Исход!$G:$G,Исход!$A:$A,S$1,Исход!$B:$B,$A31)+
SUMIFS(Исход!$H:$H,Исход!$A:$A,S$1,Исход!$B:$B,$A31)+
SUMIFS(Исход!$I:$I,Исход!$A:$A,S$1,Исход!$B:$B,$A31)-
SUMIFS(Исход!$L:$L,Исход!$A:$A,S$1,Исход!$B:$B,$A31)</f>
        <v>0</v>
      </c>
      <c r="T31" s="2">
        <f>SUMIFS(Исход!$D:$D,Исход!$A:$A,T$1,Исход!$B:$B,$A31)+
SUMIFS(Исход!$G:$G,Исход!$A:$A,T$1,Исход!$B:$B,$A31)+
SUMIFS(Исход!$H:$H,Исход!$A:$A,T$1,Исход!$B:$B,$A31)+
SUMIFS(Исход!$I:$I,Исход!$A:$A,T$1,Исход!$B:$B,$A31)-
SUMIFS(Исход!$L:$L,Исход!$A:$A,T$1,Исход!$B:$B,$A31)</f>
        <v>0</v>
      </c>
      <c r="U31" s="2">
        <f>SUMIFS(Исход!$D:$D,Исход!$A:$A,U$1,Исход!$B:$B,$A31)+
SUMIFS(Исход!$G:$G,Исход!$A:$A,U$1,Исход!$B:$B,$A31)+
SUMIFS(Исход!$H:$H,Исход!$A:$A,U$1,Исход!$B:$B,$A31)+
SUMIFS(Исход!$I:$I,Исход!$A:$A,U$1,Исход!$B:$B,$A31)-
SUMIFS(Исход!$L:$L,Исход!$A:$A,U$1,Исход!$B:$B,$A31)</f>
        <v>0</v>
      </c>
      <c r="V31" s="2">
        <f>SUMIFS(Исход!$D:$D,Исход!$A:$A,V$1,Исход!$B:$B,$A31)+
SUMIFS(Исход!$G:$G,Исход!$A:$A,V$1,Исход!$B:$B,$A31)+
SUMIFS(Исход!$H:$H,Исход!$A:$A,V$1,Исход!$B:$B,$A31)+
SUMIFS(Исход!$I:$I,Исход!$A:$A,V$1,Исход!$B:$B,$A31)-
SUMIFS(Исход!$L:$L,Исход!$A:$A,V$1,Исход!$B:$B,$A31)</f>
        <v>0</v>
      </c>
      <c r="W31" s="2">
        <f>SUMIFS(Исход!$D:$D,Исход!$A:$A,W$1,Исход!$B:$B,$A31)+
SUMIFS(Исход!$G:$G,Исход!$A:$A,W$1,Исход!$B:$B,$A31)+
SUMIFS(Исход!$H:$H,Исход!$A:$A,W$1,Исход!$B:$B,$A31)+
SUMIFS(Исход!$I:$I,Исход!$A:$A,W$1,Исход!$B:$B,$A31)-
SUMIFS(Исход!$L:$L,Исход!$A:$A,W$1,Исход!$B:$B,$A31)</f>
        <v>0</v>
      </c>
      <c r="X31" s="2">
        <f>SUMIFS(Исход!$D:$D,Исход!$A:$A,X$1,Исход!$B:$B,$A31)+
SUMIFS(Исход!$G:$G,Исход!$A:$A,X$1,Исход!$B:$B,$A31)+
SUMIFS(Исход!$H:$H,Исход!$A:$A,X$1,Исход!$B:$B,$A31)+
SUMIFS(Исход!$I:$I,Исход!$A:$A,X$1,Исход!$B:$B,$A31)-
SUMIFS(Исход!$L:$L,Исход!$A:$A,X$1,Исход!$B:$B,$A31)</f>
        <v>0</v>
      </c>
      <c r="Y31" s="2">
        <f>SUMIFS(Исход!$D:$D,Исход!$A:$A,Y$1,Исход!$B:$B,$A31)+
SUMIFS(Исход!$G:$G,Исход!$A:$A,Y$1,Исход!$B:$B,$A31)+
SUMIFS(Исход!$H:$H,Исход!$A:$A,Y$1,Исход!$B:$B,$A31)+
SUMIFS(Исход!$I:$I,Исход!$A:$A,Y$1,Исход!$B:$B,$A31)-
SUMIFS(Исход!$L:$L,Исход!$A:$A,Y$1,Исход!$B:$B,$A31)</f>
        <v>0</v>
      </c>
      <c r="Z31" s="2">
        <f>SUMIFS(Исход!$D:$D,Исход!$A:$A,Z$1,Исход!$B:$B,$A31)+
SUMIFS(Исход!$G:$G,Исход!$A:$A,Z$1,Исход!$B:$B,$A31)+
SUMIFS(Исход!$H:$H,Исход!$A:$A,Z$1,Исход!$B:$B,$A31)+
SUMIFS(Исход!$I:$I,Исход!$A:$A,Z$1,Исход!$B:$B,$A31)-
SUMIFS(Исход!$L:$L,Исход!$A:$A,Z$1,Исход!$B:$B,$A31)</f>
        <v>0</v>
      </c>
      <c r="AA31" s="2">
        <f>SUMIFS(Исход!$D:$D,Исход!$A:$A,AA$1,Исход!$B:$B,$A31)+
SUMIFS(Исход!$G:$G,Исход!$A:$A,AA$1,Исход!$B:$B,$A31)+
SUMIFS(Исход!$H:$H,Исход!$A:$A,AA$1,Исход!$B:$B,$A31)+
SUMIFS(Исход!$I:$I,Исход!$A:$A,AA$1,Исход!$B:$B,$A31)-
SUMIFS(Исход!$L:$L,Исход!$A:$A,AA$1,Исход!$B:$B,$A31)</f>
        <v>0</v>
      </c>
      <c r="AB31" s="2">
        <f>SUMIFS(Исход!$D:$D,Исход!$A:$A,AB$1,Исход!$B:$B,$A31)+
SUMIFS(Исход!$G:$G,Исход!$A:$A,AB$1,Исход!$B:$B,$A31)+
SUMIFS(Исход!$H:$H,Исход!$A:$A,AB$1,Исход!$B:$B,$A31)+
SUMIFS(Исход!$I:$I,Исход!$A:$A,AB$1,Исход!$B:$B,$A31)-
SUMIFS(Исход!$L:$L,Исход!$A:$A,AB$1,Исход!$B:$B,$A31)</f>
        <v>0</v>
      </c>
      <c r="AC31" s="2">
        <f>SUMIFS(Исход!$D:$D,Исход!$A:$A,AC$1,Исход!$B:$B,$A31)+
SUMIFS(Исход!$G:$G,Исход!$A:$A,AC$1,Исход!$B:$B,$A31)+
SUMIFS(Исход!$H:$H,Исход!$A:$A,AC$1,Исход!$B:$B,$A31)+
SUMIFS(Исход!$I:$I,Исход!$A:$A,AC$1,Исход!$B:$B,$A31)-
SUMIFS(Исход!$L:$L,Исход!$A:$A,AC$1,Исход!$B:$B,$A31)</f>
        <v>0</v>
      </c>
      <c r="AD31" s="2">
        <f>SUMIFS(Исход!$D:$D,Исход!$A:$A,AD$1,Исход!$B:$B,$A31)+
SUMIFS(Исход!$G:$G,Исход!$A:$A,AD$1,Исход!$B:$B,$A31)+
SUMIFS(Исход!$H:$H,Исход!$A:$A,AD$1,Исход!$B:$B,$A31)+
SUMIFS(Исход!$I:$I,Исход!$A:$A,AD$1,Исход!$B:$B,$A31)-
SUMIFS(Исход!$L:$L,Исход!$A:$A,AD$1,Исход!$B:$B,$A31)</f>
        <v>0</v>
      </c>
      <c r="AE31" s="2">
        <f>SUMIFS(Исход!$D:$D,Исход!$A:$A,AE$1,Исход!$B:$B,$A31)+
SUMIFS(Исход!$G:$G,Исход!$A:$A,AE$1,Исход!$B:$B,$A31)+
SUMIFS(Исход!$H:$H,Исход!$A:$A,AE$1,Исход!$B:$B,$A31)+
SUMIFS(Исход!$I:$I,Исход!$A:$A,AE$1,Исход!$B:$B,$A31)-
SUMIFS(Исход!$L:$L,Исход!$A:$A,AE$1,Исход!$B:$B,$A31)</f>
        <v>0</v>
      </c>
      <c r="AF31" s="2">
        <f>SUMIFS(Исход!$D:$D,Исход!$A:$A,AF$1,Исход!$B:$B,$A31)+
SUMIFS(Исход!$G:$G,Исход!$A:$A,AF$1,Исход!$B:$B,$A31)+
SUMIFS(Исход!$H:$H,Исход!$A:$A,AF$1,Исход!$B:$B,$A31)+
SUMIFS(Исход!$I:$I,Исход!$A:$A,AF$1,Исход!$B:$B,$A31)-
SUMIFS(Исход!$L:$L,Исход!$A:$A,AF$1,Исход!$B:$B,$A31)</f>
        <v>0</v>
      </c>
      <c r="AG31" s="57">
        <f>SUMIFS(Исход!$D:$D,Исход!$A:$A,AG$1,Исход!$B:$B,$A31)+
SUMIFS(Исход!$G:$G,Исход!$A:$A,AG$1,Исход!$B:$B,$A31)+
SUMIFS(Исход!$H:$H,Исход!$A:$A,AG$1,Исход!$B:$B,$A31)+
SUMIFS(Исход!$I:$I,Исход!$A:$A,AG$1,Исход!$B:$B,$A31)-
SUMIFS(Исход!$L:$L,Исход!$A:$A,AG$1,Исход!$B:$B,$A31)</f>
        <v>0</v>
      </c>
    </row>
    <row r="32" spans="1:33" hidden="1" outlineLevel="1" x14ac:dyDescent="0.25">
      <c r="A32" s="103">
        <v>0.58333333333333337</v>
      </c>
      <c r="B32" s="123">
        <v>0.60416666666666663</v>
      </c>
      <c r="C32" s="63">
        <f>SUMIFS(Исход!$D:$D,Исход!$A:$A,C$1,Исход!$B:$B,$A32)+
SUMIFS(Исход!$G:$G,Исход!$A:$A,C$1,Исход!$B:$B,$A32)+
SUMIFS(Исход!$H:$H,Исход!$A:$A,C$1,Исход!$B:$B,$A32)+
SUMIFS(Исход!$I:$I,Исход!$A:$A,C$1,Исход!$B:$B,$A32)-
SUMIFS(Исход!$L:$L,Исход!$A:$A,C$1,Исход!$B:$B,$A32)</f>
        <v>0</v>
      </c>
      <c r="D32" s="2">
        <f>SUMIFS(Исход!$D:$D,Исход!$A:$A,D$1,Исход!$B:$B,$A32)+
SUMIFS(Исход!$G:$G,Исход!$A:$A,D$1,Исход!$B:$B,$A32)+
SUMIFS(Исход!$H:$H,Исход!$A:$A,D$1,Исход!$B:$B,$A32)+
SUMIFS(Исход!$I:$I,Исход!$A:$A,D$1,Исход!$B:$B,$A32)-
SUMIFS(Исход!$L:$L,Исход!$A:$A,D$1,Исход!$B:$B,$A32)</f>
        <v>0</v>
      </c>
      <c r="E32" s="2">
        <f>SUMIFS(Исход!$D:$D,Исход!$A:$A,E$1,Исход!$B:$B,$A32)+
SUMIFS(Исход!$G:$G,Исход!$A:$A,E$1,Исход!$B:$B,$A32)+
SUMIFS(Исход!$H:$H,Исход!$A:$A,E$1,Исход!$B:$B,$A32)+
SUMIFS(Исход!$I:$I,Исход!$A:$A,E$1,Исход!$B:$B,$A32)-
SUMIFS(Исход!$L:$L,Исход!$A:$A,E$1,Исход!$B:$B,$A32)</f>
        <v>0</v>
      </c>
      <c r="F32" s="2">
        <f>SUMIFS(Исход!$D:$D,Исход!$A:$A,F$1,Исход!$B:$B,$A32)+
SUMIFS(Исход!$G:$G,Исход!$A:$A,F$1,Исход!$B:$B,$A32)+
SUMIFS(Исход!$H:$H,Исход!$A:$A,F$1,Исход!$B:$B,$A32)+
SUMIFS(Исход!$I:$I,Исход!$A:$A,F$1,Исход!$B:$B,$A32)-
SUMIFS(Исход!$L:$L,Исход!$A:$A,F$1,Исход!$B:$B,$A32)</f>
        <v>0</v>
      </c>
      <c r="G32" s="2">
        <f>SUMIFS(Исход!$D:$D,Исход!$A:$A,G$1,Исход!$B:$B,$A32)+
SUMIFS(Исход!$G:$G,Исход!$A:$A,G$1,Исход!$B:$B,$A32)+
SUMIFS(Исход!$H:$H,Исход!$A:$A,G$1,Исход!$B:$B,$A32)+
SUMIFS(Исход!$I:$I,Исход!$A:$A,G$1,Исход!$B:$B,$A32)-
SUMIFS(Исход!$L:$L,Исход!$A:$A,G$1,Исход!$B:$B,$A32)</f>
        <v>0</v>
      </c>
      <c r="H32" s="2">
        <f>SUMIFS(Исход!$D:$D,Исход!$A:$A,H$1,Исход!$B:$B,$A32)+
SUMIFS(Исход!$G:$G,Исход!$A:$A,H$1,Исход!$B:$B,$A32)+
SUMIFS(Исход!$H:$H,Исход!$A:$A,H$1,Исход!$B:$B,$A32)+
SUMIFS(Исход!$I:$I,Исход!$A:$A,H$1,Исход!$B:$B,$A32)-
SUMIFS(Исход!$L:$L,Исход!$A:$A,H$1,Исход!$B:$B,$A32)</f>
        <v>0</v>
      </c>
      <c r="I32" s="2">
        <f>SUMIFS(Исход!$D:$D,Исход!$A:$A,I$1,Исход!$B:$B,$A32)+
SUMIFS(Исход!$G:$G,Исход!$A:$A,I$1,Исход!$B:$B,$A32)+
SUMIFS(Исход!$H:$H,Исход!$A:$A,I$1,Исход!$B:$B,$A32)+
SUMIFS(Исход!$I:$I,Исход!$A:$A,I$1,Исход!$B:$B,$A32)-
SUMIFS(Исход!$L:$L,Исход!$A:$A,I$1,Исход!$B:$B,$A32)</f>
        <v>0</v>
      </c>
      <c r="J32" s="2">
        <f>SUMIFS(Исход!$D:$D,Исход!$A:$A,J$1,Исход!$B:$B,$A32)+
SUMIFS(Исход!$G:$G,Исход!$A:$A,J$1,Исход!$B:$B,$A32)+
SUMIFS(Исход!$H:$H,Исход!$A:$A,J$1,Исход!$B:$B,$A32)+
SUMIFS(Исход!$I:$I,Исход!$A:$A,J$1,Исход!$B:$B,$A32)-
SUMIFS(Исход!$L:$L,Исход!$A:$A,J$1,Исход!$B:$B,$A32)</f>
        <v>0</v>
      </c>
      <c r="K32" s="2">
        <f>SUMIFS(Исход!$D:$D,Исход!$A:$A,K$1,Исход!$B:$B,$A32)+
SUMIFS(Исход!$G:$G,Исход!$A:$A,K$1,Исход!$B:$B,$A32)+
SUMIFS(Исход!$H:$H,Исход!$A:$A,K$1,Исход!$B:$B,$A32)+
SUMIFS(Исход!$I:$I,Исход!$A:$A,K$1,Исход!$B:$B,$A32)-
SUMIFS(Исход!$L:$L,Исход!$A:$A,K$1,Исход!$B:$B,$A32)</f>
        <v>0</v>
      </c>
      <c r="L32" s="2">
        <f>SUMIFS(Исход!$D:$D,Исход!$A:$A,L$1,Исход!$B:$B,$A32)+
SUMIFS(Исход!$G:$G,Исход!$A:$A,L$1,Исход!$B:$B,$A32)+
SUMIFS(Исход!$H:$H,Исход!$A:$A,L$1,Исход!$B:$B,$A32)+
SUMIFS(Исход!$I:$I,Исход!$A:$A,L$1,Исход!$B:$B,$A32)-
SUMIFS(Исход!$L:$L,Исход!$A:$A,L$1,Исход!$B:$B,$A32)</f>
        <v>0</v>
      </c>
      <c r="M32" s="2">
        <f>SUMIFS(Исход!$D:$D,Исход!$A:$A,M$1,Исход!$B:$B,$A32)+
SUMIFS(Исход!$G:$G,Исход!$A:$A,M$1,Исход!$B:$B,$A32)+
SUMIFS(Исход!$H:$H,Исход!$A:$A,M$1,Исход!$B:$B,$A32)+
SUMIFS(Исход!$I:$I,Исход!$A:$A,M$1,Исход!$B:$B,$A32)-
SUMIFS(Исход!$L:$L,Исход!$A:$A,M$1,Исход!$B:$B,$A32)</f>
        <v>0</v>
      </c>
      <c r="N32" s="2">
        <f>SUMIFS(Исход!$D:$D,Исход!$A:$A,N$1,Исход!$B:$B,$A32)+
SUMIFS(Исход!$G:$G,Исход!$A:$A,N$1,Исход!$B:$B,$A32)+
SUMIFS(Исход!$H:$H,Исход!$A:$A,N$1,Исход!$B:$B,$A32)+
SUMIFS(Исход!$I:$I,Исход!$A:$A,N$1,Исход!$B:$B,$A32)-
SUMIFS(Исход!$L:$L,Исход!$A:$A,N$1,Исход!$B:$B,$A32)</f>
        <v>0</v>
      </c>
      <c r="O32" s="2">
        <f>SUMIFS(Исход!$D:$D,Исход!$A:$A,O$1,Исход!$B:$B,$A32)+
SUMIFS(Исход!$G:$G,Исход!$A:$A,O$1,Исход!$B:$B,$A32)+
SUMIFS(Исход!$H:$H,Исход!$A:$A,O$1,Исход!$B:$B,$A32)+
SUMIFS(Исход!$I:$I,Исход!$A:$A,O$1,Исход!$B:$B,$A32)-
SUMIFS(Исход!$L:$L,Исход!$A:$A,O$1,Исход!$B:$B,$A32)</f>
        <v>0</v>
      </c>
      <c r="P32" s="2">
        <f>SUMIFS(Исход!$D:$D,Исход!$A:$A,P$1,Исход!$B:$B,$A32)+
SUMIFS(Исход!$G:$G,Исход!$A:$A,P$1,Исход!$B:$B,$A32)+
SUMIFS(Исход!$H:$H,Исход!$A:$A,P$1,Исход!$B:$B,$A32)+
SUMIFS(Исход!$I:$I,Исход!$A:$A,P$1,Исход!$B:$B,$A32)-
SUMIFS(Исход!$L:$L,Исход!$A:$A,P$1,Исход!$B:$B,$A32)</f>
        <v>0</v>
      </c>
      <c r="Q32" s="2">
        <f>SUMIFS(Исход!$D:$D,Исход!$A:$A,Q$1,Исход!$B:$B,$A32)+
SUMIFS(Исход!$G:$G,Исход!$A:$A,Q$1,Исход!$B:$B,$A32)+
SUMIFS(Исход!$H:$H,Исход!$A:$A,Q$1,Исход!$B:$B,$A32)+
SUMIFS(Исход!$I:$I,Исход!$A:$A,Q$1,Исход!$B:$B,$A32)-
SUMIFS(Исход!$L:$L,Исход!$A:$A,Q$1,Исход!$B:$B,$A32)</f>
        <v>0</v>
      </c>
      <c r="R32" s="2">
        <f>SUMIFS(Исход!$D:$D,Исход!$A:$A,R$1,Исход!$B:$B,$A32)+
SUMIFS(Исход!$G:$G,Исход!$A:$A,R$1,Исход!$B:$B,$A32)+
SUMIFS(Исход!$H:$H,Исход!$A:$A,R$1,Исход!$B:$B,$A32)+
SUMIFS(Исход!$I:$I,Исход!$A:$A,R$1,Исход!$B:$B,$A32)-
SUMIFS(Исход!$L:$L,Исход!$A:$A,R$1,Исход!$B:$B,$A32)</f>
        <v>0</v>
      </c>
      <c r="S32" s="2">
        <f>SUMIFS(Исход!$D:$D,Исход!$A:$A,S$1,Исход!$B:$B,$A32)+
SUMIFS(Исход!$G:$G,Исход!$A:$A,S$1,Исход!$B:$B,$A32)+
SUMIFS(Исход!$H:$H,Исход!$A:$A,S$1,Исход!$B:$B,$A32)+
SUMIFS(Исход!$I:$I,Исход!$A:$A,S$1,Исход!$B:$B,$A32)-
SUMIFS(Исход!$L:$L,Исход!$A:$A,S$1,Исход!$B:$B,$A32)</f>
        <v>0</v>
      </c>
      <c r="T32" s="2">
        <f>SUMIFS(Исход!$D:$D,Исход!$A:$A,T$1,Исход!$B:$B,$A32)+
SUMIFS(Исход!$G:$G,Исход!$A:$A,T$1,Исход!$B:$B,$A32)+
SUMIFS(Исход!$H:$H,Исход!$A:$A,T$1,Исход!$B:$B,$A32)+
SUMIFS(Исход!$I:$I,Исход!$A:$A,T$1,Исход!$B:$B,$A32)-
SUMIFS(Исход!$L:$L,Исход!$A:$A,T$1,Исход!$B:$B,$A32)</f>
        <v>0</v>
      </c>
      <c r="U32" s="2">
        <f>SUMIFS(Исход!$D:$D,Исход!$A:$A,U$1,Исход!$B:$B,$A32)+
SUMIFS(Исход!$G:$G,Исход!$A:$A,U$1,Исход!$B:$B,$A32)+
SUMIFS(Исход!$H:$H,Исход!$A:$A,U$1,Исход!$B:$B,$A32)+
SUMIFS(Исход!$I:$I,Исход!$A:$A,U$1,Исход!$B:$B,$A32)-
SUMIFS(Исход!$L:$L,Исход!$A:$A,U$1,Исход!$B:$B,$A32)</f>
        <v>0</v>
      </c>
      <c r="V32" s="2">
        <f>SUMIFS(Исход!$D:$D,Исход!$A:$A,V$1,Исход!$B:$B,$A32)+
SUMIFS(Исход!$G:$G,Исход!$A:$A,V$1,Исход!$B:$B,$A32)+
SUMIFS(Исход!$H:$H,Исход!$A:$A,V$1,Исход!$B:$B,$A32)+
SUMIFS(Исход!$I:$I,Исход!$A:$A,V$1,Исход!$B:$B,$A32)-
SUMIFS(Исход!$L:$L,Исход!$A:$A,V$1,Исход!$B:$B,$A32)</f>
        <v>0</v>
      </c>
      <c r="W32" s="2">
        <f>SUMIFS(Исход!$D:$D,Исход!$A:$A,W$1,Исход!$B:$B,$A32)+
SUMIFS(Исход!$G:$G,Исход!$A:$A,W$1,Исход!$B:$B,$A32)+
SUMIFS(Исход!$H:$H,Исход!$A:$A,W$1,Исход!$B:$B,$A32)+
SUMIFS(Исход!$I:$I,Исход!$A:$A,W$1,Исход!$B:$B,$A32)-
SUMIFS(Исход!$L:$L,Исход!$A:$A,W$1,Исход!$B:$B,$A32)</f>
        <v>0</v>
      </c>
      <c r="X32" s="2">
        <f>SUMIFS(Исход!$D:$D,Исход!$A:$A,X$1,Исход!$B:$B,$A32)+
SUMIFS(Исход!$G:$G,Исход!$A:$A,X$1,Исход!$B:$B,$A32)+
SUMIFS(Исход!$H:$H,Исход!$A:$A,X$1,Исход!$B:$B,$A32)+
SUMIFS(Исход!$I:$I,Исход!$A:$A,X$1,Исход!$B:$B,$A32)-
SUMIFS(Исход!$L:$L,Исход!$A:$A,X$1,Исход!$B:$B,$A32)</f>
        <v>0</v>
      </c>
      <c r="Y32" s="2">
        <f>SUMIFS(Исход!$D:$D,Исход!$A:$A,Y$1,Исход!$B:$B,$A32)+
SUMIFS(Исход!$G:$G,Исход!$A:$A,Y$1,Исход!$B:$B,$A32)+
SUMIFS(Исход!$H:$H,Исход!$A:$A,Y$1,Исход!$B:$B,$A32)+
SUMIFS(Исход!$I:$I,Исход!$A:$A,Y$1,Исход!$B:$B,$A32)-
SUMIFS(Исход!$L:$L,Исход!$A:$A,Y$1,Исход!$B:$B,$A32)</f>
        <v>0</v>
      </c>
      <c r="Z32" s="2">
        <f>SUMIFS(Исход!$D:$D,Исход!$A:$A,Z$1,Исход!$B:$B,$A32)+
SUMIFS(Исход!$G:$G,Исход!$A:$A,Z$1,Исход!$B:$B,$A32)+
SUMIFS(Исход!$H:$H,Исход!$A:$A,Z$1,Исход!$B:$B,$A32)+
SUMIFS(Исход!$I:$I,Исход!$A:$A,Z$1,Исход!$B:$B,$A32)-
SUMIFS(Исход!$L:$L,Исход!$A:$A,Z$1,Исход!$B:$B,$A32)</f>
        <v>0</v>
      </c>
      <c r="AA32" s="2">
        <f>SUMIFS(Исход!$D:$D,Исход!$A:$A,AA$1,Исход!$B:$B,$A32)+
SUMIFS(Исход!$G:$G,Исход!$A:$A,AA$1,Исход!$B:$B,$A32)+
SUMIFS(Исход!$H:$H,Исход!$A:$A,AA$1,Исход!$B:$B,$A32)+
SUMIFS(Исход!$I:$I,Исход!$A:$A,AA$1,Исход!$B:$B,$A32)-
SUMIFS(Исход!$L:$L,Исход!$A:$A,AA$1,Исход!$B:$B,$A32)</f>
        <v>0</v>
      </c>
      <c r="AB32" s="2">
        <f>SUMIFS(Исход!$D:$D,Исход!$A:$A,AB$1,Исход!$B:$B,$A32)+
SUMIFS(Исход!$G:$G,Исход!$A:$A,AB$1,Исход!$B:$B,$A32)+
SUMIFS(Исход!$H:$H,Исход!$A:$A,AB$1,Исход!$B:$B,$A32)+
SUMIFS(Исход!$I:$I,Исход!$A:$A,AB$1,Исход!$B:$B,$A32)-
SUMIFS(Исход!$L:$L,Исход!$A:$A,AB$1,Исход!$B:$B,$A32)</f>
        <v>0</v>
      </c>
      <c r="AC32" s="2">
        <f>SUMIFS(Исход!$D:$D,Исход!$A:$A,AC$1,Исход!$B:$B,$A32)+
SUMIFS(Исход!$G:$G,Исход!$A:$A,AC$1,Исход!$B:$B,$A32)+
SUMIFS(Исход!$H:$H,Исход!$A:$A,AC$1,Исход!$B:$B,$A32)+
SUMIFS(Исход!$I:$I,Исход!$A:$A,AC$1,Исход!$B:$B,$A32)-
SUMIFS(Исход!$L:$L,Исход!$A:$A,AC$1,Исход!$B:$B,$A32)</f>
        <v>0</v>
      </c>
      <c r="AD32" s="2">
        <f>SUMIFS(Исход!$D:$D,Исход!$A:$A,AD$1,Исход!$B:$B,$A32)+
SUMIFS(Исход!$G:$G,Исход!$A:$A,AD$1,Исход!$B:$B,$A32)+
SUMIFS(Исход!$H:$H,Исход!$A:$A,AD$1,Исход!$B:$B,$A32)+
SUMIFS(Исход!$I:$I,Исход!$A:$A,AD$1,Исход!$B:$B,$A32)-
SUMIFS(Исход!$L:$L,Исход!$A:$A,AD$1,Исход!$B:$B,$A32)</f>
        <v>0</v>
      </c>
      <c r="AE32" s="2">
        <f>SUMIFS(Исход!$D:$D,Исход!$A:$A,AE$1,Исход!$B:$B,$A32)+
SUMIFS(Исход!$G:$G,Исход!$A:$A,AE$1,Исход!$B:$B,$A32)+
SUMIFS(Исход!$H:$H,Исход!$A:$A,AE$1,Исход!$B:$B,$A32)+
SUMIFS(Исход!$I:$I,Исход!$A:$A,AE$1,Исход!$B:$B,$A32)-
SUMIFS(Исход!$L:$L,Исход!$A:$A,AE$1,Исход!$B:$B,$A32)</f>
        <v>0</v>
      </c>
      <c r="AF32" s="2">
        <f>SUMIFS(Исход!$D:$D,Исход!$A:$A,AF$1,Исход!$B:$B,$A32)+
SUMIFS(Исход!$G:$G,Исход!$A:$A,AF$1,Исход!$B:$B,$A32)+
SUMIFS(Исход!$H:$H,Исход!$A:$A,AF$1,Исход!$B:$B,$A32)+
SUMIFS(Исход!$I:$I,Исход!$A:$A,AF$1,Исход!$B:$B,$A32)-
SUMIFS(Исход!$L:$L,Исход!$A:$A,AF$1,Исход!$B:$B,$A32)</f>
        <v>0</v>
      </c>
      <c r="AG32" s="57">
        <f>SUMIFS(Исход!$D:$D,Исход!$A:$A,AG$1,Исход!$B:$B,$A32)+
SUMIFS(Исход!$G:$G,Исход!$A:$A,AG$1,Исход!$B:$B,$A32)+
SUMIFS(Исход!$H:$H,Исход!$A:$A,AG$1,Исход!$B:$B,$A32)+
SUMIFS(Исход!$I:$I,Исход!$A:$A,AG$1,Исход!$B:$B,$A32)-
SUMIFS(Исход!$L:$L,Исход!$A:$A,AG$1,Исход!$B:$B,$A32)</f>
        <v>0</v>
      </c>
    </row>
    <row r="33" spans="1:33" hidden="1" outlineLevel="1" x14ac:dyDescent="0.25">
      <c r="A33" s="103">
        <v>0.60416666666666663</v>
      </c>
      <c r="B33" s="123">
        <v>0.625</v>
      </c>
      <c r="C33" s="63">
        <f>SUMIFS(Исход!$D:$D,Исход!$A:$A,C$1,Исход!$B:$B,$A33)+
SUMIFS(Исход!$G:$G,Исход!$A:$A,C$1,Исход!$B:$B,$A33)+
SUMIFS(Исход!$H:$H,Исход!$A:$A,C$1,Исход!$B:$B,$A33)+
SUMIFS(Исход!$I:$I,Исход!$A:$A,C$1,Исход!$B:$B,$A33)-
SUMIFS(Исход!$L:$L,Исход!$A:$A,C$1,Исход!$B:$B,$A33)</f>
        <v>0</v>
      </c>
      <c r="D33" s="2">
        <f>SUMIFS(Исход!$D:$D,Исход!$A:$A,D$1,Исход!$B:$B,$A33)+
SUMIFS(Исход!$G:$G,Исход!$A:$A,D$1,Исход!$B:$B,$A33)+
SUMIFS(Исход!$H:$H,Исход!$A:$A,D$1,Исход!$B:$B,$A33)+
SUMIFS(Исход!$I:$I,Исход!$A:$A,D$1,Исход!$B:$B,$A33)-
SUMIFS(Исход!$L:$L,Исход!$A:$A,D$1,Исход!$B:$B,$A33)</f>
        <v>0</v>
      </c>
      <c r="E33" s="2">
        <f>SUMIFS(Исход!$D:$D,Исход!$A:$A,E$1,Исход!$B:$B,$A33)+
SUMIFS(Исход!$G:$G,Исход!$A:$A,E$1,Исход!$B:$B,$A33)+
SUMIFS(Исход!$H:$H,Исход!$A:$A,E$1,Исход!$B:$B,$A33)+
SUMIFS(Исход!$I:$I,Исход!$A:$A,E$1,Исход!$B:$B,$A33)-
SUMIFS(Исход!$L:$L,Исход!$A:$A,E$1,Исход!$B:$B,$A33)</f>
        <v>0</v>
      </c>
      <c r="F33" s="2">
        <f>SUMIFS(Исход!$D:$D,Исход!$A:$A,F$1,Исход!$B:$B,$A33)+
SUMIFS(Исход!$G:$G,Исход!$A:$A,F$1,Исход!$B:$B,$A33)+
SUMIFS(Исход!$H:$H,Исход!$A:$A,F$1,Исход!$B:$B,$A33)+
SUMIFS(Исход!$I:$I,Исход!$A:$A,F$1,Исход!$B:$B,$A33)-
SUMIFS(Исход!$L:$L,Исход!$A:$A,F$1,Исход!$B:$B,$A33)</f>
        <v>0</v>
      </c>
      <c r="G33" s="2">
        <f>SUMIFS(Исход!$D:$D,Исход!$A:$A,G$1,Исход!$B:$B,$A33)+
SUMIFS(Исход!$G:$G,Исход!$A:$A,G$1,Исход!$B:$B,$A33)+
SUMIFS(Исход!$H:$H,Исход!$A:$A,G$1,Исход!$B:$B,$A33)+
SUMIFS(Исход!$I:$I,Исход!$A:$A,G$1,Исход!$B:$B,$A33)-
SUMIFS(Исход!$L:$L,Исход!$A:$A,G$1,Исход!$B:$B,$A33)</f>
        <v>0</v>
      </c>
      <c r="H33" s="2">
        <f>SUMIFS(Исход!$D:$D,Исход!$A:$A,H$1,Исход!$B:$B,$A33)+
SUMIFS(Исход!$G:$G,Исход!$A:$A,H$1,Исход!$B:$B,$A33)+
SUMIFS(Исход!$H:$H,Исход!$A:$A,H$1,Исход!$B:$B,$A33)+
SUMIFS(Исход!$I:$I,Исход!$A:$A,H$1,Исход!$B:$B,$A33)-
SUMIFS(Исход!$L:$L,Исход!$A:$A,H$1,Исход!$B:$B,$A33)</f>
        <v>0</v>
      </c>
      <c r="I33" s="2">
        <f>SUMIFS(Исход!$D:$D,Исход!$A:$A,I$1,Исход!$B:$B,$A33)+
SUMIFS(Исход!$G:$G,Исход!$A:$A,I$1,Исход!$B:$B,$A33)+
SUMIFS(Исход!$H:$H,Исход!$A:$A,I$1,Исход!$B:$B,$A33)+
SUMIFS(Исход!$I:$I,Исход!$A:$A,I$1,Исход!$B:$B,$A33)-
SUMIFS(Исход!$L:$L,Исход!$A:$A,I$1,Исход!$B:$B,$A33)</f>
        <v>0</v>
      </c>
      <c r="J33" s="2">
        <f>SUMIFS(Исход!$D:$D,Исход!$A:$A,J$1,Исход!$B:$B,$A33)+
SUMIFS(Исход!$G:$G,Исход!$A:$A,J$1,Исход!$B:$B,$A33)+
SUMIFS(Исход!$H:$H,Исход!$A:$A,J$1,Исход!$B:$B,$A33)+
SUMIFS(Исход!$I:$I,Исход!$A:$A,J$1,Исход!$B:$B,$A33)-
SUMIFS(Исход!$L:$L,Исход!$A:$A,J$1,Исход!$B:$B,$A33)</f>
        <v>0</v>
      </c>
      <c r="K33" s="2">
        <f>SUMIFS(Исход!$D:$D,Исход!$A:$A,K$1,Исход!$B:$B,$A33)+
SUMIFS(Исход!$G:$G,Исход!$A:$A,K$1,Исход!$B:$B,$A33)+
SUMIFS(Исход!$H:$H,Исход!$A:$A,K$1,Исход!$B:$B,$A33)+
SUMIFS(Исход!$I:$I,Исход!$A:$A,K$1,Исход!$B:$B,$A33)-
SUMIFS(Исход!$L:$L,Исход!$A:$A,K$1,Исход!$B:$B,$A33)</f>
        <v>0</v>
      </c>
      <c r="L33" s="2">
        <f>SUMIFS(Исход!$D:$D,Исход!$A:$A,L$1,Исход!$B:$B,$A33)+
SUMIFS(Исход!$G:$G,Исход!$A:$A,L$1,Исход!$B:$B,$A33)+
SUMIFS(Исход!$H:$H,Исход!$A:$A,L$1,Исход!$B:$B,$A33)+
SUMIFS(Исход!$I:$I,Исход!$A:$A,L$1,Исход!$B:$B,$A33)-
SUMIFS(Исход!$L:$L,Исход!$A:$A,L$1,Исход!$B:$B,$A33)</f>
        <v>0</v>
      </c>
      <c r="M33" s="2">
        <f>SUMIFS(Исход!$D:$D,Исход!$A:$A,M$1,Исход!$B:$B,$A33)+
SUMIFS(Исход!$G:$G,Исход!$A:$A,M$1,Исход!$B:$B,$A33)+
SUMIFS(Исход!$H:$H,Исход!$A:$A,M$1,Исход!$B:$B,$A33)+
SUMIFS(Исход!$I:$I,Исход!$A:$A,M$1,Исход!$B:$B,$A33)-
SUMIFS(Исход!$L:$L,Исход!$A:$A,M$1,Исход!$B:$B,$A33)</f>
        <v>0</v>
      </c>
      <c r="N33" s="2">
        <f>SUMIFS(Исход!$D:$D,Исход!$A:$A,N$1,Исход!$B:$B,$A33)+
SUMIFS(Исход!$G:$G,Исход!$A:$A,N$1,Исход!$B:$B,$A33)+
SUMIFS(Исход!$H:$H,Исход!$A:$A,N$1,Исход!$B:$B,$A33)+
SUMIFS(Исход!$I:$I,Исход!$A:$A,N$1,Исход!$B:$B,$A33)-
SUMIFS(Исход!$L:$L,Исход!$A:$A,N$1,Исход!$B:$B,$A33)</f>
        <v>0</v>
      </c>
      <c r="O33" s="2">
        <f>SUMIFS(Исход!$D:$D,Исход!$A:$A,O$1,Исход!$B:$B,$A33)+
SUMIFS(Исход!$G:$G,Исход!$A:$A,O$1,Исход!$B:$B,$A33)+
SUMIFS(Исход!$H:$H,Исход!$A:$A,O$1,Исход!$B:$B,$A33)+
SUMIFS(Исход!$I:$I,Исход!$A:$A,O$1,Исход!$B:$B,$A33)-
SUMIFS(Исход!$L:$L,Исход!$A:$A,O$1,Исход!$B:$B,$A33)</f>
        <v>0</v>
      </c>
      <c r="P33" s="2">
        <f>SUMIFS(Исход!$D:$D,Исход!$A:$A,P$1,Исход!$B:$B,$A33)+
SUMIFS(Исход!$G:$G,Исход!$A:$A,P$1,Исход!$B:$B,$A33)+
SUMIFS(Исход!$H:$H,Исход!$A:$A,P$1,Исход!$B:$B,$A33)+
SUMIFS(Исход!$I:$I,Исход!$A:$A,P$1,Исход!$B:$B,$A33)-
SUMIFS(Исход!$L:$L,Исход!$A:$A,P$1,Исход!$B:$B,$A33)</f>
        <v>0</v>
      </c>
      <c r="Q33" s="2">
        <f>SUMIFS(Исход!$D:$D,Исход!$A:$A,Q$1,Исход!$B:$B,$A33)+
SUMIFS(Исход!$G:$G,Исход!$A:$A,Q$1,Исход!$B:$B,$A33)+
SUMIFS(Исход!$H:$H,Исход!$A:$A,Q$1,Исход!$B:$B,$A33)+
SUMIFS(Исход!$I:$I,Исход!$A:$A,Q$1,Исход!$B:$B,$A33)-
SUMIFS(Исход!$L:$L,Исход!$A:$A,Q$1,Исход!$B:$B,$A33)</f>
        <v>0</v>
      </c>
      <c r="R33" s="2">
        <f>SUMIFS(Исход!$D:$D,Исход!$A:$A,R$1,Исход!$B:$B,$A33)+
SUMIFS(Исход!$G:$G,Исход!$A:$A,R$1,Исход!$B:$B,$A33)+
SUMIFS(Исход!$H:$H,Исход!$A:$A,R$1,Исход!$B:$B,$A33)+
SUMIFS(Исход!$I:$I,Исход!$A:$A,R$1,Исход!$B:$B,$A33)-
SUMIFS(Исход!$L:$L,Исход!$A:$A,R$1,Исход!$B:$B,$A33)</f>
        <v>0</v>
      </c>
      <c r="S33" s="2">
        <f>SUMIFS(Исход!$D:$D,Исход!$A:$A,S$1,Исход!$B:$B,$A33)+
SUMIFS(Исход!$G:$G,Исход!$A:$A,S$1,Исход!$B:$B,$A33)+
SUMIFS(Исход!$H:$H,Исход!$A:$A,S$1,Исход!$B:$B,$A33)+
SUMIFS(Исход!$I:$I,Исход!$A:$A,S$1,Исход!$B:$B,$A33)-
SUMIFS(Исход!$L:$L,Исход!$A:$A,S$1,Исход!$B:$B,$A33)</f>
        <v>0</v>
      </c>
      <c r="T33" s="2">
        <f>SUMIFS(Исход!$D:$D,Исход!$A:$A,T$1,Исход!$B:$B,$A33)+
SUMIFS(Исход!$G:$G,Исход!$A:$A,T$1,Исход!$B:$B,$A33)+
SUMIFS(Исход!$H:$H,Исход!$A:$A,T$1,Исход!$B:$B,$A33)+
SUMIFS(Исход!$I:$I,Исход!$A:$A,T$1,Исход!$B:$B,$A33)-
SUMIFS(Исход!$L:$L,Исход!$A:$A,T$1,Исход!$B:$B,$A33)</f>
        <v>0</v>
      </c>
      <c r="U33" s="2">
        <f>SUMIFS(Исход!$D:$D,Исход!$A:$A,U$1,Исход!$B:$B,$A33)+
SUMIFS(Исход!$G:$G,Исход!$A:$A,U$1,Исход!$B:$B,$A33)+
SUMIFS(Исход!$H:$H,Исход!$A:$A,U$1,Исход!$B:$B,$A33)+
SUMIFS(Исход!$I:$I,Исход!$A:$A,U$1,Исход!$B:$B,$A33)-
SUMIFS(Исход!$L:$L,Исход!$A:$A,U$1,Исход!$B:$B,$A33)</f>
        <v>0</v>
      </c>
      <c r="V33" s="2">
        <f>SUMIFS(Исход!$D:$D,Исход!$A:$A,V$1,Исход!$B:$B,$A33)+
SUMIFS(Исход!$G:$G,Исход!$A:$A,V$1,Исход!$B:$B,$A33)+
SUMIFS(Исход!$H:$H,Исход!$A:$A,V$1,Исход!$B:$B,$A33)+
SUMIFS(Исход!$I:$I,Исход!$A:$A,V$1,Исход!$B:$B,$A33)-
SUMIFS(Исход!$L:$L,Исход!$A:$A,V$1,Исход!$B:$B,$A33)</f>
        <v>0</v>
      </c>
      <c r="W33" s="2">
        <f>SUMIFS(Исход!$D:$D,Исход!$A:$A,W$1,Исход!$B:$B,$A33)+
SUMIFS(Исход!$G:$G,Исход!$A:$A,W$1,Исход!$B:$B,$A33)+
SUMIFS(Исход!$H:$H,Исход!$A:$A,W$1,Исход!$B:$B,$A33)+
SUMIFS(Исход!$I:$I,Исход!$A:$A,W$1,Исход!$B:$B,$A33)-
SUMIFS(Исход!$L:$L,Исход!$A:$A,W$1,Исход!$B:$B,$A33)</f>
        <v>0</v>
      </c>
      <c r="X33" s="2">
        <f>SUMIFS(Исход!$D:$D,Исход!$A:$A,X$1,Исход!$B:$B,$A33)+
SUMIFS(Исход!$G:$G,Исход!$A:$A,X$1,Исход!$B:$B,$A33)+
SUMIFS(Исход!$H:$H,Исход!$A:$A,X$1,Исход!$B:$B,$A33)+
SUMIFS(Исход!$I:$I,Исход!$A:$A,X$1,Исход!$B:$B,$A33)-
SUMIFS(Исход!$L:$L,Исход!$A:$A,X$1,Исход!$B:$B,$A33)</f>
        <v>0</v>
      </c>
      <c r="Y33" s="2">
        <f>SUMIFS(Исход!$D:$D,Исход!$A:$A,Y$1,Исход!$B:$B,$A33)+
SUMIFS(Исход!$G:$G,Исход!$A:$A,Y$1,Исход!$B:$B,$A33)+
SUMIFS(Исход!$H:$H,Исход!$A:$A,Y$1,Исход!$B:$B,$A33)+
SUMIFS(Исход!$I:$I,Исход!$A:$A,Y$1,Исход!$B:$B,$A33)-
SUMIFS(Исход!$L:$L,Исход!$A:$A,Y$1,Исход!$B:$B,$A33)</f>
        <v>0</v>
      </c>
      <c r="Z33" s="2">
        <f>SUMIFS(Исход!$D:$D,Исход!$A:$A,Z$1,Исход!$B:$B,$A33)+
SUMIFS(Исход!$G:$G,Исход!$A:$A,Z$1,Исход!$B:$B,$A33)+
SUMIFS(Исход!$H:$H,Исход!$A:$A,Z$1,Исход!$B:$B,$A33)+
SUMIFS(Исход!$I:$I,Исход!$A:$A,Z$1,Исход!$B:$B,$A33)-
SUMIFS(Исход!$L:$L,Исход!$A:$A,Z$1,Исход!$B:$B,$A33)</f>
        <v>0</v>
      </c>
      <c r="AA33" s="2">
        <f>SUMIFS(Исход!$D:$D,Исход!$A:$A,AA$1,Исход!$B:$B,$A33)+
SUMIFS(Исход!$G:$G,Исход!$A:$A,AA$1,Исход!$B:$B,$A33)+
SUMIFS(Исход!$H:$H,Исход!$A:$A,AA$1,Исход!$B:$B,$A33)+
SUMIFS(Исход!$I:$I,Исход!$A:$A,AA$1,Исход!$B:$B,$A33)-
SUMIFS(Исход!$L:$L,Исход!$A:$A,AA$1,Исход!$B:$B,$A33)</f>
        <v>0</v>
      </c>
      <c r="AB33" s="2">
        <f>SUMIFS(Исход!$D:$D,Исход!$A:$A,AB$1,Исход!$B:$B,$A33)+
SUMIFS(Исход!$G:$G,Исход!$A:$A,AB$1,Исход!$B:$B,$A33)+
SUMIFS(Исход!$H:$H,Исход!$A:$A,AB$1,Исход!$B:$B,$A33)+
SUMIFS(Исход!$I:$I,Исход!$A:$A,AB$1,Исход!$B:$B,$A33)-
SUMIFS(Исход!$L:$L,Исход!$A:$A,AB$1,Исход!$B:$B,$A33)</f>
        <v>0</v>
      </c>
      <c r="AC33" s="2">
        <f>SUMIFS(Исход!$D:$D,Исход!$A:$A,AC$1,Исход!$B:$B,$A33)+
SUMIFS(Исход!$G:$G,Исход!$A:$A,AC$1,Исход!$B:$B,$A33)+
SUMIFS(Исход!$H:$H,Исход!$A:$A,AC$1,Исход!$B:$B,$A33)+
SUMIFS(Исход!$I:$I,Исход!$A:$A,AC$1,Исход!$B:$B,$A33)-
SUMIFS(Исход!$L:$L,Исход!$A:$A,AC$1,Исход!$B:$B,$A33)</f>
        <v>0</v>
      </c>
      <c r="AD33" s="2">
        <f>SUMIFS(Исход!$D:$D,Исход!$A:$A,AD$1,Исход!$B:$B,$A33)+
SUMIFS(Исход!$G:$G,Исход!$A:$A,AD$1,Исход!$B:$B,$A33)+
SUMIFS(Исход!$H:$H,Исход!$A:$A,AD$1,Исход!$B:$B,$A33)+
SUMIFS(Исход!$I:$I,Исход!$A:$A,AD$1,Исход!$B:$B,$A33)-
SUMIFS(Исход!$L:$L,Исход!$A:$A,AD$1,Исход!$B:$B,$A33)</f>
        <v>0</v>
      </c>
      <c r="AE33" s="2">
        <f>SUMIFS(Исход!$D:$D,Исход!$A:$A,AE$1,Исход!$B:$B,$A33)+
SUMIFS(Исход!$G:$G,Исход!$A:$A,AE$1,Исход!$B:$B,$A33)+
SUMIFS(Исход!$H:$H,Исход!$A:$A,AE$1,Исход!$B:$B,$A33)+
SUMIFS(Исход!$I:$I,Исход!$A:$A,AE$1,Исход!$B:$B,$A33)-
SUMIFS(Исход!$L:$L,Исход!$A:$A,AE$1,Исход!$B:$B,$A33)</f>
        <v>0</v>
      </c>
      <c r="AF33" s="2">
        <f>SUMIFS(Исход!$D:$D,Исход!$A:$A,AF$1,Исход!$B:$B,$A33)+
SUMIFS(Исход!$G:$G,Исход!$A:$A,AF$1,Исход!$B:$B,$A33)+
SUMIFS(Исход!$H:$H,Исход!$A:$A,AF$1,Исход!$B:$B,$A33)+
SUMIFS(Исход!$I:$I,Исход!$A:$A,AF$1,Исход!$B:$B,$A33)-
SUMIFS(Исход!$L:$L,Исход!$A:$A,AF$1,Исход!$B:$B,$A33)</f>
        <v>0</v>
      </c>
      <c r="AG33" s="57">
        <f>SUMIFS(Исход!$D:$D,Исход!$A:$A,AG$1,Исход!$B:$B,$A33)+
SUMIFS(Исход!$G:$G,Исход!$A:$A,AG$1,Исход!$B:$B,$A33)+
SUMIFS(Исход!$H:$H,Исход!$A:$A,AG$1,Исход!$B:$B,$A33)+
SUMIFS(Исход!$I:$I,Исход!$A:$A,AG$1,Исход!$B:$B,$A33)-
SUMIFS(Исход!$L:$L,Исход!$A:$A,AG$1,Исход!$B:$B,$A33)</f>
        <v>0</v>
      </c>
    </row>
    <row r="34" spans="1:33" hidden="1" outlineLevel="1" x14ac:dyDescent="0.25">
      <c r="A34" s="103">
        <v>0.625</v>
      </c>
      <c r="B34" s="123">
        <v>0.64583333333333337</v>
      </c>
      <c r="C34" s="63">
        <f>SUMIFS(Исход!$D:$D,Исход!$A:$A,C$1,Исход!$B:$B,$A34)+
SUMIFS(Исход!$G:$G,Исход!$A:$A,C$1,Исход!$B:$B,$A34)+
SUMIFS(Исход!$H:$H,Исход!$A:$A,C$1,Исход!$B:$B,$A34)+
SUMIFS(Исход!$I:$I,Исход!$A:$A,C$1,Исход!$B:$B,$A34)-
SUMIFS(Исход!$L:$L,Исход!$A:$A,C$1,Исход!$B:$B,$A34)</f>
        <v>0</v>
      </c>
      <c r="D34" s="2">
        <f>SUMIFS(Исход!$D:$D,Исход!$A:$A,D$1,Исход!$B:$B,$A34)+
SUMIFS(Исход!$G:$G,Исход!$A:$A,D$1,Исход!$B:$B,$A34)+
SUMIFS(Исход!$H:$H,Исход!$A:$A,D$1,Исход!$B:$B,$A34)+
SUMIFS(Исход!$I:$I,Исход!$A:$A,D$1,Исход!$B:$B,$A34)-
SUMIFS(Исход!$L:$L,Исход!$A:$A,D$1,Исход!$B:$B,$A34)</f>
        <v>0</v>
      </c>
      <c r="E34" s="2">
        <f>SUMIFS(Исход!$D:$D,Исход!$A:$A,E$1,Исход!$B:$B,$A34)+
SUMIFS(Исход!$G:$G,Исход!$A:$A,E$1,Исход!$B:$B,$A34)+
SUMIFS(Исход!$H:$H,Исход!$A:$A,E$1,Исход!$B:$B,$A34)+
SUMIFS(Исход!$I:$I,Исход!$A:$A,E$1,Исход!$B:$B,$A34)-
SUMIFS(Исход!$L:$L,Исход!$A:$A,E$1,Исход!$B:$B,$A34)</f>
        <v>0</v>
      </c>
      <c r="F34" s="2">
        <f>SUMIFS(Исход!$D:$D,Исход!$A:$A,F$1,Исход!$B:$B,$A34)+
SUMIFS(Исход!$G:$G,Исход!$A:$A,F$1,Исход!$B:$B,$A34)+
SUMIFS(Исход!$H:$H,Исход!$A:$A,F$1,Исход!$B:$B,$A34)+
SUMIFS(Исход!$I:$I,Исход!$A:$A,F$1,Исход!$B:$B,$A34)-
SUMIFS(Исход!$L:$L,Исход!$A:$A,F$1,Исход!$B:$B,$A34)</f>
        <v>0</v>
      </c>
      <c r="G34" s="2">
        <f>SUMIFS(Исход!$D:$D,Исход!$A:$A,G$1,Исход!$B:$B,$A34)+
SUMIFS(Исход!$G:$G,Исход!$A:$A,G$1,Исход!$B:$B,$A34)+
SUMIFS(Исход!$H:$H,Исход!$A:$A,G$1,Исход!$B:$B,$A34)+
SUMIFS(Исход!$I:$I,Исход!$A:$A,G$1,Исход!$B:$B,$A34)-
SUMIFS(Исход!$L:$L,Исход!$A:$A,G$1,Исход!$B:$B,$A34)</f>
        <v>0</v>
      </c>
      <c r="H34" s="2">
        <f>SUMIFS(Исход!$D:$D,Исход!$A:$A,H$1,Исход!$B:$B,$A34)+
SUMIFS(Исход!$G:$G,Исход!$A:$A,H$1,Исход!$B:$B,$A34)+
SUMIFS(Исход!$H:$H,Исход!$A:$A,H$1,Исход!$B:$B,$A34)+
SUMIFS(Исход!$I:$I,Исход!$A:$A,H$1,Исход!$B:$B,$A34)-
SUMIFS(Исход!$L:$L,Исход!$A:$A,H$1,Исход!$B:$B,$A34)</f>
        <v>0</v>
      </c>
      <c r="I34" s="2">
        <f>SUMIFS(Исход!$D:$D,Исход!$A:$A,I$1,Исход!$B:$B,$A34)+
SUMIFS(Исход!$G:$G,Исход!$A:$A,I$1,Исход!$B:$B,$A34)+
SUMIFS(Исход!$H:$H,Исход!$A:$A,I$1,Исход!$B:$B,$A34)+
SUMIFS(Исход!$I:$I,Исход!$A:$A,I$1,Исход!$B:$B,$A34)-
SUMIFS(Исход!$L:$L,Исход!$A:$A,I$1,Исход!$B:$B,$A34)</f>
        <v>0</v>
      </c>
      <c r="J34" s="2">
        <f>SUMIFS(Исход!$D:$D,Исход!$A:$A,J$1,Исход!$B:$B,$A34)+
SUMIFS(Исход!$G:$G,Исход!$A:$A,J$1,Исход!$B:$B,$A34)+
SUMIFS(Исход!$H:$H,Исход!$A:$A,J$1,Исход!$B:$B,$A34)+
SUMIFS(Исход!$I:$I,Исход!$A:$A,J$1,Исход!$B:$B,$A34)-
SUMIFS(Исход!$L:$L,Исход!$A:$A,J$1,Исход!$B:$B,$A34)</f>
        <v>0</v>
      </c>
      <c r="K34" s="2">
        <f>SUMIFS(Исход!$D:$D,Исход!$A:$A,K$1,Исход!$B:$B,$A34)+
SUMIFS(Исход!$G:$G,Исход!$A:$A,K$1,Исход!$B:$B,$A34)+
SUMIFS(Исход!$H:$H,Исход!$A:$A,K$1,Исход!$B:$B,$A34)+
SUMIFS(Исход!$I:$I,Исход!$A:$A,K$1,Исход!$B:$B,$A34)-
SUMIFS(Исход!$L:$L,Исход!$A:$A,K$1,Исход!$B:$B,$A34)</f>
        <v>0</v>
      </c>
      <c r="L34" s="2">
        <f>SUMIFS(Исход!$D:$D,Исход!$A:$A,L$1,Исход!$B:$B,$A34)+
SUMIFS(Исход!$G:$G,Исход!$A:$A,L$1,Исход!$B:$B,$A34)+
SUMIFS(Исход!$H:$H,Исход!$A:$A,L$1,Исход!$B:$B,$A34)+
SUMIFS(Исход!$I:$I,Исход!$A:$A,L$1,Исход!$B:$B,$A34)-
SUMIFS(Исход!$L:$L,Исход!$A:$A,L$1,Исход!$B:$B,$A34)</f>
        <v>0</v>
      </c>
      <c r="M34" s="2">
        <f>SUMIFS(Исход!$D:$D,Исход!$A:$A,M$1,Исход!$B:$B,$A34)+
SUMIFS(Исход!$G:$G,Исход!$A:$A,M$1,Исход!$B:$B,$A34)+
SUMIFS(Исход!$H:$H,Исход!$A:$A,M$1,Исход!$B:$B,$A34)+
SUMIFS(Исход!$I:$I,Исход!$A:$A,M$1,Исход!$B:$B,$A34)-
SUMIFS(Исход!$L:$L,Исход!$A:$A,M$1,Исход!$B:$B,$A34)</f>
        <v>0</v>
      </c>
      <c r="N34" s="2">
        <f>SUMIFS(Исход!$D:$D,Исход!$A:$A,N$1,Исход!$B:$B,$A34)+
SUMIFS(Исход!$G:$G,Исход!$A:$A,N$1,Исход!$B:$B,$A34)+
SUMIFS(Исход!$H:$H,Исход!$A:$A,N$1,Исход!$B:$B,$A34)+
SUMIFS(Исход!$I:$I,Исход!$A:$A,N$1,Исход!$B:$B,$A34)-
SUMIFS(Исход!$L:$L,Исход!$A:$A,N$1,Исход!$B:$B,$A34)</f>
        <v>0</v>
      </c>
      <c r="O34" s="2">
        <f>SUMIFS(Исход!$D:$D,Исход!$A:$A,O$1,Исход!$B:$B,$A34)+
SUMIFS(Исход!$G:$G,Исход!$A:$A,O$1,Исход!$B:$B,$A34)+
SUMIFS(Исход!$H:$H,Исход!$A:$A,O$1,Исход!$B:$B,$A34)+
SUMIFS(Исход!$I:$I,Исход!$A:$A,O$1,Исход!$B:$B,$A34)-
SUMIFS(Исход!$L:$L,Исход!$A:$A,O$1,Исход!$B:$B,$A34)</f>
        <v>0</v>
      </c>
      <c r="P34" s="2">
        <f>SUMIFS(Исход!$D:$D,Исход!$A:$A,P$1,Исход!$B:$B,$A34)+
SUMIFS(Исход!$G:$G,Исход!$A:$A,P$1,Исход!$B:$B,$A34)+
SUMIFS(Исход!$H:$H,Исход!$A:$A,P$1,Исход!$B:$B,$A34)+
SUMIFS(Исход!$I:$I,Исход!$A:$A,P$1,Исход!$B:$B,$A34)-
SUMIFS(Исход!$L:$L,Исход!$A:$A,P$1,Исход!$B:$B,$A34)</f>
        <v>0</v>
      </c>
      <c r="Q34" s="2">
        <f>SUMIFS(Исход!$D:$D,Исход!$A:$A,Q$1,Исход!$B:$B,$A34)+
SUMIFS(Исход!$G:$G,Исход!$A:$A,Q$1,Исход!$B:$B,$A34)+
SUMIFS(Исход!$H:$H,Исход!$A:$A,Q$1,Исход!$B:$B,$A34)+
SUMIFS(Исход!$I:$I,Исход!$A:$A,Q$1,Исход!$B:$B,$A34)-
SUMIFS(Исход!$L:$L,Исход!$A:$A,Q$1,Исход!$B:$B,$A34)</f>
        <v>0</v>
      </c>
      <c r="R34" s="2">
        <f>SUMIFS(Исход!$D:$D,Исход!$A:$A,R$1,Исход!$B:$B,$A34)+
SUMIFS(Исход!$G:$G,Исход!$A:$A,R$1,Исход!$B:$B,$A34)+
SUMIFS(Исход!$H:$H,Исход!$A:$A,R$1,Исход!$B:$B,$A34)+
SUMIFS(Исход!$I:$I,Исход!$A:$A,R$1,Исход!$B:$B,$A34)-
SUMIFS(Исход!$L:$L,Исход!$A:$A,R$1,Исход!$B:$B,$A34)</f>
        <v>0</v>
      </c>
      <c r="S34" s="2">
        <f>SUMIFS(Исход!$D:$D,Исход!$A:$A,S$1,Исход!$B:$B,$A34)+
SUMIFS(Исход!$G:$G,Исход!$A:$A,S$1,Исход!$B:$B,$A34)+
SUMIFS(Исход!$H:$H,Исход!$A:$A,S$1,Исход!$B:$B,$A34)+
SUMIFS(Исход!$I:$I,Исход!$A:$A,S$1,Исход!$B:$B,$A34)-
SUMIFS(Исход!$L:$L,Исход!$A:$A,S$1,Исход!$B:$B,$A34)</f>
        <v>0</v>
      </c>
      <c r="T34" s="2">
        <f>SUMIFS(Исход!$D:$D,Исход!$A:$A,T$1,Исход!$B:$B,$A34)+
SUMIFS(Исход!$G:$G,Исход!$A:$A,T$1,Исход!$B:$B,$A34)+
SUMIFS(Исход!$H:$H,Исход!$A:$A,T$1,Исход!$B:$B,$A34)+
SUMIFS(Исход!$I:$I,Исход!$A:$A,T$1,Исход!$B:$B,$A34)-
SUMIFS(Исход!$L:$L,Исход!$A:$A,T$1,Исход!$B:$B,$A34)</f>
        <v>0</v>
      </c>
      <c r="U34" s="2">
        <f>SUMIFS(Исход!$D:$D,Исход!$A:$A,U$1,Исход!$B:$B,$A34)+
SUMIFS(Исход!$G:$G,Исход!$A:$A,U$1,Исход!$B:$B,$A34)+
SUMIFS(Исход!$H:$H,Исход!$A:$A,U$1,Исход!$B:$B,$A34)+
SUMIFS(Исход!$I:$I,Исход!$A:$A,U$1,Исход!$B:$B,$A34)-
SUMIFS(Исход!$L:$L,Исход!$A:$A,U$1,Исход!$B:$B,$A34)</f>
        <v>0</v>
      </c>
      <c r="V34" s="2">
        <f>SUMIFS(Исход!$D:$D,Исход!$A:$A,V$1,Исход!$B:$B,$A34)+
SUMIFS(Исход!$G:$G,Исход!$A:$A,V$1,Исход!$B:$B,$A34)+
SUMIFS(Исход!$H:$H,Исход!$A:$A,V$1,Исход!$B:$B,$A34)+
SUMIFS(Исход!$I:$I,Исход!$A:$A,V$1,Исход!$B:$B,$A34)-
SUMIFS(Исход!$L:$L,Исход!$A:$A,V$1,Исход!$B:$B,$A34)</f>
        <v>0</v>
      </c>
      <c r="W34" s="2">
        <f>SUMIFS(Исход!$D:$D,Исход!$A:$A,W$1,Исход!$B:$B,$A34)+
SUMIFS(Исход!$G:$G,Исход!$A:$A,W$1,Исход!$B:$B,$A34)+
SUMIFS(Исход!$H:$H,Исход!$A:$A,W$1,Исход!$B:$B,$A34)+
SUMIFS(Исход!$I:$I,Исход!$A:$A,W$1,Исход!$B:$B,$A34)-
SUMIFS(Исход!$L:$L,Исход!$A:$A,W$1,Исход!$B:$B,$A34)</f>
        <v>0</v>
      </c>
      <c r="X34" s="2">
        <f>SUMIFS(Исход!$D:$D,Исход!$A:$A,X$1,Исход!$B:$B,$A34)+
SUMIFS(Исход!$G:$G,Исход!$A:$A,X$1,Исход!$B:$B,$A34)+
SUMIFS(Исход!$H:$H,Исход!$A:$A,X$1,Исход!$B:$B,$A34)+
SUMIFS(Исход!$I:$I,Исход!$A:$A,X$1,Исход!$B:$B,$A34)-
SUMIFS(Исход!$L:$L,Исход!$A:$A,X$1,Исход!$B:$B,$A34)</f>
        <v>0</v>
      </c>
      <c r="Y34" s="2">
        <f>SUMIFS(Исход!$D:$D,Исход!$A:$A,Y$1,Исход!$B:$B,$A34)+
SUMIFS(Исход!$G:$G,Исход!$A:$A,Y$1,Исход!$B:$B,$A34)+
SUMIFS(Исход!$H:$H,Исход!$A:$A,Y$1,Исход!$B:$B,$A34)+
SUMIFS(Исход!$I:$I,Исход!$A:$A,Y$1,Исход!$B:$B,$A34)-
SUMIFS(Исход!$L:$L,Исход!$A:$A,Y$1,Исход!$B:$B,$A34)</f>
        <v>0</v>
      </c>
      <c r="Z34" s="2">
        <f>SUMIFS(Исход!$D:$D,Исход!$A:$A,Z$1,Исход!$B:$B,$A34)+
SUMIFS(Исход!$G:$G,Исход!$A:$A,Z$1,Исход!$B:$B,$A34)+
SUMIFS(Исход!$H:$H,Исход!$A:$A,Z$1,Исход!$B:$B,$A34)+
SUMIFS(Исход!$I:$I,Исход!$A:$A,Z$1,Исход!$B:$B,$A34)-
SUMIFS(Исход!$L:$L,Исход!$A:$A,Z$1,Исход!$B:$B,$A34)</f>
        <v>0</v>
      </c>
      <c r="AA34" s="2">
        <f>SUMIFS(Исход!$D:$D,Исход!$A:$A,AA$1,Исход!$B:$B,$A34)+
SUMIFS(Исход!$G:$G,Исход!$A:$A,AA$1,Исход!$B:$B,$A34)+
SUMIFS(Исход!$H:$H,Исход!$A:$A,AA$1,Исход!$B:$B,$A34)+
SUMIFS(Исход!$I:$I,Исход!$A:$A,AA$1,Исход!$B:$B,$A34)-
SUMIFS(Исход!$L:$L,Исход!$A:$A,AA$1,Исход!$B:$B,$A34)</f>
        <v>0</v>
      </c>
      <c r="AB34" s="2">
        <f>SUMIFS(Исход!$D:$D,Исход!$A:$A,AB$1,Исход!$B:$B,$A34)+
SUMIFS(Исход!$G:$G,Исход!$A:$A,AB$1,Исход!$B:$B,$A34)+
SUMIFS(Исход!$H:$H,Исход!$A:$A,AB$1,Исход!$B:$B,$A34)+
SUMIFS(Исход!$I:$I,Исход!$A:$A,AB$1,Исход!$B:$B,$A34)-
SUMIFS(Исход!$L:$L,Исход!$A:$A,AB$1,Исход!$B:$B,$A34)</f>
        <v>0</v>
      </c>
      <c r="AC34" s="2">
        <f>SUMIFS(Исход!$D:$D,Исход!$A:$A,AC$1,Исход!$B:$B,$A34)+
SUMIFS(Исход!$G:$G,Исход!$A:$A,AC$1,Исход!$B:$B,$A34)+
SUMIFS(Исход!$H:$H,Исход!$A:$A,AC$1,Исход!$B:$B,$A34)+
SUMIFS(Исход!$I:$I,Исход!$A:$A,AC$1,Исход!$B:$B,$A34)-
SUMIFS(Исход!$L:$L,Исход!$A:$A,AC$1,Исход!$B:$B,$A34)</f>
        <v>0</v>
      </c>
      <c r="AD34" s="2">
        <f>SUMIFS(Исход!$D:$D,Исход!$A:$A,AD$1,Исход!$B:$B,$A34)+
SUMIFS(Исход!$G:$G,Исход!$A:$A,AD$1,Исход!$B:$B,$A34)+
SUMIFS(Исход!$H:$H,Исход!$A:$A,AD$1,Исход!$B:$B,$A34)+
SUMIFS(Исход!$I:$I,Исход!$A:$A,AD$1,Исход!$B:$B,$A34)-
SUMIFS(Исход!$L:$L,Исход!$A:$A,AD$1,Исход!$B:$B,$A34)</f>
        <v>0</v>
      </c>
      <c r="AE34" s="2">
        <f>SUMIFS(Исход!$D:$D,Исход!$A:$A,AE$1,Исход!$B:$B,$A34)+
SUMIFS(Исход!$G:$G,Исход!$A:$A,AE$1,Исход!$B:$B,$A34)+
SUMIFS(Исход!$H:$H,Исход!$A:$A,AE$1,Исход!$B:$B,$A34)+
SUMIFS(Исход!$I:$I,Исход!$A:$A,AE$1,Исход!$B:$B,$A34)-
SUMIFS(Исход!$L:$L,Исход!$A:$A,AE$1,Исход!$B:$B,$A34)</f>
        <v>0</v>
      </c>
      <c r="AF34" s="2">
        <f>SUMIFS(Исход!$D:$D,Исход!$A:$A,AF$1,Исход!$B:$B,$A34)+
SUMIFS(Исход!$G:$G,Исход!$A:$A,AF$1,Исход!$B:$B,$A34)+
SUMIFS(Исход!$H:$H,Исход!$A:$A,AF$1,Исход!$B:$B,$A34)+
SUMIFS(Исход!$I:$I,Исход!$A:$A,AF$1,Исход!$B:$B,$A34)-
SUMIFS(Исход!$L:$L,Исход!$A:$A,AF$1,Исход!$B:$B,$A34)</f>
        <v>0</v>
      </c>
      <c r="AG34" s="57">
        <f>SUMIFS(Исход!$D:$D,Исход!$A:$A,AG$1,Исход!$B:$B,$A34)+
SUMIFS(Исход!$G:$G,Исход!$A:$A,AG$1,Исход!$B:$B,$A34)+
SUMIFS(Исход!$H:$H,Исход!$A:$A,AG$1,Исход!$B:$B,$A34)+
SUMIFS(Исход!$I:$I,Исход!$A:$A,AG$1,Исход!$B:$B,$A34)-
SUMIFS(Исход!$L:$L,Исход!$A:$A,AG$1,Исход!$B:$B,$A34)</f>
        <v>0</v>
      </c>
    </row>
    <row r="35" spans="1:33" hidden="1" outlineLevel="1" x14ac:dyDescent="0.25">
      <c r="A35" s="103">
        <v>0.64583333333333337</v>
      </c>
      <c r="B35" s="123">
        <v>0.66666666666666663</v>
      </c>
      <c r="C35" s="63">
        <f>SUMIFS(Исход!$D:$D,Исход!$A:$A,C$1,Исход!$B:$B,$A35)+
SUMIFS(Исход!$G:$G,Исход!$A:$A,C$1,Исход!$B:$B,$A35)+
SUMIFS(Исход!$H:$H,Исход!$A:$A,C$1,Исход!$B:$B,$A35)+
SUMIFS(Исход!$I:$I,Исход!$A:$A,C$1,Исход!$B:$B,$A35)-
SUMIFS(Исход!$L:$L,Исход!$A:$A,C$1,Исход!$B:$B,$A35)</f>
        <v>0</v>
      </c>
      <c r="D35" s="2">
        <f>SUMIFS(Исход!$D:$D,Исход!$A:$A,D$1,Исход!$B:$B,$A35)+
SUMIFS(Исход!$G:$G,Исход!$A:$A,D$1,Исход!$B:$B,$A35)+
SUMIFS(Исход!$H:$H,Исход!$A:$A,D$1,Исход!$B:$B,$A35)+
SUMIFS(Исход!$I:$I,Исход!$A:$A,D$1,Исход!$B:$B,$A35)-
SUMIFS(Исход!$L:$L,Исход!$A:$A,D$1,Исход!$B:$B,$A35)</f>
        <v>0</v>
      </c>
      <c r="E35" s="2">
        <f>SUMIFS(Исход!$D:$D,Исход!$A:$A,E$1,Исход!$B:$B,$A35)+
SUMIFS(Исход!$G:$G,Исход!$A:$A,E$1,Исход!$B:$B,$A35)+
SUMIFS(Исход!$H:$H,Исход!$A:$A,E$1,Исход!$B:$B,$A35)+
SUMIFS(Исход!$I:$I,Исход!$A:$A,E$1,Исход!$B:$B,$A35)-
SUMIFS(Исход!$L:$L,Исход!$A:$A,E$1,Исход!$B:$B,$A35)</f>
        <v>0</v>
      </c>
      <c r="F35" s="2">
        <f>SUMIFS(Исход!$D:$D,Исход!$A:$A,F$1,Исход!$B:$B,$A35)+
SUMIFS(Исход!$G:$G,Исход!$A:$A,F$1,Исход!$B:$B,$A35)+
SUMIFS(Исход!$H:$H,Исход!$A:$A,F$1,Исход!$B:$B,$A35)+
SUMIFS(Исход!$I:$I,Исход!$A:$A,F$1,Исход!$B:$B,$A35)-
SUMIFS(Исход!$L:$L,Исход!$A:$A,F$1,Исход!$B:$B,$A35)</f>
        <v>0</v>
      </c>
      <c r="G35" s="2">
        <f>SUMIFS(Исход!$D:$D,Исход!$A:$A,G$1,Исход!$B:$B,$A35)+
SUMIFS(Исход!$G:$G,Исход!$A:$A,G$1,Исход!$B:$B,$A35)+
SUMIFS(Исход!$H:$H,Исход!$A:$A,G$1,Исход!$B:$B,$A35)+
SUMIFS(Исход!$I:$I,Исход!$A:$A,G$1,Исход!$B:$B,$A35)-
SUMIFS(Исход!$L:$L,Исход!$A:$A,G$1,Исход!$B:$B,$A35)</f>
        <v>0</v>
      </c>
      <c r="H35" s="2">
        <f>SUMIFS(Исход!$D:$D,Исход!$A:$A,H$1,Исход!$B:$B,$A35)+
SUMIFS(Исход!$G:$G,Исход!$A:$A,H$1,Исход!$B:$B,$A35)+
SUMIFS(Исход!$H:$H,Исход!$A:$A,H$1,Исход!$B:$B,$A35)+
SUMIFS(Исход!$I:$I,Исход!$A:$A,H$1,Исход!$B:$B,$A35)-
SUMIFS(Исход!$L:$L,Исход!$A:$A,H$1,Исход!$B:$B,$A35)</f>
        <v>0</v>
      </c>
      <c r="I35" s="2">
        <f>SUMIFS(Исход!$D:$D,Исход!$A:$A,I$1,Исход!$B:$B,$A35)+
SUMIFS(Исход!$G:$G,Исход!$A:$A,I$1,Исход!$B:$B,$A35)+
SUMIFS(Исход!$H:$H,Исход!$A:$A,I$1,Исход!$B:$B,$A35)+
SUMIFS(Исход!$I:$I,Исход!$A:$A,I$1,Исход!$B:$B,$A35)-
SUMIFS(Исход!$L:$L,Исход!$A:$A,I$1,Исход!$B:$B,$A35)</f>
        <v>0</v>
      </c>
      <c r="J35" s="2">
        <f>SUMIFS(Исход!$D:$D,Исход!$A:$A,J$1,Исход!$B:$B,$A35)+
SUMIFS(Исход!$G:$G,Исход!$A:$A,J$1,Исход!$B:$B,$A35)+
SUMIFS(Исход!$H:$H,Исход!$A:$A,J$1,Исход!$B:$B,$A35)+
SUMIFS(Исход!$I:$I,Исход!$A:$A,J$1,Исход!$B:$B,$A35)-
SUMIFS(Исход!$L:$L,Исход!$A:$A,J$1,Исход!$B:$B,$A35)</f>
        <v>0</v>
      </c>
      <c r="K35" s="2">
        <f>SUMIFS(Исход!$D:$D,Исход!$A:$A,K$1,Исход!$B:$B,$A35)+
SUMIFS(Исход!$G:$G,Исход!$A:$A,K$1,Исход!$B:$B,$A35)+
SUMIFS(Исход!$H:$H,Исход!$A:$A,K$1,Исход!$B:$B,$A35)+
SUMIFS(Исход!$I:$I,Исход!$A:$A,K$1,Исход!$B:$B,$A35)-
SUMIFS(Исход!$L:$L,Исход!$A:$A,K$1,Исход!$B:$B,$A35)</f>
        <v>0</v>
      </c>
      <c r="L35" s="2">
        <f>SUMIFS(Исход!$D:$D,Исход!$A:$A,L$1,Исход!$B:$B,$A35)+
SUMIFS(Исход!$G:$G,Исход!$A:$A,L$1,Исход!$B:$B,$A35)+
SUMIFS(Исход!$H:$H,Исход!$A:$A,L$1,Исход!$B:$B,$A35)+
SUMIFS(Исход!$I:$I,Исход!$A:$A,L$1,Исход!$B:$B,$A35)-
SUMIFS(Исход!$L:$L,Исход!$A:$A,L$1,Исход!$B:$B,$A35)</f>
        <v>0</v>
      </c>
      <c r="M35" s="2">
        <f>SUMIFS(Исход!$D:$D,Исход!$A:$A,M$1,Исход!$B:$B,$A35)+
SUMIFS(Исход!$G:$G,Исход!$A:$A,M$1,Исход!$B:$B,$A35)+
SUMIFS(Исход!$H:$H,Исход!$A:$A,M$1,Исход!$B:$B,$A35)+
SUMIFS(Исход!$I:$I,Исход!$A:$A,M$1,Исход!$B:$B,$A35)-
SUMIFS(Исход!$L:$L,Исход!$A:$A,M$1,Исход!$B:$B,$A35)</f>
        <v>0</v>
      </c>
      <c r="N35" s="2">
        <f>SUMIFS(Исход!$D:$D,Исход!$A:$A,N$1,Исход!$B:$B,$A35)+
SUMIFS(Исход!$G:$G,Исход!$A:$A,N$1,Исход!$B:$B,$A35)+
SUMIFS(Исход!$H:$H,Исход!$A:$A,N$1,Исход!$B:$B,$A35)+
SUMIFS(Исход!$I:$I,Исход!$A:$A,N$1,Исход!$B:$B,$A35)-
SUMIFS(Исход!$L:$L,Исход!$A:$A,N$1,Исход!$B:$B,$A35)</f>
        <v>0</v>
      </c>
      <c r="O35" s="2">
        <f>SUMIFS(Исход!$D:$D,Исход!$A:$A,O$1,Исход!$B:$B,$A35)+
SUMIFS(Исход!$G:$G,Исход!$A:$A,O$1,Исход!$B:$B,$A35)+
SUMIFS(Исход!$H:$H,Исход!$A:$A,O$1,Исход!$B:$B,$A35)+
SUMIFS(Исход!$I:$I,Исход!$A:$A,O$1,Исход!$B:$B,$A35)-
SUMIFS(Исход!$L:$L,Исход!$A:$A,O$1,Исход!$B:$B,$A35)</f>
        <v>0</v>
      </c>
      <c r="P35" s="2">
        <f>SUMIFS(Исход!$D:$D,Исход!$A:$A,P$1,Исход!$B:$B,$A35)+
SUMIFS(Исход!$G:$G,Исход!$A:$A,P$1,Исход!$B:$B,$A35)+
SUMIFS(Исход!$H:$H,Исход!$A:$A,P$1,Исход!$B:$B,$A35)+
SUMIFS(Исход!$I:$I,Исход!$A:$A,P$1,Исход!$B:$B,$A35)-
SUMIFS(Исход!$L:$L,Исход!$A:$A,P$1,Исход!$B:$B,$A35)</f>
        <v>0</v>
      </c>
      <c r="Q35" s="2">
        <f>SUMIFS(Исход!$D:$D,Исход!$A:$A,Q$1,Исход!$B:$B,$A35)+
SUMIFS(Исход!$G:$G,Исход!$A:$A,Q$1,Исход!$B:$B,$A35)+
SUMIFS(Исход!$H:$H,Исход!$A:$A,Q$1,Исход!$B:$B,$A35)+
SUMIFS(Исход!$I:$I,Исход!$A:$A,Q$1,Исход!$B:$B,$A35)-
SUMIFS(Исход!$L:$L,Исход!$A:$A,Q$1,Исход!$B:$B,$A35)</f>
        <v>0</v>
      </c>
      <c r="R35" s="2">
        <f>SUMIFS(Исход!$D:$D,Исход!$A:$A,R$1,Исход!$B:$B,$A35)+
SUMIFS(Исход!$G:$G,Исход!$A:$A,R$1,Исход!$B:$B,$A35)+
SUMIFS(Исход!$H:$H,Исход!$A:$A,R$1,Исход!$B:$B,$A35)+
SUMIFS(Исход!$I:$I,Исход!$A:$A,R$1,Исход!$B:$B,$A35)-
SUMIFS(Исход!$L:$L,Исход!$A:$A,R$1,Исход!$B:$B,$A35)</f>
        <v>0</v>
      </c>
      <c r="S35" s="2">
        <f>SUMIFS(Исход!$D:$D,Исход!$A:$A,S$1,Исход!$B:$B,$A35)+
SUMIFS(Исход!$G:$G,Исход!$A:$A,S$1,Исход!$B:$B,$A35)+
SUMIFS(Исход!$H:$H,Исход!$A:$A,S$1,Исход!$B:$B,$A35)+
SUMIFS(Исход!$I:$I,Исход!$A:$A,S$1,Исход!$B:$B,$A35)-
SUMIFS(Исход!$L:$L,Исход!$A:$A,S$1,Исход!$B:$B,$A35)</f>
        <v>0</v>
      </c>
      <c r="T35" s="2">
        <f>SUMIFS(Исход!$D:$D,Исход!$A:$A,T$1,Исход!$B:$B,$A35)+
SUMIFS(Исход!$G:$G,Исход!$A:$A,T$1,Исход!$B:$B,$A35)+
SUMIFS(Исход!$H:$H,Исход!$A:$A,T$1,Исход!$B:$B,$A35)+
SUMIFS(Исход!$I:$I,Исход!$A:$A,T$1,Исход!$B:$B,$A35)-
SUMIFS(Исход!$L:$L,Исход!$A:$A,T$1,Исход!$B:$B,$A35)</f>
        <v>0</v>
      </c>
      <c r="U35" s="2">
        <f>SUMIFS(Исход!$D:$D,Исход!$A:$A,U$1,Исход!$B:$B,$A35)+
SUMIFS(Исход!$G:$G,Исход!$A:$A,U$1,Исход!$B:$B,$A35)+
SUMIFS(Исход!$H:$H,Исход!$A:$A,U$1,Исход!$B:$B,$A35)+
SUMIFS(Исход!$I:$I,Исход!$A:$A,U$1,Исход!$B:$B,$A35)-
SUMIFS(Исход!$L:$L,Исход!$A:$A,U$1,Исход!$B:$B,$A35)</f>
        <v>0</v>
      </c>
      <c r="V35" s="2">
        <f>SUMIFS(Исход!$D:$D,Исход!$A:$A,V$1,Исход!$B:$B,$A35)+
SUMIFS(Исход!$G:$G,Исход!$A:$A,V$1,Исход!$B:$B,$A35)+
SUMIFS(Исход!$H:$H,Исход!$A:$A,V$1,Исход!$B:$B,$A35)+
SUMIFS(Исход!$I:$I,Исход!$A:$A,V$1,Исход!$B:$B,$A35)-
SUMIFS(Исход!$L:$L,Исход!$A:$A,V$1,Исход!$B:$B,$A35)</f>
        <v>0</v>
      </c>
      <c r="W35" s="2">
        <f>SUMIFS(Исход!$D:$D,Исход!$A:$A,W$1,Исход!$B:$B,$A35)+
SUMIFS(Исход!$G:$G,Исход!$A:$A,W$1,Исход!$B:$B,$A35)+
SUMIFS(Исход!$H:$H,Исход!$A:$A,W$1,Исход!$B:$B,$A35)+
SUMIFS(Исход!$I:$I,Исход!$A:$A,W$1,Исход!$B:$B,$A35)-
SUMIFS(Исход!$L:$L,Исход!$A:$A,W$1,Исход!$B:$B,$A35)</f>
        <v>0</v>
      </c>
      <c r="X35" s="2">
        <f>SUMIFS(Исход!$D:$D,Исход!$A:$A,X$1,Исход!$B:$B,$A35)+
SUMIFS(Исход!$G:$G,Исход!$A:$A,X$1,Исход!$B:$B,$A35)+
SUMIFS(Исход!$H:$H,Исход!$A:$A,X$1,Исход!$B:$B,$A35)+
SUMIFS(Исход!$I:$I,Исход!$A:$A,X$1,Исход!$B:$B,$A35)-
SUMIFS(Исход!$L:$L,Исход!$A:$A,X$1,Исход!$B:$B,$A35)</f>
        <v>0</v>
      </c>
      <c r="Y35" s="2">
        <f>SUMIFS(Исход!$D:$D,Исход!$A:$A,Y$1,Исход!$B:$B,$A35)+
SUMIFS(Исход!$G:$G,Исход!$A:$A,Y$1,Исход!$B:$B,$A35)+
SUMIFS(Исход!$H:$H,Исход!$A:$A,Y$1,Исход!$B:$B,$A35)+
SUMIFS(Исход!$I:$I,Исход!$A:$A,Y$1,Исход!$B:$B,$A35)-
SUMIFS(Исход!$L:$L,Исход!$A:$A,Y$1,Исход!$B:$B,$A35)</f>
        <v>0</v>
      </c>
      <c r="Z35" s="2">
        <f>SUMIFS(Исход!$D:$D,Исход!$A:$A,Z$1,Исход!$B:$B,$A35)+
SUMIFS(Исход!$G:$G,Исход!$A:$A,Z$1,Исход!$B:$B,$A35)+
SUMIFS(Исход!$H:$H,Исход!$A:$A,Z$1,Исход!$B:$B,$A35)+
SUMIFS(Исход!$I:$I,Исход!$A:$A,Z$1,Исход!$B:$B,$A35)-
SUMIFS(Исход!$L:$L,Исход!$A:$A,Z$1,Исход!$B:$B,$A35)</f>
        <v>0</v>
      </c>
      <c r="AA35" s="2">
        <f>SUMIFS(Исход!$D:$D,Исход!$A:$A,AA$1,Исход!$B:$B,$A35)+
SUMIFS(Исход!$G:$G,Исход!$A:$A,AA$1,Исход!$B:$B,$A35)+
SUMIFS(Исход!$H:$H,Исход!$A:$A,AA$1,Исход!$B:$B,$A35)+
SUMIFS(Исход!$I:$I,Исход!$A:$A,AA$1,Исход!$B:$B,$A35)-
SUMIFS(Исход!$L:$L,Исход!$A:$A,AA$1,Исход!$B:$B,$A35)</f>
        <v>0</v>
      </c>
      <c r="AB35" s="2">
        <f>SUMIFS(Исход!$D:$D,Исход!$A:$A,AB$1,Исход!$B:$B,$A35)+
SUMIFS(Исход!$G:$G,Исход!$A:$A,AB$1,Исход!$B:$B,$A35)+
SUMIFS(Исход!$H:$H,Исход!$A:$A,AB$1,Исход!$B:$B,$A35)+
SUMIFS(Исход!$I:$I,Исход!$A:$A,AB$1,Исход!$B:$B,$A35)-
SUMIFS(Исход!$L:$L,Исход!$A:$A,AB$1,Исход!$B:$B,$A35)</f>
        <v>0</v>
      </c>
      <c r="AC35" s="2">
        <f>SUMIFS(Исход!$D:$D,Исход!$A:$A,AC$1,Исход!$B:$B,$A35)+
SUMIFS(Исход!$G:$G,Исход!$A:$A,AC$1,Исход!$B:$B,$A35)+
SUMIFS(Исход!$H:$H,Исход!$A:$A,AC$1,Исход!$B:$B,$A35)+
SUMIFS(Исход!$I:$I,Исход!$A:$A,AC$1,Исход!$B:$B,$A35)-
SUMIFS(Исход!$L:$L,Исход!$A:$A,AC$1,Исход!$B:$B,$A35)</f>
        <v>0</v>
      </c>
      <c r="AD35" s="2">
        <f>SUMIFS(Исход!$D:$D,Исход!$A:$A,AD$1,Исход!$B:$B,$A35)+
SUMIFS(Исход!$G:$G,Исход!$A:$A,AD$1,Исход!$B:$B,$A35)+
SUMIFS(Исход!$H:$H,Исход!$A:$A,AD$1,Исход!$B:$B,$A35)+
SUMIFS(Исход!$I:$I,Исход!$A:$A,AD$1,Исход!$B:$B,$A35)-
SUMIFS(Исход!$L:$L,Исход!$A:$A,AD$1,Исход!$B:$B,$A35)</f>
        <v>0</v>
      </c>
      <c r="AE35" s="2">
        <f>SUMIFS(Исход!$D:$D,Исход!$A:$A,AE$1,Исход!$B:$B,$A35)+
SUMIFS(Исход!$G:$G,Исход!$A:$A,AE$1,Исход!$B:$B,$A35)+
SUMIFS(Исход!$H:$H,Исход!$A:$A,AE$1,Исход!$B:$B,$A35)+
SUMIFS(Исход!$I:$I,Исход!$A:$A,AE$1,Исход!$B:$B,$A35)-
SUMIFS(Исход!$L:$L,Исход!$A:$A,AE$1,Исход!$B:$B,$A35)</f>
        <v>0</v>
      </c>
      <c r="AF35" s="2">
        <f>SUMIFS(Исход!$D:$D,Исход!$A:$A,AF$1,Исход!$B:$B,$A35)+
SUMIFS(Исход!$G:$G,Исход!$A:$A,AF$1,Исход!$B:$B,$A35)+
SUMIFS(Исход!$H:$H,Исход!$A:$A,AF$1,Исход!$B:$B,$A35)+
SUMIFS(Исход!$I:$I,Исход!$A:$A,AF$1,Исход!$B:$B,$A35)-
SUMIFS(Исход!$L:$L,Исход!$A:$A,AF$1,Исход!$B:$B,$A35)</f>
        <v>0</v>
      </c>
      <c r="AG35" s="57">
        <f>SUMIFS(Исход!$D:$D,Исход!$A:$A,AG$1,Исход!$B:$B,$A35)+
SUMIFS(Исход!$G:$G,Исход!$A:$A,AG$1,Исход!$B:$B,$A35)+
SUMIFS(Исход!$H:$H,Исход!$A:$A,AG$1,Исход!$B:$B,$A35)+
SUMIFS(Исход!$I:$I,Исход!$A:$A,AG$1,Исход!$B:$B,$A35)-
SUMIFS(Исход!$L:$L,Исход!$A:$A,AG$1,Исход!$B:$B,$A35)</f>
        <v>0</v>
      </c>
    </row>
    <row r="36" spans="1:33" hidden="1" outlineLevel="1" x14ac:dyDescent="0.25">
      <c r="A36" s="103">
        <v>0.66666666666666663</v>
      </c>
      <c r="B36" s="123">
        <v>0.6875</v>
      </c>
      <c r="C36" s="63">
        <f>SUMIFS(Исход!$D:$D,Исход!$A:$A,C$1,Исход!$B:$B,$A36)+
SUMIFS(Исход!$G:$G,Исход!$A:$A,C$1,Исход!$B:$B,$A36)+
SUMIFS(Исход!$H:$H,Исход!$A:$A,C$1,Исход!$B:$B,$A36)+
SUMIFS(Исход!$I:$I,Исход!$A:$A,C$1,Исход!$B:$B,$A36)-
SUMIFS(Исход!$L:$L,Исход!$A:$A,C$1,Исход!$B:$B,$A36)</f>
        <v>0</v>
      </c>
      <c r="D36" s="2">
        <f>SUMIFS(Исход!$D:$D,Исход!$A:$A,D$1,Исход!$B:$B,$A36)+
SUMIFS(Исход!$G:$G,Исход!$A:$A,D$1,Исход!$B:$B,$A36)+
SUMIFS(Исход!$H:$H,Исход!$A:$A,D$1,Исход!$B:$B,$A36)+
SUMIFS(Исход!$I:$I,Исход!$A:$A,D$1,Исход!$B:$B,$A36)-
SUMIFS(Исход!$L:$L,Исход!$A:$A,D$1,Исход!$B:$B,$A36)</f>
        <v>0</v>
      </c>
      <c r="E36" s="2">
        <f>SUMIFS(Исход!$D:$D,Исход!$A:$A,E$1,Исход!$B:$B,$A36)+
SUMIFS(Исход!$G:$G,Исход!$A:$A,E$1,Исход!$B:$B,$A36)+
SUMIFS(Исход!$H:$H,Исход!$A:$A,E$1,Исход!$B:$B,$A36)+
SUMIFS(Исход!$I:$I,Исход!$A:$A,E$1,Исход!$B:$B,$A36)-
SUMIFS(Исход!$L:$L,Исход!$A:$A,E$1,Исход!$B:$B,$A36)</f>
        <v>0</v>
      </c>
      <c r="F36" s="2">
        <f>SUMIFS(Исход!$D:$D,Исход!$A:$A,F$1,Исход!$B:$B,$A36)+
SUMIFS(Исход!$G:$G,Исход!$A:$A,F$1,Исход!$B:$B,$A36)+
SUMIFS(Исход!$H:$H,Исход!$A:$A,F$1,Исход!$B:$B,$A36)+
SUMIFS(Исход!$I:$I,Исход!$A:$A,F$1,Исход!$B:$B,$A36)-
SUMIFS(Исход!$L:$L,Исход!$A:$A,F$1,Исход!$B:$B,$A36)</f>
        <v>0</v>
      </c>
      <c r="G36" s="2">
        <f>SUMIFS(Исход!$D:$D,Исход!$A:$A,G$1,Исход!$B:$B,$A36)+
SUMIFS(Исход!$G:$G,Исход!$A:$A,G$1,Исход!$B:$B,$A36)+
SUMIFS(Исход!$H:$H,Исход!$A:$A,G$1,Исход!$B:$B,$A36)+
SUMIFS(Исход!$I:$I,Исход!$A:$A,G$1,Исход!$B:$B,$A36)-
SUMIFS(Исход!$L:$L,Исход!$A:$A,G$1,Исход!$B:$B,$A36)</f>
        <v>0</v>
      </c>
      <c r="H36" s="2">
        <f>SUMIFS(Исход!$D:$D,Исход!$A:$A,H$1,Исход!$B:$B,$A36)+
SUMIFS(Исход!$G:$G,Исход!$A:$A,H$1,Исход!$B:$B,$A36)+
SUMIFS(Исход!$H:$H,Исход!$A:$A,H$1,Исход!$B:$B,$A36)+
SUMIFS(Исход!$I:$I,Исход!$A:$A,H$1,Исход!$B:$B,$A36)-
SUMIFS(Исход!$L:$L,Исход!$A:$A,H$1,Исход!$B:$B,$A36)</f>
        <v>0</v>
      </c>
      <c r="I36" s="2">
        <f>SUMIFS(Исход!$D:$D,Исход!$A:$A,I$1,Исход!$B:$B,$A36)+
SUMIFS(Исход!$G:$G,Исход!$A:$A,I$1,Исход!$B:$B,$A36)+
SUMIFS(Исход!$H:$H,Исход!$A:$A,I$1,Исход!$B:$B,$A36)+
SUMIFS(Исход!$I:$I,Исход!$A:$A,I$1,Исход!$B:$B,$A36)-
SUMIFS(Исход!$L:$L,Исход!$A:$A,I$1,Исход!$B:$B,$A36)</f>
        <v>0</v>
      </c>
      <c r="J36" s="2">
        <f>SUMIFS(Исход!$D:$D,Исход!$A:$A,J$1,Исход!$B:$B,$A36)+
SUMIFS(Исход!$G:$G,Исход!$A:$A,J$1,Исход!$B:$B,$A36)+
SUMIFS(Исход!$H:$H,Исход!$A:$A,J$1,Исход!$B:$B,$A36)+
SUMIFS(Исход!$I:$I,Исход!$A:$A,J$1,Исход!$B:$B,$A36)-
SUMIFS(Исход!$L:$L,Исход!$A:$A,J$1,Исход!$B:$B,$A36)</f>
        <v>0</v>
      </c>
      <c r="K36" s="2">
        <f>SUMIFS(Исход!$D:$D,Исход!$A:$A,K$1,Исход!$B:$B,$A36)+
SUMIFS(Исход!$G:$G,Исход!$A:$A,K$1,Исход!$B:$B,$A36)+
SUMIFS(Исход!$H:$H,Исход!$A:$A,K$1,Исход!$B:$B,$A36)+
SUMIFS(Исход!$I:$I,Исход!$A:$A,K$1,Исход!$B:$B,$A36)-
SUMIFS(Исход!$L:$L,Исход!$A:$A,K$1,Исход!$B:$B,$A36)</f>
        <v>0</v>
      </c>
      <c r="L36" s="2">
        <f>SUMIFS(Исход!$D:$D,Исход!$A:$A,L$1,Исход!$B:$B,$A36)+
SUMIFS(Исход!$G:$G,Исход!$A:$A,L$1,Исход!$B:$B,$A36)+
SUMIFS(Исход!$H:$H,Исход!$A:$A,L$1,Исход!$B:$B,$A36)+
SUMIFS(Исход!$I:$I,Исход!$A:$A,L$1,Исход!$B:$B,$A36)-
SUMIFS(Исход!$L:$L,Исход!$A:$A,L$1,Исход!$B:$B,$A36)</f>
        <v>0</v>
      </c>
      <c r="M36" s="2">
        <f>SUMIFS(Исход!$D:$D,Исход!$A:$A,M$1,Исход!$B:$B,$A36)+
SUMIFS(Исход!$G:$G,Исход!$A:$A,M$1,Исход!$B:$B,$A36)+
SUMIFS(Исход!$H:$H,Исход!$A:$A,M$1,Исход!$B:$B,$A36)+
SUMIFS(Исход!$I:$I,Исход!$A:$A,M$1,Исход!$B:$B,$A36)-
SUMIFS(Исход!$L:$L,Исход!$A:$A,M$1,Исход!$B:$B,$A36)</f>
        <v>0</v>
      </c>
      <c r="N36" s="2">
        <f>SUMIFS(Исход!$D:$D,Исход!$A:$A,N$1,Исход!$B:$B,$A36)+
SUMIFS(Исход!$G:$G,Исход!$A:$A,N$1,Исход!$B:$B,$A36)+
SUMIFS(Исход!$H:$H,Исход!$A:$A,N$1,Исход!$B:$B,$A36)+
SUMIFS(Исход!$I:$I,Исход!$A:$A,N$1,Исход!$B:$B,$A36)-
SUMIFS(Исход!$L:$L,Исход!$A:$A,N$1,Исход!$B:$B,$A36)</f>
        <v>0</v>
      </c>
      <c r="O36" s="2">
        <f>SUMIFS(Исход!$D:$D,Исход!$A:$A,O$1,Исход!$B:$B,$A36)+
SUMIFS(Исход!$G:$G,Исход!$A:$A,O$1,Исход!$B:$B,$A36)+
SUMIFS(Исход!$H:$H,Исход!$A:$A,O$1,Исход!$B:$B,$A36)+
SUMIFS(Исход!$I:$I,Исход!$A:$A,O$1,Исход!$B:$B,$A36)-
SUMIFS(Исход!$L:$L,Исход!$A:$A,O$1,Исход!$B:$B,$A36)</f>
        <v>0</v>
      </c>
      <c r="P36" s="2">
        <f>SUMIFS(Исход!$D:$D,Исход!$A:$A,P$1,Исход!$B:$B,$A36)+
SUMIFS(Исход!$G:$G,Исход!$A:$A,P$1,Исход!$B:$B,$A36)+
SUMIFS(Исход!$H:$H,Исход!$A:$A,P$1,Исход!$B:$B,$A36)+
SUMIFS(Исход!$I:$I,Исход!$A:$A,P$1,Исход!$B:$B,$A36)-
SUMIFS(Исход!$L:$L,Исход!$A:$A,P$1,Исход!$B:$B,$A36)</f>
        <v>0</v>
      </c>
      <c r="Q36" s="2">
        <f>SUMIFS(Исход!$D:$D,Исход!$A:$A,Q$1,Исход!$B:$B,$A36)+
SUMIFS(Исход!$G:$G,Исход!$A:$A,Q$1,Исход!$B:$B,$A36)+
SUMIFS(Исход!$H:$H,Исход!$A:$A,Q$1,Исход!$B:$B,$A36)+
SUMIFS(Исход!$I:$I,Исход!$A:$A,Q$1,Исход!$B:$B,$A36)-
SUMIFS(Исход!$L:$L,Исход!$A:$A,Q$1,Исход!$B:$B,$A36)</f>
        <v>0</v>
      </c>
      <c r="R36" s="2">
        <f>SUMIFS(Исход!$D:$D,Исход!$A:$A,R$1,Исход!$B:$B,$A36)+
SUMIFS(Исход!$G:$G,Исход!$A:$A,R$1,Исход!$B:$B,$A36)+
SUMIFS(Исход!$H:$H,Исход!$A:$A,R$1,Исход!$B:$B,$A36)+
SUMIFS(Исход!$I:$I,Исход!$A:$A,R$1,Исход!$B:$B,$A36)-
SUMIFS(Исход!$L:$L,Исход!$A:$A,R$1,Исход!$B:$B,$A36)</f>
        <v>0</v>
      </c>
      <c r="S36" s="2">
        <f>SUMIFS(Исход!$D:$D,Исход!$A:$A,S$1,Исход!$B:$B,$A36)+
SUMIFS(Исход!$G:$G,Исход!$A:$A,S$1,Исход!$B:$B,$A36)+
SUMIFS(Исход!$H:$H,Исход!$A:$A,S$1,Исход!$B:$B,$A36)+
SUMIFS(Исход!$I:$I,Исход!$A:$A,S$1,Исход!$B:$B,$A36)-
SUMIFS(Исход!$L:$L,Исход!$A:$A,S$1,Исход!$B:$B,$A36)</f>
        <v>0</v>
      </c>
      <c r="T36" s="2">
        <f>SUMIFS(Исход!$D:$D,Исход!$A:$A,T$1,Исход!$B:$B,$A36)+
SUMIFS(Исход!$G:$G,Исход!$A:$A,T$1,Исход!$B:$B,$A36)+
SUMIFS(Исход!$H:$H,Исход!$A:$A,T$1,Исход!$B:$B,$A36)+
SUMIFS(Исход!$I:$I,Исход!$A:$A,T$1,Исход!$B:$B,$A36)-
SUMIFS(Исход!$L:$L,Исход!$A:$A,T$1,Исход!$B:$B,$A36)</f>
        <v>0</v>
      </c>
      <c r="U36" s="2">
        <f>SUMIFS(Исход!$D:$D,Исход!$A:$A,U$1,Исход!$B:$B,$A36)+
SUMIFS(Исход!$G:$G,Исход!$A:$A,U$1,Исход!$B:$B,$A36)+
SUMIFS(Исход!$H:$H,Исход!$A:$A,U$1,Исход!$B:$B,$A36)+
SUMIFS(Исход!$I:$I,Исход!$A:$A,U$1,Исход!$B:$B,$A36)-
SUMIFS(Исход!$L:$L,Исход!$A:$A,U$1,Исход!$B:$B,$A36)</f>
        <v>0</v>
      </c>
      <c r="V36" s="2">
        <f>SUMIFS(Исход!$D:$D,Исход!$A:$A,V$1,Исход!$B:$B,$A36)+
SUMIFS(Исход!$G:$G,Исход!$A:$A,V$1,Исход!$B:$B,$A36)+
SUMIFS(Исход!$H:$H,Исход!$A:$A,V$1,Исход!$B:$B,$A36)+
SUMIFS(Исход!$I:$I,Исход!$A:$A,V$1,Исход!$B:$B,$A36)-
SUMIFS(Исход!$L:$L,Исход!$A:$A,V$1,Исход!$B:$B,$A36)</f>
        <v>0</v>
      </c>
      <c r="W36" s="2">
        <f>SUMIFS(Исход!$D:$D,Исход!$A:$A,W$1,Исход!$B:$B,$A36)+
SUMIFS(Исход!$G:$G,Исход!$A:$A,W$1,Исход!$B:$B,$A36)+
SUMIFS(Исход!$H:$H,Исход!$A:$A,W$1,Исход!$B:$B,$A36)+
SUMIFS(Исход!$I:$I,Исход!$A:$A,W$1,Исход!$B:$B,$A36)-
SUMIFS(Исход!$L:$L,Исход!$A:$A,W$1,Исход!$B:$B,$A36)</f>
        <v>0</v>
      </c>
      <c r="X36" s="2">
        <f>SUMIFS(Исход!$D:$D,Исход!$A:$A,X$1,Исход!$B:$B,$A36)+
SUMIFS(Исход!$G:$G,Исход!$A:$A,X$1,Исход!$B:$B,$A36)+
SUMIFS(Исход!$H:$H,Исход!$A:$A,X$1,Исход!$B:$B,$A36)+
SUMIFS(Исход!$I:$I,Исход!$A:$A,X$1,Исход!$B:$B,$A36)-
SUMIFS(Исход!$L:$L,Исход!$A:$A,X$1,Исход!$B:$B,$A36)</f>
        <v>0</v>
      </c>
      <c r="Y36" s="2">
        <f>SUMIFS(Исход!$D:$D,Исход!$A:$A,Y$1,Исход!$B:$B,$A36)+
SUMIFS(Исход!$G:$G,Исход!$A:$A,Y$1,Исход!$B:$B,$A36)+
SUMIFS(Исход!$H:$H,Исход!$A:$A,Y$1,Исход!$B:$B,$A36)+
SUMIFS(Исход!$I:$I,Исход!$A:$A,Y$1,Исход!$B:$B,$A36)-
SUMIFS(Исход!$L:$L,Исход!$A:$A,Y$1,Исход!$B:$B,$A36)</f>
        <v>0</v>
      </c>
      <c r="Z36" s="2">
        <f>SUMIFS(Исход!$D:$D,Исход!$A:$A,Z$1,Исход!$B:$B,$A36)+
SUMIFS(Исход!$G:$G,Исход!$A:$A,Z$1,Исход!$B:$B,$A36)+
SUMIFS(Исход!$H:$H,Исход!$A:$A,Z$1,Исход!$B:$B,$A36)+
SUMIFS(Исход!$I:$I,Исход!$A:$A,Z$1,Исход!$B:$B,$A36)-
SUMIFS(Исход!$L:$L,Исход!$A:$A,Z$1,Исход!$B:$B,$A36)</f>
        <v>0</v>
      </c>
      <c r="AA36" s="2">
        <f>SUMIFS(Исход!$D:$D,Исход!$A:$A,AA$1,Исход!$B:$B,$A36)+
SUMIFS(Исход!$G:$G,Исход!$A:$A,AA$1,Исход!$B:$B,$A36)+
SUMIFS(Исход!$H:$H,Исход!$A:$A,AA$1,Исход!$B:$B,$A36)+
SUMIFS(Исход!$I:$I,Исход!$A:$A,AA$1,Исход!$B:$B,$A36)-
SUMIFS(Исход!$L:$L,Исход!$A:$A,AA$1,Исход!$B:$B,$A36)</f>
        <v>0</v>
      </c>
      <c r="AB36" s="2">
        <f>SUMIFS(Исход!$D:$D,Исход!$A:$A,AB$1,Исход!$B:$B,$A36)+
SUMIFS(Исход!$G:$G,Исход!$A:$A,AB$1,Исход!$B:$B,$A36)+
SUMIFS(Исход!$H:$H,Исход!$A:$A,AB$1,Исход!$B:$B,$A36)+
SUMIFS(Исход!$I:$I,Исход!$A:$A,AB$1,Исход!$B:$B,$A36)-
SUMIFS(Исход!$L:$L,Исход!$A:$A,AB$1,Исход!$B:$B,$A36)</f>
        <v>0</v>
      </c>
      <c r="AC36" s="2">
        <f>SUMIFS(Исход!$D:$D,Исход!$A:$A,AC$1,Исход!$B:$B,$A36)+
SUMIFS(Исход!$G:$G,Исход!$A:$A,AC$1,Исход!$B:$B,$A36)+
SUMIFS(Исход!$H:$H,Исход!$A:$A,AC$1,Исход!$B:$B,$A36)+
SUMIFS(Исход!$I:$I,Исход!$A:$A,AC$1,Исход!$B:$B,$A36)-
SUMIFS(Исход!$L:$L,Исход!$A:$A,AC$1,Исход!$B:$B,$A36)</f>
        <v>0</v>
      </c>
      <c r="AD36" s="2">
        <f>SUMIFS(Исход!$D:$D,Исход!$A:$A,AD$1,Исход!$B:$B,$A36)+
SUMIFS(Исход!$G:$G,Исход!$A:$A,AD$1,Исход!$B:$B,$A36)+
SUMIFS(Исход!$H:$H,Исход!$A:$A,AD$1,Исход!$B:$B,$A36)+
SUMIFS(Исход!$I:$I,Исход!$A:$A,AD$1,Исход!$B:$B,$A36)-
SUMIFS(Исход!$L:$L,Исход!$A:$A,AD$1,Исход!$B:$B,$A36)</f>
        <v>0</v>
      </c>
      <c r="AE36" s="2">
        <f>SUMIFS(Исход!$D:$D,Исход!$A:$A,AE$1,Исход!$B:$B,$A36)+
SUMIFS(Исход!$G:$G,Исход!$A:$A,AE$1,Исход!$B:$B,$A36)+
SUMIFS(Исход!$H:$H,Исход!$A:$A,AE$1,Исход!$B:$B,$A36)+
SUMIFS(Исход!$I:$I,Исход!$A:$A,AE$1,Исход!$B:$B,$A36)-
SUMIFS(Исход!$L:$L,Исход!$A:$A,AE$1,Исход!$B:$B,$A36)</f>
        <v>0</v>
      </c>
      <c r="AF36" s="2">
        <f>SUMIFS(Исход!$D:$D,Исход!$A:$A,AF$1,Исход!$B:$B,$A36)+
SUMIFS(Исход!$G:$G,Исход!$A:$A,AF$1,Исход!$B:$B,$A36)+
SUMIFS(Исход!$H:$H,Исход!$A:$A,AF$1,Исход!$B:$B,$A36)+
SUMIFS(Исход!$I:$I,Исход!$A:$A,AF$1,Исход!$B:$B,$A36)-
SUMIFS(Исход!$L:$L,Исход!$A:$A,AF$1,Исход!$B:$B,$A36)</f>
        <v>0</v>
      </c>
      <c r="AG36" s="57">
        <f>SUMIFS(Исход!$D:$D,Исход!$A:$A,AG$1,Исход!$B:$B,$A36)+
SUMIFS(Исход!$G:$G,Исход!$A:$A,AG$1,Исход!$B:$B,$A36)+
SUMIFS(Исход!$H:$H,Исход!$A:$A,AG$1,Исход!$B:$B,$A36)+
SUMIFS(Исход!$I:$I,Исход!$A:$A,AG$1,Исход!$B:$B,$A36)-
SUMIFS(Исход!$L:$L,Исход!$A:$A,AG$1,Исход!$B:$B,$A36)</f>
        <v>0</v>
      </c>
    </row>
    <row r="37" spans="1:33" hidden="1" outlineLevel="1" x14ac:dyDescent="0.25">
      <c r="A37" s="103">
        <v>0.6875</v>
      </c>
      <c r="B37" s="123">
        <v>0.70833333333333337</v>
      </c>
      <c r="C37" s="63">
        <f>SUMIFS(Исход!$D:$D,Исход!$A:$A,C$1,Исход!$B:$B,$A37)+
SUMIFS(Исход!$G:$G,Исход!$A:$A,C$1,Исход!$B:$B,$A37)+
SUMIFS(Исход!$H:$H,Исход!$A:$A,C$1,Исход!$B:$B,$A37)+
SUMIFS(Исход!$I:$I,Исход!$A:$A,C$1,Исход!$B:$B,$A37)-
SUMIFS(Исход!$L:$L,Исход!$A:$A,C$1,Исход!$B:$B,$A37)</f>
        <v>0</v>
      </c>
      <c r="D37" s="2">
        <f>SUMIFS(Исход!$D:$D,Исход!$A:$A,D$1,Исход!$B:$B,$A37)+
SUMIFS(Исход!$G:$G,Исход!$A:$A,D$1,Исход!$B:$B,$A37)+
SUMIFS(Исход!$H:$H,Исход!$A:$A,D$1,Исход!$B:$B,$A37)+
SUMIFS(Исход!$I:$I,Исход!$A:$A,D$1,Исход!$B:$B,$A37)-
SUMIFS(Исход!$L:$L,Исход!$A:$A,D$1,Исход!$B:$B,$A37)</f>
        <v>0</v>
      </c>
      <c r="E37" s="2">
        <f>SUMIFS(Исход!$D:$D,Исход!$A:$A,E$1,Исход!$B:$B,$A37)+
SUMIFS(Исход!$G:$G,Исход!$A:$A,E$1,Исход!$B:$B,$A37)+
SUMIFS(Исход!$H:$H,Исход!$A:$A,E$1,Исход!$B:$B,$A37)+
SUMIFS(Исход!$I:$I,Исход!$A:$A,E$1,Исход!$B:$B,$A37)-
SUMIFS(Исход!$L:$L,Исход!$A:$A,E$1,Исход!$B:$B,$A37)</f>
        <v>0</v>
      </c>
      <c r="F37" s="2">
        <f>SUMIFS(Исход!$D:$D,Исход!$A:$A,F$1,Исход!$B:$B,$A37)+
SUMIFS(Исход!$G:$G,Исход!$A:$A,F$1,Исход!$B:$B,$A37)+
SUMIFS(Исход!$H:$H,Исход!$A:$A,F$1,Исход!$B:$B,$A37)+
SUMIFS(Исход!$I:$I,Исход!$A:$A,F$1,Исход!$B:$B,$A37)-
SUMIFS(Исход!$L:$L,Исход!$A:$A,F$1,Исход!$B:$B,$A37)</f>
        <v>0</v>
      </c>
      <c r="G37" s="2">
        <f>SUMIFS(Исход!$D:$D,Исход!$A:$A,G$1,Исход!$B:$B,$A37)+
SUMIFS(Исход!$G:$G,Исход!$A:$A,G$1,Исход!$B:$B,$A37)+
SUMIFS(Исход!$H:$H,Исход!$A:$A,G$1,Исход!$B:$B,$A37)+
SUMIFS(Исход!$I:$I,Исход!$A:$A,G$1,Исход!$B:$B,$A37)-
SUMIFS(Исход!$L:$L,Исход!$A:$A,G$1,Исход!$B:$B,$A37)</f>
        <v>0</v>
      </c>
      <c r="H37" s="2">
        <f>SUMIFS(Исход!$D:$D,Исход!$A:$A,H$1,Исход!$B:$B,$A37)+
SUMIFS(Исход!$G:$G,Исход!$A:$A,H$1,Исход!$B:$B,$A37)+
SUMIFS(Исход!$H:$H,Исход!$A:$A,H$1,Исход!$B:$B,$A37)+
SUMIFS(Исход!$I:$I,Исход!$A:$A,H$1,Исход!$B:$B,$A37)-
SUMIFS(Исход!$L:$L,Исход!$A:$A,H$1,Исход!$B:$B,$A37)</f>
        <v>0</v>
      </c>
      <c r="I37" s="2">
        <f>SUMIFS(Исход!$D:$D,Исход!$A:$A,I$1,Исход!$B:$B,$A37)+
SUMIFS(Исход!$G:$G,Исход!$A:$A,I$1,Исход!$B:$B,$A37)+
SUMIFS(Исход!$H:$H,Исход!$A:$A,I$1,Исход!$B:$B,$A37)+
SUMIFS(Исход!$I:$I,Исход!$A:$A,I$1,Исход!$B:$B,$A37)-
SUMIFS(Исход!$L:$L,Исход!$A:$A,I$1,Исход!$B:$B,$A37)</f>
        <v>0</v>
      </c>
      <c r="J37" s="2">
        <f>SUMIFS(Исход!$D:$D,Исход!$A:$A,J$1,Исход!$B:$B,$A37)+
SUMIFS(Исход!$G:$G,Исход!$A:$A,J$1,Исход!$B:$B,$A37)+
SUMIFS(Исход!$H:$H,Исход!$A:$A,J$1,Исход!$B:$B,$A37)+
SUMIFS(Исход!$I:$I,Исход!$A:$A,J$1,Исход!$B:$B,$A37)-
SUMIFS(Исход!$L:$L,Исход!$A:$A,J$1,Исход!$B:$B,$A37)</f>
        <v>0</v>
      </c>
      <c r="K37" s="2">
        <f>SUMIFS(Исход!$D:$D,Исход!$A:$A,K$1,Исход!$B:$B,$A37)+
SUMIFS(Исход!$G:$G,Исход!$A:$A,K$1,Исход!$B:$B,$A37)+
SUMIFS(Исход!$H:$H,Исход!$A:$A,K$1,Исход!$B:$B,$A37)+
SUMIFS(Исход!$I:$I,Исход!$A:$A,K$1,Исход!$B:$B,$A37)-
SUMIFS(Исход!$L:$L,Исход!$A:$A,K$1,Исход!$B:$B,$A37)</f>
        <v>0</v>
      </c>
      <c r="L37" s="2">
        <f>SUMIFS(Исход!$D:$D,Исход!$A:$A,L$1,Исход!$B:$B,$A37)+
SUMIFS(Исход!$G:$G,Исход!$A:$A,L$1,Исход!$B:$B,$A37)+
SUMIFS(Исход!$H:$H,Исход!$A:$A,L$1,Исход!$B:$B,$A37)+
SUMIFS(Исход!$I:$I,Исход!$A:$A,L$1,Исход!$B:$B,$A37)-
SUMIFS(Исход!$L:$L,Исход!$A:$A,L$1,Исход!$B:$B,$A37)</f>
        <v>0</v>
      </c>
      <c r="M37" s="2">
        <f>SUMIFS(Исход!$D:$D,Исход!$A:$A,M$1,Исход!$B:$B,$A37)+
SUMIFS(Исход!$G:$G,Исход!$A:$A,M$1,Исход!$B:$B,$A37)+
SUMIFS(Исход!$H:$H,Исход!$A:$A,M$1,Исход!$B:$B,$A37)+
SUMIFS(Исход!$I:$I,Исход!$A:$A,M$1,Исход!$B:$B,$A37)-
SUMIFS(Исход!$L:$L,Исход!$A:$A,M$1,Исход!$B:$B,$A37)</f>
        <v>0</v>
      </c>
      <c r="N37" s="2">
        <f>SUMIFS(Исход!$D:$D,Исход!$A:$A,N$1,Исход!$B:$B,$A37)+
SUMIFS(Исход!$G:$G,Исход!$A:$A,N$1,Исход!$B:$B,$A37)+
SUMIFS(Исход!$H:$H,Исход!$A:$A,N$1,Исход!$B:$B,$A37)+
SUMIFS(Исход!$I:$I,Исход!$A:$A,N$1,Исход!$B:$B,$A37)-
SUMIFS(Исход!$L:$L,Исход!$A:$A,N$1,Исход!$B:$B,$A37)</f>
        <v>0</v>
      </c>
      <c r="O37" s="2">
        <f>SUMIFS(Исход!$D:$D,Исход!$A:$A,O$1,Исход!$B:$B,$A37)+
SUMIFS(Исход!$G:$G,Исход!$A:$A,O$1,Исход!$B:$B,$A37)+
SUMIFS(Исход!$H:$H,Исход!$A:$A,O$1,Исход!$B:$B,$A37)+
SUMIFS(Исход!$I:$I,Исход!$A:$A,O$1,Исход!$B:$B,$A37)-
SUMIFS(Исход!$L:$L,Исход!$A:$A,O$1,Исход!$B:$B,$A37)</f>
        <v>0</v>
      </c>
      <c r="P37" s="2">
        <f>SUMIFS(Исход!$D:$D,Исход!$A:$A,P$1,Исход!$B:$B,$A37)+
SUMIFS(Исход!$G:$G,Исход!$A:$A,P$1,Исход!$B:$B,$A37)+
SUMIFS(Исход!$H:$H,Исход!$A:$A,P$1,Исход!$B:$B,$A37)+
SUMIFS(Исход!$I:$I,Исход!$A:$A,P$1,Исход!$B:$B,$A37)-
SUMIFS(Исход!$L:$L,Исход!$A:$A,P$1,Исход!$B:$B,$A37)</f>
        <v>0</v>
      </c>
      <c r="Q37" s="2">
        <f>SUMIFS(Исход!$D:$D,Исход!$A:$A,Q$1,Исход!$B:$B,$A37)+
SUMIFS(Исход!$G:$G,Исход!$A:$A,Q$1,Исход!$B:$B,$A37)+
SUMIFS(Исход!$H:$H,Исход!$A:$A,Q$1,Исход!$B:$B,$A37)+
SUMIFS(Исход!$I:$I,Исход!$A:$A,Q$1,Исход!$B:$B,$A37)-
SUMIFS(Исход!$L:$L,Исход!$A:$A,Q$1,Исход!$B:$B,$A37)</f>
        <v>0</v>
      </c>
      <c r="R37" s="2">
        <f>SUMIFS(Исход!$D:$D,Исход!$A:$A,R$1,Исход!$B:$B,$A37)+
SUMIFS(Исход!$G:$G,Исход!$A:$A,R$1,Исход!$B:$B,$A37)+
SUMIFS(Исход!$H:$H,Исход!$A:$A,R$1,Исход!$B:$B,$A37)+
SUMIFS(Исход!$I:$I,Исход!$A:$A,R$1,Исход!$B:$B,$A37)-
SUMIFS(Исход!$L:$L,Исход!$A:$A,R$1,Исход!$B:$B,$A37)</f>
        <v>0</v>
      </c>
      <c r="S37" s="2">
        <f>SUMIFS(Исход!$D:$D,Исход!$A:$A,S$1,Исход!$B:$B,$A37)+
SUMIFS(Исход!$G:$G,Исход!$A:$A,S$1,Исход!$B:$B,$A37)+
SUMIFS(Исход!$H:$H,Исход!$A:$A,S$1,Исход!$B:$B,$A37)+
SUMIFS(Исход!$I:$I,Исход!$A:$A,S$1,Исход!$B:$B,$A37)-
SUMIFS(Исход!$L:$L,Исход!$A:$A,S$1,Исход!$B:$B,$A37)</f>
        <v>0</v>
      </c>
      <c r="T37" s="2">
        <f>SUMIFS(Исход!$D:$D,Исход!$A:$A,T$1,Исход!$B:$B,$A37)+
SUMIFS(Исход!$G:$G,Исход!$A:$A,T$1,Исход!$B:$B,$A37)+
SUMIFS(Исход!$H:$H,Исход!$A:$A,T$1,Исход!$B:$B,$A37)+
SUMIFS(Исход!$I:$I,Исход!$A:$A,T$1,Исход!$B:$B,$A37)-
SUMIFS(Исход!$L:$L,Исход!$A:$A,T$1,Исход!$B:$B,$A37)</f>
        <v>0</v>
      </c>
      <c r="U37" s="2">
        <f>SUMIFS(Исход!$D:$D,Исход!$A:$A,U$1,Исход!$B:$B,$A37)+
SUMIFS(Исход!$G:$G,Исход!$A:$A,U$1,Исход!$B:$B,$A37)+
SUMIFS(Исход!$H:$H,Исход!$A:$A,U$1,Исход!$B:$B,$A37)+
SUMIFS(Исход!$I:$I,Исход!$A:$A,U$1,Исход!$B:$B,$A37)-
SUMIFS(Исход!$L:$L,Исход!$A:$A,U$1,Исход!$B:$B,$A37)</f>
        <v>0</v>
      </c>
      <c r="V37" s="2">
        <f>SUMIFS(Исход!$D:$D,Исход!$A:$A,V$1,Исход!$B:$B,$A37)+
SUMIFS(Исход!$G:$G,Исход!$A:$A,V$1,Исход!$B:$B,$A37)+
SUMIFS(Исход!$H:$H,Исход!$A:$A,V$1,Исход!$B:$B,$A37)+
SUMIFS(Исход!$I:$I,Исход!$A:$A,V$1,Исход!$B:$B,$A37)-
SUMIFS(Исход!$L:$L,Исход!$A:$A,V$1,Исход!$B:$B,$A37)</f>
        <v>0</v>
      </c>
      <c r="W37" s="2">
        <f>SUMIFS(Исход!$D:$D,Исход!$A:$A,W$1,Исход!$B:$B,$A37)+
SUMIFS(Исход!$G:$G,Исход!$A:$A,W$1,Исход!$B:$B,$A37)+
SUMIFS(Исход!$H:$H,Исход!$A:$A,W$1,Исход!$B:$B,$A37)+
SUMIFS(Исход!$I:$I,Исход!$A:$A,W$1,Исход!$B:$B,$A37)-
SUMIFS(Исход!$L:$L,Исход!$A:$A,W$1,Исход!$B:$B,$A37)</f>
        <v>0</v>
      </c>
      <c r="X37" s="2">
        <f>SUMIFS(Исход!$D:$D,Исход!$A:$A,X$1,Исход!$B:$B,$A37)+
SUMIFS(Исход!$G:$G,Исход!$A:$A,X$1,Исход!$B:$B,$A37)+
SUMIFS(Исход!$H:$H,Исход!$A:$A,X$1,Исход!$B:$B,$A37)+
SUMIFS(Исход!$I:$I,Исход!$A:$A,X$1,Исход!$B:$B,$A37)-
SUMIFS(Исход!$L:$L,Исход!$A:$A,X$1,Исход!$B:$B,$A37)</f>
        <v>0</v>
      </c>
      <c r="Y37" s="2">
        <f>SUMIFS(Исход!$D:$D,Исход!$A:$A,Y$1,Исход!$B:$B,$A37)+
SUMIFS(Исход!$G:$G,Исход!$A:$A,Y$1,Исход!$B:$B,$A37)+
SUMIFS(Исход!$H:$H,Исход!$A:$A,Y$1,Исход!$B:$B,$A37)+
SUMIFS(Исход!$I:$I,Исход!$A:$A,Y$1,Исход!$B:$B,$A37)-
SUMIFS(Исход!$L:$L,Исход!$A:$A,Y$1,Исход!$B:$B,$A37)</f>
        <v>0</v>
      </c>
      <c r="Z37" s="2">
        <f>SUMIFS(Исход!$D:$D,Исход!$A:$A,Z$1,Исход!$B:$B,$A37)+
SUMIFS(Исход!$G:$G,Исход!$A:$A,Z$1,Исход!$B:$B,$A37)+
SUMIFS(Исход!$H:$H,Исход!$A:$A,Z$1,Исход!$B:$B,$A37)+
SUMIFS(Исход!$I:$I,Исход!$A:$A,Z$1,Исход!$B:$B,$A37)-
SUMIFS(Исход!$L:$L,Исход!$A:$A,Z$1,Исход!$B:$B,$A37)</f>
        <v>0</v>
      </c>
      <c r="AA37" s="2">
        <f>SUMIFS(Исход!$D:$D,Исход!$A:$A,AA$1,Исход!$B:$B,$A37)+
SUMIFS(Исход!$G:$G,Исход!$A:$A,AA$1,Исход!$B:$B,$A37)+
SUMIFS(Исход!$H:$H,Исход!$A:$A,AA$1,Исход!$B:$B,$A37)+
SUMIFS(Исход!$I:$I,Исход!$A:$A,AA$1,Исход!$B:$B,$A37)-
SUMIFS(Исход!$L:$L,Исход!$A:$A,AA$1,Исход!$B:$B,$A37)</f>
        <v>0</v>
      </c>
      <c r="AB37" s="2">
        <f>SUMIFS(Исход!$D:$D,Исход!$A:$A,AB$1,Исход!$B:$B,$A37)+
SUMIFS(Исход!$G:$G,Исход!$A:$A,AB$1,Исход!$B:$B,$A37)+
SUMIFS(Исход!$H:$H,Исход!$A:$A,AB$1,Исход!$B:$B,$A37)+
SUMIFS(Исход!$I:$I,Исход!$A:$A,AB$1,Исход!$B:$B,$A37)-
SUMIFS(Исход!$L:$L,Исход!$A:$A,AB$1,Исход!$B:$B,$A37)</f>
        <v>0</v>
      </c>
      <c r="AC37" s="2">
        <f>SUMIFS(Исход!$D:$D,Исход!$A:$A,AC$1,Исход!$B:$B,$A37)+
SUMIFS(Исход!$G:$G,Исход!$A:$A,AC$1,Исход!$B:$B,$A37)+
SUMIFS(Исход!$H:$H,Исход!$A:$A,AC$1,Исход!$B:$B,$A37)+
SUMIFS(Исход!$I:$I,Исход!$A:$A,AC$1,Исход!$B:$B,$A37)-
SUMIFS(Исход!$L:$L,Исход!$A:$A,AC$1,Исход!$B:$B,$A37)</f>
        <v>0</v>
      </c>
      <c r="AD37" s="2">
        <f>SUMIFS(Исход!$D:$D,Исход!$A:$A,AD$1,Исход!$B:$B,$A37)+
SUMIFS(Исход!$G:$G,Исход!$A:$A,AD$1,Исход!$B:$B,$A37)+
SUMIFS(Исход!$H:$H,Исход!$A:$A,AD$1,Исход!$B:$B,$A37)+
SUMIFS(Исход!$I:$I,Исход!$A:$A,AD$1,Исход!$B:$B,$A37)-
SUMIFS(Исход!$L:$L,Исход!$A:$A,AD$1,Исход!$B:$B,$A37)</f>
        <v>0</v>
      </c>
      <c r="AE37" s="2">
        <f>SUMIFS(Исход!$D:$D,Исход!$A:$A,AE$1,Исход!$B:$B,$A37)+
SUMIFS(Исход!$G:$G,Исход!$A:$A,AE$1,Исход!$B:$B,$A37)+
SUMIFS(Исход!$H:$H,Исход!$A:$A,AE$1,Исход!$B:$B,$A37)+
SUMIFS(Исход!$I:$I,Исход!$A:$A,AE$1,Исход!$B:$B,$A37)-
SUMIFS(Исход!$L:$L,Исход!$A:$A,AE$1,Исход!$B:$B,$A37)</f>
        <v>0</v>
      </c>
      <c r="AF37" s="2">
        <f>SUMIFS(Исход!$D:$D,Исход!$A:$A,AF$1,Исход!$B:$B,$A37)+
SUMIFS(Исход!$G:$G,Исход!$A:$A,AF$1,Исход!$B:$B,$A37)+
SUMIFS(Исход!$H:$H,Исход!$A:$A,AF$1,Исход!$B:$B,$A37)+
SUMIFS(Исход!$I:$I,Исход!$A:$A,AF$1,Исход!$B:$B,$A37)-
SUMIFS(Исход!$L:$L,Исход!$A:$A,AF$1,Исход!$B:$B,$A37)</f>
        <v>0</v>
      </c>
      <c r="AG37" s="57">
        <f>SUMIFS(Исход!$D:$D,Исход!$A:$A,AG$1,Исход!$B:$B,$A37)+
SUMIFS(Исход!$G:$G,Исход!$A:$A,AG$1,Исход!$B:$B,$A37)+
SUMIFS(Исход!$H:$H,Исход!$A:$A,AG$1,Исход!$B:$B,$A37)+
SUMIFS(Исход!$I:$I,Исход!$A:$A,AG$1,Исход!$B:$B,$A37)-
SUMIFS(Исход!$L:$L,Исход!$A:$A,AG$1,Исход!$B:$B,$A37)</f>
        <v>0</v>
      </c>
    </row>
    <row r="38" spans="1:33" hidden="1" outlineLevel="1" x14ac:dyDescent="0.25">
      <c r="A38" s="103">
        <v>0.70833333333333337</v>
      </c>
      <c r="B38" s="123">
        <v>0.72916666666666663</v>
      </c>
      <c r="C38" s="63">
        <f>SUMIFS(Исход!$D:$D,Исход!$A:$A,C$1,Исход!$B:$B,$A38)+
SUMIFS(Исход!$G:$G,Исход!$A:$A,C$1,Исход!$B:$B,$A38)+
SUMIFS(Исход!$H:$H,Исход!$A:$A,C$1,Исход!$B:$B,$A38)+
SUMIFS(Исход!$I:$I,Исход!$A:$A,C$1,Исход!$B:$B,$A38)-
SUMIFS(Исход!$L:$L,Исход!$A:$A,C$1,Исход!$B:$B,$A38)</f>
        <v>0</v>
      </c>
      <c r="D38" s="2">
        <f>SUMIFS(Исход!$D:$D,Исход!$A:$A,D$1,Исход!$B:$B,$A38)+
SUMIFS(Исход!$G:$G,Исход!$A:$A,D$1,Исход!$B:$B,$A38)+
SUMIFS(Исход!$H:$H,Исход!$A:$A,D$1,Исход!$B:$B,$A38)+
SUMIFS(Исход!$I:$I,Исход!$A:$A,D$1,Исход!$B:$B,$A38)-
SUMIFS(Исход!$L:$L,Исход!$A:$A,D$1,Исход!$B:$B,$A38)</f>
        <v>0</v>
      </c>
      <c r="E38" s="2">
        <f>SUMIFS(Исход!$D:$D,Исход!$A:$A,E$1,Исход!$B:$B,$A38)+
SUMIFS(Исход!$G:$G,Исход!$A:$A,E$1,Исход!$B:$B,$A38)+
SUMIFS(Исход!$H:$H,Исход!$A:$A,E$1,Исход!$B:$B,$A38)+
SUMIFS(Исход!$I:$I,Исход!$A:$A,E$1,Исход!$B:$B,$A38)-
SUMIFS(Исход!$L:$L,Исход!$A:$A,E$1,Исход!$B:$B,$A38)</f>
        <v>0</v>
      </c>
      <c r="F38" s="2">
        <f>SUMIFS(Исход!$D:$D,Исход!$A:$A,F$1,Исход!$B:$B,$A38)+
SUMIFS(Исход!$G:$G,Исход!$A:$A,F$1,Исход!$B:$B,$A38)+
SUMIFS(Исход!$H:$H,Исход!$A:$A,F$1,Исход!$B:$B,$A38)+
SUMIFS(Исход!$I:$I,Исход!$A:$A,F$1,Исход!$B:$B,$A38)-
SUMIFS(Исход!$L:$L,Исход!$A:$A,F$1,Исход!$B:$B,$A38)</f>
        <v>0</v>
      </c>
      <c r="G38" s="2">
        <f>SUMIFS(Исход!$D:$D,Исход!$A:$A,G$1,Исход!$B:$B,$A38)+
SUMIFS(Исход!$G:$G,Исход!$A:$A,G$1,Исход!$B:$B,$A38)+
SUMIFS(Исход!$H:$H,Исход!$A:$A,G$1,Исход!$B:$B,$A38)+
SUMIFS(Исход!$I:$I,Исход!$A:$A,G$1,Исход!$B:$B,$A38)-
SUMIFS(Исход!$L:$L,Исход!$A:$A,G$1,Исход!$B:$B,$A38)</f>
        <v>0</v>
      </c>
      <c r="H38" s="2">
        <f>SUMIFS(Исход!$D:$D,Исход!$A:$A,H$1,Исход!$B:$B,$A38)+
SUMIFS(Исход!$G:$G,Исход!$A:$A,H$1,Исход!$B:$B,$A38)+
SUMIFS(Исход!$H:$H,Исход!$A:$A,H$1,Исход!$B:$B,$A38)+
SUMIFS(Исход!$I:$I,Исход!$A:$A,H$1,Исход!$B:$B,$A38)-
SUMIFS(Исход!$L:$L,Исход!$A:$A,H$1,Исход!$B:$B,$A38)</f>
        <v>0</v>
      </c>
      <c r="I38" s="2">
        <f>SUMIFS(Исход!$D:$D,Исход!$A:$A,I$1,Исход!$B:$B,$A38)+
SUMIFS(Исход!$G:$G,Исход!$A:$A,I$1,Исход!$B:$B,$A38)+
SUMIFS(Исход!$H:$H,Исход!$A:$A,I$1,Исход!$B:$B,$A38)+
SUMIFS(Исход!$I:$I,Исход!$A:$A,I$1,Исход!$B:$B,$A38)-
SUMIFS(Исход!$L:$L,Исход!$A:$A,I$1,Исход!$B:$B,$A38)</f>
        <v>0</v>
      </c>
      <c r="J38" s="2">
        <f>SUMIFS(Исход!$D:$D,Исход!$A:$A,J$1,Исход!$B:$B,$A38)+
SUMIFS(Исход!$G:$G,Исход!$A:$A,J$1,Исход!$B:$B,$A38)+
SUMIFS(Исход!$H:$H,Исход!$A:$A,J$1,Исход!$B:$B,$A38)+
SUMIFS(Исход!$I:$I,Исход!$A:$A,J$1,Исход!$B:$B,$A38)-
SUMIFS(Исход!$L:$L,Исход!$A:$A,J$1,Исход!$B:$B,$A38)</f>
        <v>0</v>
      </c>
      <c r="K38" s="2">
        <f>SUMIFS(Исход!$D:$D,Исход!$A:$A,K$1,Исход!$B:$B,$A38)+
SUMIFS(Исход!$G:$G,Исход!$A:$A,K$1,Исход!$B:$B,$A38)+
SUMIFS(Исход!$H:$H,Исход!$A:$A,K$1,Исход!$B:$B,$A38)+
SUMIFS(Исход!$I:$I,Исход!$A:$A,K$1,Исход!$B:$B,$A38)-
SUMIFS(Исход!$L:$L,Исход!$A:$A,K$1,Исход!$B:$B,$A38)</f>
        <v>0</v>
      </c>
      <c r="L38" s="2">
        <f>SUMIFS(Исход!$D:$D,Исход!$A:$A,L$1,Исход!$B:$B,$A38)+
SUMIFS(Исход!$G:$G,Исход!$A:$A,L$1,Исход!$B:$B,$A38)+
SUMIFS(Исход!$H:$H,Исход!$A:$A,L$1,Исход!$B:$B,$A38)+
SUMIFS(Исход!$I:$I,Исход!$A:$A,L$1,Исход!$B:$B,$A38)-
SUMIFS(Исход!$L:$L,Исход!$A:$A,L$1,Исход!$B:$B,$A38)</f>
        <v>0</v>
      </c>
      <c r="M38" s="2">
        <f>SUMIFS(Исход!$D:$D,Исход!$A:$A,M$1,Исход!$B:$B,$A38)+
SUMIFS(Исход!$G:$G,Исход!$A:$A,M$1,Исход!$B:$B,$A38)+
SUMIFS(Исход!$H:$H,Исход!$A:$A,M$1,Исход!$B:$B,$A38)+
SUMIFS(Исход!$I:$I,Исход!$A:$A,M$1,Исход!$B:$B,$A38)-
SUMIFS(Исход!$L:$L,Исход!$A:$A,M$1,Исход!$B:$B,$A38)</f>
        <v>0</v>
      </c>
      <c r="N38" s="2">
        <f>SUMIFS(Исход!$D:$D,Исход!$A:$A,N$1,Исход!$B:$B,$A38)+
SUMIFS(Исход!$G:$G,Исход!$A:$A,N$1,Исход!$B:$B,$A38)+
SUMIFS(Исход!$H:$H,Исход!$A:$A,N$1,Исход!$B:$B,$A38)+
SUMIFS(Исход!$I:$I,Исход!$A:$A,N$1,Исход!$B:$B,$A38)-
SUMIFS(Исход!$L:$L,Исход!$A:$A,N$1,Исход!$B:$B,$A38)</f>
        <v>0</v>
      </c>
      <c r="O38" s="2">
        <f>SUMIFS(Исход!$D:$D,Исход!$A:$A,O$1,Исход!$B:$B,$A38)+
SUMIFS(Исход!$G:$G,Исход!$A:$A,O$1,Исход!$B:$B,$A38)+
SUMIFS(Исход!$H:$H,Исход!$A:$A,O$1,Исход!$B:$B,$A38)+
SUMIFS(Исход!$I:$I,Исход!$A:$A,O$1,Исход!$B:$B,$A38)-
SUMIFS(Исход!$L:$L,Исход!$A:$A,O$1,Исход!$B:$B,$A38)</f>
        <v>0</v>
      </c>
      <c r="P38" s="2">
        <f>SUMIFS(Исход!$D:$D,Исход!$A:$A,P$1,Исход!$B:$B,$A38)+
SUMIFS(Исход!$G:$G,Исход!$A:$A,P$1,Исход!$B:$B,$A38)+
SUMIFS(Исход!$H:$H,Исход!$A:$A,P$1,Исход!$B:$B,$A38)+
SUMIFS(Исход!$I:$I,Исход!$A:$A,P$1,Исход!$B:$B,$A38)-
SUMIFS(Исход!$L:$L,Исход!$A:$A,P$1,Исход!$B:$B,$A38)</f>
        <v>0</v>
      </c>
      <c r="Q38" s="2">
        <f>SUMIFS(Исход!$D:$D,Исход!$A:$A,Q$1,Исход!$B:$B,$A38)+
SUMIFS(Исход!$G:$G,Исход!$A:$A,Q$1,Исход!$B:$B,$A38)+
SUMIFS(Исход!$H:$H,Исход!$A:$A,Q$1,Исход!$B:$B,$A38)+
SUMIFS(Исход!$I:$I,Исход!$A:$A,Q$1,Исход!$B:$B,$A38)-
SUMIFS(Исход!$L:$L,Исход!$A:$A,Q$1,Исход!$B:$B,$A38)</f>
        <v>0</v>
      </c>
      <c r="R38" s="2">
        <f>SUMIFS(Исход!$D:$D,Исход!$A:$A,R$1,Исход!$B:$B,$A38)+
SUMIFS(Исход!$G:$G,Исход!$A:$A,R$1,Исход!$B:$B,$A38)+
SUMIFS(Исход!$H:$H,Исход!$A:$A,R$1,Исход!$B:$B,$A38)+
SUMIFS(Исход!$I:$I,Исход!$A:$A,R$1,Исход!$B:$B,$A38)-
SUMIFS(Исход!$L:$L,Исход!$A:$A,R$1,Исход!$B:$B,$A38)</f>
        <v>0</v>
      </c>
      <c r="S38" s="2">
        <f>SUMIFS(Исход!$D:$D,Исход!$A:$A,S$1,Исход!$B:$B,$A38)+
SUMIFS(Исход!$G:$G,Исход!$A:$A,S$1,Исход!$B:$B,$A38)+
SUMIFS(Исход!$H:$H,Исход!$A:$A,S$1,Исход!$B:$B,$A38)+
SUMIFS(Исход!$I:$I,Исход!$A:$A,S$1,Исход!$B:$B,$A38)-
SUMIFS(Исход!$L:$L,Исход!$A:$A,S$1,Исход!$B:$B,$A38)</f>
        <v>0</v>
      </c>
      <c r="T38" s="2">
        <f>SUMIFS(Исход!$D:$D,Исход!$A:$A,T$1,Исход!$B:$B,$A38)+
SUMIFS(Исход!$G:$G,Исход!$A:$A,T$1,Исход!$B:$B,$A38)+
SUMIFS(Исход!$H:$H,Исход!$A:$A,T$1,Исход!$B:$B,$A38)+
SUMIFS(Исход!$I:$I,Исход!$A:$A,T$1,Исход!$B:$B,$A38)-
SUMIFS(Исход!$L:$L,Исход!$A:$A,T$1,Исход!$B:$B,$A38)</f>
        <v>0</v>
      </c>
      <c r="U38" s="2">
        <f>SUMIFS(Исход!$D:$D,Исход!$A:$A,U$1,Исход!$B:$B,$A38)+
SUMIFS(Исход!$G:$G,Исход!$A:$A,U$1,Исход!$B:$B,$A38)+
SUMIFS(Исход!$H:$H,Исход!$A:$A,U$1,Исход!$B:$B,$A38)+
SUMIFS(Исход!$I:$I,Исход!$A:$A,U$1,Исход!$B:$B,$A38)-
SUMIFS(Исход!$L:$L,Исход!$A:$A,U$1,Исход!$B:$B,$A38)</f>
        <v>0</v>
      </c>
      <c r="V38" s="2">
        <f>SUMIFS(Исход!$D:$D,Исход!$A:$A,V$1,Исход!$B:$B,$A38)+
SUMIFS(Исход!$G:$G,Исход!$A:$A,V$1,Исход!$B:$B,$A38)+
SUMIFS(Исход!$H:$H,Исход!$A:$A,V$1,Исход!$B:$B,$A38)+
SUMIFS(Исход!$I:$I,Исход!$A:$A,V$1,Исход!$B:$B,$A38)-
SUMIFS(Исход!$L:$L,Исход!$A:$A,V$1,Исход!$B:$B,$A38)</f>
        <v>0</v>
      </c>
      <c r="W38" s="2">
        <f>SUMIFS(Исход!$D:$D,Исход!$A:$A,W$1,Исход!$B:$B,$A38)+
SUMIFS(Исход!$G:$G,Исход!$A:$A,W$1,Исход!$B:$B,$A38)+
SUMIFS(Исход!$H:$H,Исход!$A:$A,W$1,Исход!$B:$B,$A38)+
SUMIFS(Исход!$I:$I,Исход!$A:$A,W$1,Исход!$B:$B,$A38)-
SUMIFS(Исход!$L:$L,Исход!$A:$A,W$1,Исход!$B:$B,$A38)</f>
        <v>0</v>
      </c>
      <c r="X38" s="2">
        <f>SUMIFS(Исход!$D:$D,Исход!$A:$A,X$1,Исход!$B:$B,$A38)+
SUMIFS(Исход!$G:$G,Исход!$A:$A,X$1,Исход!$B:$B,$A38)+
SUMIFS(Исход!$H:$H,Исход!$A:$A,X$1,Исход!$B:$B,$A38)+
SUMIFS(Исход!$I:$I,Исход!$A:$A,X$1,Исход!$B:$B,$A38)-
SUMIFS(Исход!$L:$L,Исход!$A:$A,X$1,Исход!$B:$B,$A38)</f>
        <v>0</v>
      </c>
      <c r="Y38" s="2">
        <f>SUMIFS(Исход!$D:$D,Исход!$A:$A,Y$1,Исход!$B:$B,$A38)+
SUMIFS(Исход!$G:$G,Исход!$A:$A,Y$1,Исход!$B:$B,$A38)+
SUMIFS(Исход!$H:$H,Исход!$A:$A,Y$1,Исход!$B:$B,$A38)+
SUMIFS(Исход!$I:$I,Исход!$A:$A,Y$1,Исход!$B:$B,$A38)-
SUMIFS(Исход!$L:$L,Исход!$A:$A,Y$1,Исход!$B:$B,$A38)</f>
        <v>0</v>
      </c>
      <c r="Z38" s="2">
        <f>SUMIFS(Исход!$D:$D,Исход!$A:$A,Z$1,Исход!$B:$B,$A38)+
SUMIFS(Исход!$G:$G,Исход!$A:$A,Z$1,Исход!$B:$B,$A38)+
SUMIFS(Исход!$H:$H,Исход!$A:$A,Z$1,Исход!$B:$B,$A38)+
SUMIFS(Исход!$I:$I,Исход!$A:$A,Z$1,Исход!$B:$B,$A38)-
SUMIFS(Исход!$L:$L,Исход!$A:$A,Z$1,Исход!$B:$B,$A38)</f>
        <v>0</v>
      </c>
      <c r="AA38" s="2">
        <f>SUMIFS(Исход!$D:$D,Исход!$A:$A,AA$1,Исход!$B:$B,$A38)+
SUMIFS(Исход!$G:$G,Исход!$A:$A,AA$1,Исход!$B:$B,$A38)+
SUMIFS(Исход!$H:$H,Исход!$A:$A,AA$1,Исход!$B:$B,$A38)+
SUMIFS(Исход!$I:$I,Исход!$A:$A,AA$1,Исход!$B:$B,$A38)-
SUMIFS(Исход!$L:$L,Исход!$A:$A,AA$1,Исход!$B:$B,$A38)</f>
        <v>0</v>
      </c>
      <c r="AB38" s="2">
        <f>SUMIFS(Исход!$D:$D,Исход!$A:$A,AB$1,Исход!$B:$B,$A38)+
SUMIFS(Исход!$G:$G,Исход!$A:$A,AB$1,Исход!$B:$B,$A38)+
SUMIFS(Исход!$H:$H,Исход!$A:$A,AB$1,Исход!$B:$B,$A38)+
SUMIFS(Исход!$I:$I,Исход!$A:$A,AB$1,Исход!$B:$B,$A38)-
SUMIFS(Исход!$L:$L,Исход!$A:$A,AB$1,Исход!$B:$B,$A38)</f>
        <v>0</v>
      </c>
      <c r="AC38" s="2">
        <f>SUMIFS(Исход!$D:$D,Исход!$A:$A,AC$1,Исход!$B:$B,$A38)+
SUMIFS(Исход!$G:$G,Исход!$A:$A,AC$1,Исход!$B:$B,$A38)+
SUMIFS(Исход!$H:$H,Исход!$A:$A,AC$1,Исход!$B:$B,$A38)+
SUMIFS(Исход!$I:$I,Исход!$A:$A,AC$1,Исход!$B:$B,$A38)-
SUMIFS(Исход!$L:$L,Исход!$A:$A,AC$1,Исход!$B:$B,$A38)</f>
        <v>0</v>
      </c>
      <c r="AD38" s="2">
        <f>SUMIFS(Исход!$D:$D,Исход!$A:$A,AD$1,Исход!$B:$B,$A38)+
SUMIFS(Исход!$G:$G,Исход!$A:$A,AD$1,Исход!$B:$B,$A38)+
SUMIFS(Исход!$H:$H,Исход!$A:$A,AD$1,Исход!$B:$B,$A38)+
SUMIFS(Исход!$I:$I,Исход!$A:$A,AD$1,Исход!$B:$B,$A38)-
SUMIFS(Исход!$L:$L,Исход!$A:$A,AD$1,Исход!$B:$B,$A38)</f>
        <v>0</v>
      </c>
      <c r="AE38" s="2">
        <f>SUMIFS(Исход!$D:$D,Исход!$A:$A,AE$1,Исход!$B:$B,$A38)+
SUMIFS(Исход!$G:$G,Исход!$A:$A,AE$1,Исход!$B:$B,$A38)+
SUMIFS(Исход!$H:$H,Исход!$A:$A,AE$1,Исход!$B:$B,$A38)+
SUMIFS(Исход!$I:$I,Исход!$A:$A,AE$1,Исход!$B:$B,$A38)-
SUMIFS(Исход!$L:$L,Исход!$A:$A,AE$1,Исход!$B:$B,$A38)</f>
        <v>0</v>
      </c>
      <c r="AF38" s="2">
        <f>SUMIFS(Исход!$D:$D,Исход!$A:$A,AF$1,Исход!$B:$B,$A38)+
SUMIFS(Исход!$G:$G,Исход!$A:$A,AF$1,Исход!$B:$B,$A38)+
SUMIFS(Исход!$H:$H,Исход!$A:$A,AF$1,Исход!$B:$B,$A38)+
SUMIFS(Исход!$I:$I,Исход!$A:$A,AF$1,Исход!$B:$B,$A38)-
SUMIFS(Исход!$L:$L,Исход!$A:$A,AF$1,Исход!$B:$B,$A38)</f>
        <v>0</v>
      </c>
      <c r="AG38" s="57">
        <f>SUMIFS(Исход!$D:$D,Исход!$A:$A,AG$1,Исход!$B:$B,$A38)+
SUMIFS(Исход!$G:$G,Исход!$A:$A,AG$1,Исход!$B:$B,$A38)+
SUMIFS(Исход!$H:$H,Исход!$A:$A,AG$1,Исход!$B:$B,$A38)+
SUMIFS(Исход!$I:$I,Исход!$A:$A,AG$1,Исход!$B:$B,$A38)-
SUMIFS(Исход!$L:$L,Исход!$A:$A,AG$1,Исход!$B:$B,$A38)</f>
        <v>0</v>
      </c>
    </row>
    <row r="39" spans="1:33" hidden="1" outlineLevel="1" x14ac:dyDescent="0.25">
      <c r="A39" s="103">
        <v>0.72916666666666663</v>
      </c>
      <c r="B39" s="123">
        <v>0.75</v>
      </c>
      <c r="C39" s="63">
        <f>SUMIFS(Исход!$D:$D,Исход!$A:$A,C$1,Исход!$B:$B,$A39)+
SUMIFS(Исход!$G:$G,Исход!$A:$A,C$1,Исход!$B:$B,$A39)+
SUMIFS(Исход!$H:$H,Исход!$A:$A,C$1,Исход!$B:$B,$A39)+
SUMIFS(Исход!$I:$I,Исход!$A:$A,C$1,Исход!$B:$B,$A39)-
SUMIFS(Исход!$L:$L,Исход!$A:$A,C$1,Исход!$B:$B,$A39)</f>
        <v>0</v>
      </c>
      <c r="D39" s="2">
        <f>SUMIFS(Исход!$D:$D,Исход!$A:$A,D$1,Исход!$B:$B,$A39)+
SUMIFS(Исход!$G:$G,Исход!$A:$A,D$1,Исход!$B:$B,$A39)+
SUMIFS(Исход!$H:$H,Исход!$A:$A,D$1,Исход!$B:$B,$A39)+
SUMIFS(Исход!$I:$I,Исход!$A:$A,D$1,Исход!$B:$B,$A39)-
SUMIFS(Исход!$L:$L,Исход!$A:$A,D$1,Исход!$B:$B,$A39)</f>
        <v>0</v>
      </c>
      <c r="E39" s="2">
        <f>SUMIFS(Исход!$D:$D,Исход!$A:$A,E$1,Исход!$B:$B,$A39)+
SUMIFS(Исход!$G:$G,Исход!$A:$A,E$1,Исход!$B:$B,$A39)+
SUMIFS(Исход!$H:$H,Исход!$A:$A,E$1,Исход!$B:$B,$A39)+
SUMIFS(Исход!$I:$I,Исход!$A:$A,E$1,Исход!$B:$B,$A39)-
SUMIFS(Исход!$L:$L,Исход!$A:$A,E$1,Исход!$B:$B,$A39)</f>
        <v>0</v>
      </c>
      <c r="F39" s="2">
        <f>SUMIFS(Исход!$D:$D,Исход!$A:$A,F$1,Исход!$B:$B,$A39)+
SUMIFS(Исход!$G:$G,Исход!$A:$A,F$1,Исход!$B:$B,$A39)+
SUMIFS(Исход!$H:$H,Исход!$A:$A,F$1,Исход!$B:$B,$A39)+
SUMIFS(Исход!$I:$I,Исход!$A:$A,F$1,Исход!$B:$B,$A39)-
SUMIFS(Исход!$L:$L,Исход!$A:$A,F$1,Исход!$B:$B,$A39)</f>
        <v>0</v>
      </c>
      <c r="G39" s="2">
        <f>SUMIFS(Исход!$D:$D,Исход!$A:$A,G$1,Исход!$B:$B,$A39)+
SUMIFS(Исход!$G:$G,Исход!$A:$A,G$1,Исход!$B:$B,$A39)+
SUMIFS(Исход!$H:$H,Исход!$A:$A,G$1,Исход!$B:$B,$A39)+
SUMIFS(Исход!$I:$I,Исход!$A:$A,G$1,Исход!$B:$B,$A39)-
SUMIFS(Исход!$L:$L,Исход!$A:$A,G$1,Исход!$B:$B,$A39)</f>
        <v>0</v>
      </c>
      <c r="H39" s="2">
        <f>SUMIFS(Исход!$D:$D,Исход!$A:$A,H$1,Исход!$B:$B,$A39)+
SUMIFS(Исход!$G:$G,Исход!$A:$A,H$1,Исход!$B:$B,$A39)+
SUMIFS(Исход!$H:$H,Исход!$A:$A,H$1,Исход!$B:$B,$A39)+
SUMIFS(Исход!$I:$I,Исход!$A:$A,H$1,Исход!$B:$B,$A39)-
SUMIFS(Исход!$L:$L,Исход!$A:$A,H$1,Исход!$B:$B,$A39)</f>
        <v>0</v>
      </c>
      <c r="I39" s="2">
        <f>SUMIFS(Исход!$D:$D,Исход!$A:$A,I$1,Исход!$B:$B,$A39)+
SUMIFS(Исход!$G:$G,Исход!$A:$A,I$1,Исход!$B:$B,$A39)+
SUMIFS(Исход!$H:$H,Исход!$A:$A,I$1,Исход!$B:$B,$A39)+
SUMIFS(Исход!$I:$I,Исход!$A:$A,I$1,Исход!$B:$B,$A39)-
SUMIFS(Исход!$L:$L,Исход!$A:$A,I$1,Исход!$B:$B,$A39)</f>
        <v>0</v>
      </c>
      <c r="J39" s="2">
        <f>SUMIFS(Исход!$D:$D,Исход!$A:$A,J$1,Исход!$B:$B,$A39)+
SUMIFS(Исход!$G:$G,Исход!$A:$A,J$1,Исход!$B:$B,$A39)+
SUMIFS(Исход!$H:$H,Исход!$A:$A,J$1,Исход!$B:$B,$A39)+
SUMIFS(Исход!$I:$I,Исход!$A:$A,J$1,Исход!$B:$B,$A39)-
SUMIFS(Исход!$L:$L,Исход!$A:$A,J$1,Исход!$B:$B,$A39)</f>
        <v>0</v>
      </c>
      <c r="K39" s="2">
        <f>SUMIFS(Исход!$D:$D,Исход!$A:$A,K$1,Исход!$B:$B,$A39)+
SUMIFS(Исход!$G:$G,Исход!$A:$A,K$1,Исход!$B:$B,$A39)+
SUMIFS(Исход!$H:$H,Исход!$A:$A,K$1,Исход!$B:$B,$A39)+
SUMIFS(Исход!$I:$I,Исход!$A:$A,K$1,Исход!$B:$B,$A39)-
SUMIFS(Исход!$L:$L,Исход!$A:$A,K$1,Исход!$B:$B,$A39)</f>
        <v>0</v>
      </c>
      <c r="L39" s="2">
        <f>SUMIFS(Исход!$D:$D,Исход!$A:$A,L$1,Исход!$B:$B,$A39)+
SUMIFS(Исход!$G:$G,Исход!$A:$A,L$1,Исход!$B:$B,$A39)+
SUMIFS(Исход!$H:$H,Исход!$A:$A,L$1,Исход!$B:$B,$A39)+
SUMIFS(Исход!$I:$I,Исход!$A:$A,L$1,Исход!$B:$B,$A39)-
SUMIFS(Исход!$L:$L,Исход!$A:$A,L$1,Исход!$B:$B,$A39)</f>
        <v>0</v>
      </c>
      <c r="M39" s="2">
        <f>SUMIFS(Исход!$D:$D,Исход!$A:$A,M$1,Исход!$B:$B,$A39)+
SUMIFS(Исход!$G:$G,Исход!$A:$A,M$1,Исход!$B:$B,$A39)+
SUMIFS(Исход!$H:$H,Исход!$A:$A,M$1,Исход!$B:$B,$A39)+
SUMIFS(Исход!$I:$I,Исход!$A:$A,M$1,Исход!$B:$B,$A39)-
SUMIFS(Исход!$L:$L,Исход!$A:$A,M$1,Исход!$B:$B,$A39)</f>
        <v>0</v>
      </c>
      <c r="N39" s="2">
        <f>SUMIFS(Исход!$D:$D,Исход!$A:$A,N$1,Исход!$B:$B,$A39)+
SUMIFS(Исход!$G:$G,Исход!$A:$A,N$1,Исход!$B:$B,$A39)+
SUMIFS(Исход!$H:$H,Исход!$A:$A,N$1,Исход!$B:$B,$A39)+
SUMIFS(Исход!$I:$I,Исход!$A:$A,N$1,Исход!$B:$B,$A39)-
SUMIFS(Исход!$L:$L,Исход!$A:$A,N$1,Исход!$B:$B,$A39)</f>
        <v>0</v>
      </c>
      <c r="O39" s="2">
        <f>SUMIFS(Исход!$D:$D,Исход!$A:$A,O$1,Исход!$B:$B,$A39)+
SUMIFS(Исход!$G:$G,Исход!$A:$A,O$1,Исход!$B:$B,$A39)+
SUMIFS(Исход!$H:$H,Исход!$A:$A,O$1,Исход!$B:$B,$A39)+
SUMIFS(Исход!$I:$I,Исход!$A:$A,O$1,Исход!$B:$B,$A39)-
SUMIFS(Исход!$L:$L,Исход!$A:$A,O$1,Исход!$B:$B,$A39)</f>
        <v>0</v>
      </c>
      <c r="P39" s="2">
        <f>SUMIFS(Исход!$D:$D,Исход!$A:$A,P$1,Исход!$B:$B,$A39)+
SUMIFS(Исход!$G:$G,Исход!$A:$A,P$1,Исход!$B:$B,$A39)+
SUMIFS(Исход!$H:$H,Исход!$A:$A,P$1,Исход!$B:$B,$A39)+
SUMIFS(Исход!$I:$I,Исход!$A:$A,P$1,Исход!$B:$B,$A39)-
SUMIFS(Исход!$L:$L,Исход!$A:$A,P$1,Исход!$B:$B,$A39)</f>
        <v>0</v>
      </c>
      <c r="Q39" s="2">
        <f>SUMIFS(Исход!$D:$D,Исход!$A:$A,Q$1,Исход!$B:$B,$A39)+
SUMIFS(Исход!$G:$G,Исход!$A:$A,Q$1,Исход!$B:$B,$A39)+
SUMIFS(Исход!$H:$H,Исход!$A:$A,Q$1,Исход!$B:$B,$A39)+
SUMIFS(Исход!$I:$I,Исход!$A:$A,Q$1,Исход!$B:$B,$A39)-
SUMIFS(Исход!$L:$L,Исход!$A:$A,Q$1,Исход!$B:$B,$A39)</f>
        <v>0</v>
      </c>
      <c r="R39" s="2">
        <f>SUMIFS(Исход!$D:$D,Исход!$A:$A,R$1,Исход!$B:$B,$A39)+
SUMIFS(Исход!$G:$G,Исход!$A:$A,R$1,Исход!$B:$B,$A39)+
SUMIFS(Исход!$H:$H,Исход!$A:$A,R$1,Исход!$B:$B,$A39)+
SUMIFS(Исход!$I:$I,Исход!$A:$A,R$1,Исход!$B:$B,$A39)-
SUMIFS(Исход!$L:$L,Исход!$A:$A,R$1,Исход!$B:$B,$A39)</f>
        <v>0</v>
      </c>
      <c r="S39" s="2">
        <f>SUMIFS(Исход!$D:$D,Исход!$A:$A,S$1,Исход!$B:$B,$A39)+
SUMIFS(Исход!$G:$G,Исход!$A:$A,S$1,Исход!$B:$B,$A39)+
SUMIFS(Исход!$H:$H,Исход!$A:$A,S$1,Исход!$B:$B,$A39)+
SUMIFS(Исход!$I:$I,Исход!$A:$A,S$1,Исход!$B:$B,$A39)-
SUMIFS(Исход!$L:$L,Исход!$A:$A,S$1,Исход!$B:$B,$A39)</f>
        <v>0</v>
      </c>
      <c r="T39" s="2">
        <f>SUMIFS(Исход!$D:$D,Исход!$A:$A,T$1,Исход!$B:$B,$A39)+
SUMIFS(Исход!$G:$G,Исход!$A:$A,T$1,Исход!$B:$B,$A39)+
SUMIFS(Исход!$H:$H,Исход!$A:$A,T$1,Исход!$B:$B,$A39)+
SUMIFS(Исход!$I:$I,Исход!$A:$A,T$1,Исход!$B:$B,$A39)-
SUMIFS(Исход!$L:$L,Исход!$A:$A,T$1,Исход!$B:$B,$A39)</f>
        <v>0</v>
      </c>
      <c r="U39" s="2">
        <f>SUMIFS(Исход!$D:$D,Исход!$A:$A,U$1,Исход!$B:$B,$A39)+
SUMIFS(Исход!$G:$G,Исход!$A:$A,U$1,Исход!$B:$B,$A39)+
SUMIFS(Исход!$H:$H,Исход!$A:$A,U$1,Исход!$B:$B,$A39)+
SUMIFS(Исход!$I:$I,Исход!$A:$A,U$1,Исход!$B:$B,$A39)-
SUMIFS(Исход!$L:$L,Исход!$A:$A,U$1,Исход!$B:$B,$A39)</f>
        <v>0</v>
      </c>
      <c r="V39" s="2">
        <f>SUMIFS(Исход!$D:$D,Исход!$A:$A,V$1,Исход!$B:$B,$A39)+
SUMIFS(Исход!$G:$G,Исход!$A:$A,V$1,Исход!$B:$B,$A39)+
SUMIFS(Исход!$H:$H,Исход!$A:$A,V$1,Исход!$B:$B,$A39)+
SUMIFS(Исход!$I:$I,Исход!$A:$A,V$1,Исход!$B:$B,$A39)-
SUMIFS(Исход!$L:$L,Исход!$A:$A,V$1,Исход!$B:$B,$A39)</f>
        <v>0</v>
      </c>
      <c r="W39" s="2">
        <f>SUMIFS(Исход!$D:$D,Исход!$A:$A,W$1,Исход!$B:$B,$A39)+
SUMIFS(Исход!$G:$G,Исход!$A:$A,W$1,Исход!$B:$B,$A39)+
SUMIFS(Исход!$H:$H,Исход!$A:$A,W$1,Исход!$B:$B,$A39)+
SUMIFS(Исход!$I:$I,Исход!$A:$A,W$1,Исход!$B:$B,$A39)-
SUMIFS(Исход!$L:$L,Исход!$A:$A,W$1,Исход!$B:$B,$A39)</f>
        <v>0</v>
      </c>
      <c r="X39" s="2">
        <f>SUMIFS(Исход!$D:$D,Исход!$A:$A,X$1,Исход!$B:$B,$A39)+
SUMIFS(Исход!$G:$G,Исход!$A:$A,X$1,Исход!$B:$B,$A39)+
SUMIFS(Исход!$H:$H,Исход!$A:$A,X$1,Исход!$B:$B,$A39)+
SUMIFS(Исход!$I:$I,Исход!$A:$A,X$1,Исход!$B:$B,$A39)-
SUMIFS(Исход!$L:$L,Исход!$A:$A,X$1,Исход!$B:$B,$A39)</f>
        <v>0</v>
      </c>
      <c r="Y39" s="2">
        <f>SUMIFS(Исход!$D:$D,Исход!$A:$A,Y$1,Исход!$B:$B,$A39)+
SUMIFS(Исход!$G:$G,Исход!$A:$A,Y$1,Исход!$B:$B,$A39)+
SUMIFS(Исход!$H:$H,Исход!$A:$A,Y$1,Исход!$B:$B,$A39)+
SUMIFS(Исход!$I:$I,Исход!$A:$A,Y$1,Исход!$B:$B,$A39)-
SUMIFS(Исход!$L:$L,Исход!$A:$A,Y$1,Исход!$B:$B,$A39)</f>
        <v>0</v>
      </c>
      <c r="Z39" s="2">
        <f>SUMIFS(Исход!$D:$D,Исход!$A:$A,Z$1,Исход!$B:$B,$A39)+
SUMIFS(Исход!$G:$G,Исход!$A:$A,Z$1,Исход!$B:$B,$A39)+
SUMIFS(Исход!$H:$H,Исход!$A:$A,Z$1,Исход!$B:$B,$A39)+
SUMIFS(Исход!$I:$I,Исход!$A:$A,Z$1,Исход!$B:$B,$A39)-
SUMIFS(Исход!$L:$L,Исход!$A:$A,Z$1,Исход!$B:$B,$A39)</f>
        <v>0</v>
      </c>
      <c r="AA39" s="2">
        <f>SUMIFS(Исход!$D:$D,Исход!$A:$A,AA$1,Исход!$B:$B,$A39)+
SUMIFS(Исход!$G:$G,Исход!$A:$A,AA$1,Исход!$B:$B,$A39)+
SUMIFS(Исход!$H:$H,Исход!$A:$A,AA$1,Исход!$B:$B,$A39)+
SUMIFS(Исход!$I:$I,Исход!$A:$A,AA$1,Исход!$B:$B,$A39)-
SUMIFS(Исход!$L:$L,Исход!$A:$A,AA$1,Исход!$B:$B,$A39)</f>
        <v>0</v>
      </c>
      <c r="AB39" s="2">
        <f>SUMIFS(Исход!$D:$D,Исход!$A:$A,AB$1,Исход!$B:$B,$A39)+
SUMIFS(Исход!$G:$G,Исход!$A:$A,AB$1,Исход!$B:$B,$A39)+
SUMIFS(Исход!$H:$H,Исход!$A:$A,AB$1,Исход!$B:$B,$A39)+
SUMIFS(Исход!$I:$I,Исход!$A:$A,AB$1,Исход!$B:$B,$A39)-
SUMIFS(Исход!$L:$L,Исход!$A:$A,AB$1,Исход!$B:$B,$A39)</f>
        <v>0</v>
      </c>
      <c r="AC39" s="2">
        <f>SUMIFS(Исход!$D:$D,Исход!$A:$A,AC$1,Исход!$B:$B,$A39)+
SUMIFS(Исход!$G:$G,Исход!$A:$A,AC$1,Исход!$B:$B,$A39)+
SUMIFS(Исход!$H:$H,Исход!$A:$A,AC$1,Исход!$B:$B,$A39)+
SUMIFS(Исход!$I:$I,Исход!$A:$A,AC$1,Исход!$B:$B,$A39)-
SUMIFS(Исход!$L:$L,Исход!$A:$A,AC$1,Исход!$B:$B,$A39)</f>
        <v>0</v>
      </c>
      <c r="AD39" s="2">
        <f>SUMIFS(Исход!$D:$D,Исход!$A:$A,AD$1,Исход!$B:$B,$A39)+
SUMIFS(Исход!$G:$G,Исход!$A:$A,AD$1,Исход!$B:$B,$A39)+
SUMIFS(Исход!$H:$H,Исход!$A:$A,AD$1,Исход!$B:$B,$A39)+
SUMIFS(Исход!$I:$I,Исход!$A:$A,AD$1,Исход!$B:$B,$A39)-
SUMIFS(Исход!$L:$L,Исход!$A:$A,AD$1,Исход!$B:$B,$A39)</f>
        <v>0</v>
      </c>
      <c r="AE39" s="2">
        <f>SUMIFS(Исход!$D:$D,Исход!$A:$A,AE$1,Исход!$B:$B,$A39)+
SUMIFS(Исход!$G:$G,Исход!$A:$A,AE$1,Исход!$B:$B,$A39)+
SUMIFS(Исход!$H:$H,Исход!$A:$A,AE$1,Исход!$B:$B,$A39)+
SUMIFS(Исход!$I:$I,Исход!$A:$A,AE$1,Исход!$B:$B,$A39)-
SUMIFS(Исход!$L:$L,Исход!$A:$A,AE$1,Исход!$B:$B,$A39)</f>
        <v>0</v>
      </c>
      <c r="AF39" s="2">
        <f>SUMIFS(Исход!$D:$D,Исход!$A:$A,AF$1,Исход!$B:$B,$A39)+
SUMIFS(Исход!$G:$G,Исход!$A:$A,AF$1,Исход!$B:$B,$A39)+
SUMIFS(Исход!$H:$H,Исход!$A:$A,AF$1,Исход!$B:$B,$A39)+
SUMIFS(Исход!$I:$I,Исход!$A:$A,AF$1,Исход!$B:$B,$A39)-
SUMIFS(Исход!$L:$L,Исход!$A:$A,AF$1,Исход!$B:$B,$A39)</f>
        <v>0</v>
      </c>
      <c r="AG39" s="57">
        <f>SUMIFS(Исход!$D:$D,Исход!$A:$A,AG$1,Исход!$B:$B,$A39)+
SUMIFS(Исход!$G:$G,Исход!$A:$A,AG$1,Исход!$B:$B,$A39)+
SUMIFS(Исход!$H:$H,Исход!$A:$A,AG$1,Исход!$B:$B,$A39)+
SUMIFS(Исход!$I:$I,Исход!$A:$A,AG$1,Исход!$B:$B,$A39)-
SUMIFS(Исход!$L:$L,Исход!$A:$A,AG$1,Исход!$B:$B,$A39)</f>
        <v>0</v>
      </c>
    </row>
    <row r="40" spans="1:33" hidden="1" outlineLevel="1" x14ac:dyDescent="0.25">
      <c r="A40" s="103">
        <v>0.75</v>
      </c>
      <c r="B40" s="123">
        <v>0.77083333333333337</v>
      </c>
      <c r="C40" s="63">
        <f>SUMIFS(Исход!$D:$D,Исход!$A:$A,C$1,Исход!$B:$B,$A40)+
SUMIFS(Исход!$G:$G,Исход!$A:$A,C$1,Исход!$B:$B,$A40)+
SUMIFS(Исход!$H:$H,Исход!$A:$A,C$1,Исход!$B:$B,$A40)+
SUMIFS(Исход!$I:$I,Исход!$A:$A,C$1,Исход!$B:$B,$A40)-
SUMIFS(Исход!$L:$L,Исход!$A:$A,C$1,Исход!$B:$B,$A40)</f>
        <v>0</v>
      </c>
      <c r="D40" s="2">
        <f>SUMIFS(Исход!$D:$D,Исход!$A:$A,D$1,Исход!$B:$B,$A40)+
SUMIFS(Исход!$G:$G,Исход!$A:$A,D$1,Исход!$B:$B,$A40)+
SUMIFS(Исход!$H:$H,Исход!$A:$A,D$1,Исход!$B:$B,$A40)+
SUMIFS(Исход!$I:$I,Исход!$A:$A,D$1,Исход!$B:$B,$A40)-
SUMIFS(Исход!$L:$L,Исход!$A:$A,D$1,Исход!$B:$B,$A40)</f>
        <v>0</v>
      </c>
      <c r="E40" s="2">
        <f>SUMIFS(Исход!$D:$D,Исход!$A:$A,E$1,Исход!$B:$B,$A40)+
SUMIFS(Исход!$G:$G,Исход!$A:$A,E$1,Исход!$B:$B,$A40)+
SUMIFS(Исход!$H:$H,Исход!$A:$A,E$1,Исход!$B:$B,$A40)+
SUMIFS(Исход!$I:$I,Исход!$A:$A,E$1,Исход!$B:$B,$A40)-
SUMIFS(Исход!$L:$L,Исход!$A:$A,E$1,Исход!$B:$B,$A40)</f>
        <v>0</v>
      </c>
      <c r="F40" s="2">
        <f>SUMIFS(Исход!$D:$D,Исход!$A:$A,F$1,Исход!$B:$B,$A40)+
SUMIFS(Исход!$G:$G,Исход!$A:$A,F$1,Исход!$B:$B,$A40)+
SUMIFS(Исход!$H:$H,Исход!$A:$A,F$1,Исход!$B:$B,$A40)+
SUMIFS(Исход!$I:$I,Исход!$A:$A,F$1,Исход!$B:$B,$A40)-
SUMIFS(Исход!$L:$L,Исход!$A:$A,F$1,Исход!$B:$B,$A40)</f>
        <v>0</v>
      </c>
      <c r="G40" s="2">
        <f>SUMIFS(Исход!$D:$D,Исход!$A:$A,G$1,Исход!$B:$B,$A40)+
SUMIFS(Исход!$G:$G,Исход!$A:$A,G$1,Исход!$B:$B,$A40)+
SUMIFS(Исход!$H:$H,Исход!$A:$A,G$1,Исход!$B:$B,$A40)+
SUMIFS(Исход!$I:$I,Исход!$A:$A,G$1,Исход!$B:$B,$A40)-
SUMIFS(Исход!$L:$L,Исход!$A:$A,G$1,Исход!$B:$B,$A40)</f>
        <v>0</v>
      </c>
      <c r="H40" s="2">
        <f>SUMIFS(Исход!$D:$D,Исход!$A:$A,H$1,Исход!$B:$B,$A40)+
SUMIFS(Исход!$G:$G,Исход!$A:$A,H$1,Исход!$B:$B,$A40)+
SUMIFS(Исход!$H:$H,Исход!$A:$A,H$1,Исход!$B:$B,$A40)+
SUMIFS(Исход!$I:$I,Исход!$A:$A,H$1,Исход!$B:$B,$A40)-
SUMIFS(Исход!$L:$L,Исход!$A:$A,H$1,Исход!$B:$B,$A40)</f>
        <v>0</v>
      </c>
      <c r="I40" s="2">
        <f>SUMIFS(Исход!$D:$D,Исход!$A:$A,I$1,Исход!$B:$B,$A40)+
SUMIFS(Исход!$G:$G,Исход!$A:$A,I$1,Исход!$B:$B,$A40)+
SUMIFS(Исход!$H:$H,Исход!$A:$A,I$1,Исход!$B:$B,$A40)+
SUMIFS(Исход!$I:$I,Исход!$A:$A,I$1,Исход!$B:$B,$A40)-
SUMIFS(Исход!$L:$L,Исход!$A:$A,I$1,Исход!$B:$B,$A40)</f>
        <v>0</v>
      </c>
      <c r="J40" s="2">
        <f>SUMIFS(Исход!$D:$D,Исход!$A:$A,J$1,Исход!$B:$B,$A40)+
SUMIFS(Исход!$G:$G,Исход!$A:$A,J$1,Исход!$B:$B,$A40)+
SUMIFS(Исход!$H:$H,Исход!$A:$A,J$1,Исход!$B:$B,$A40)+
SUMIFS(Исход!$I:$I,Исход!$A:$A,J$1,Исход!$B:$B,$A40)-
SUMIFS(Исход!$L:$L,Исход!$A:$A,J$1,Исход!$B:$B,$A40)</f>
        <v>0</v>
      </c>
      <c r="K40" s="2">
        <f>SUMIFS(Исход!$D:$D,Исход!$A:$A,K$1,Исход!$B:$B,$A40)+
SUMIFS(Исход!$G:$G,Исход!$A:$A,K$1,Исход!$B:$B,$A40)+
SUMIFS(Исход!$H:$H,Исход!$A:$A,K$1,Исход!$B:$B,$A40)+
SUMIFS(Исход!$I:$I,Исход!$A:$A,K$1,Исход!$B:$B,$A40)-
SUMIFS(Исход!$L:$L,Исход!$A:$A,K$1,Исход!$B:$B,$A40)</f>
        <v>0</v>
      </c>
      <c r="L40" s="2">
        <f>SUMIFS(Исход!$D:$D,Исход!$A:$A,L$1,Исход!$B:$B,$A40)+
SUMIFS(Исход!$G:$G,Исход!$A:$A,L$1,Исход!$B:$B,$A40)+
SUMIFS(Исход!$H:$H,Исход!$A:$A,L$1,Исход!$B:$B,$A40)+
SUMIFS(Исход!$I:$I,Исход!$A:$A,L$1,Исход!$B:$B,$A40)-
SUMIFS(Исход!$L:$L,Исход!$A:$A,L$1,Исход!$B:$B,$A40)</f>
        <v>0</v>
      </c>
      <c r="M40" s="2">
        <f>SUMIFS(Исход!$D:$D,Исход!$A:$A,M$1,Исход!$B:$B,$A40)+
SUMIFS(Исход!$G:$G,Исход!$A:$A,M$1,Исход!$B:$B,$A40)+
SUMIFS(Исход!$H:$H,Исход!$A:$A,M$1,Исход!$B:$B,$A40)+
SUMIFS(Исход!$I:$I,Исход!$A:$A,M$1,Исход!$B:$B,$A40)-
SUMIFS(Исход!$L:$L,Исход!$A:$A,M$1,Исход!$B:$B,$A40)</f>
        <v>0</v>
      </c>
      <c r="N40" s="2">
        <f>SUMIFS(Исход!$D:$D,Исход!$A:$A,N$1,Исход!$B:$B,$A40)+
SUMIFS(Исход!$G:$G,Исход!$A:$A,N$1,Исход!$B:$B,$A40)+
SUMIFS(Исход!$H:$H,Исход!$A:$A,N$1,Исход!$B:$B,$A40)+
SUMIFS(Исход!$I:$I,Исход!$A:$A,N$1,Исход!$B:$B,$A40)-
SUMIFS(Исход!$L:$L,Исход!$A:$A,N$1,Исход!$B:$B,$A40)</f>
        <v>0</v>
      </c>
      <c r="O40" s="2">
        <f>SUMIFS(Исход!$D:$D,Исход!$A:$A,O$1,Исход!$B:$B,$A40)+
SUMIFS(Исход!$G:$G,Исход!$A:$A,O$1,Исход!$B:$B,$A40)+
SUMIFS(Исход!$H:$H,Исход!$A:$A,O$1,Исход!$B:$B,$A40)+
SUMIFS(Исход!$I:$I,Исход!$A:$A,O$1,Исход!$B:$B,$A40)-
SUMIFS(Исход!$L:$L,Исход!$A:$A,O$1,Исход!$B:$B,$A40)</f>
        <v>0</v>
      </c>
      <c r="P40" s="2">
        <f>SUMIFS(Исход!$D:$D,Исход!$A:$A,P$1,Исход!$B:$B,$A40)+
SUMIFS(Исход!$G:$G,Исход!$A:$A,P$1,Исход!$B:$B,$A40)+
SUMIFS(Исход!$H:$H,Исход!$A:$A,P$1,Исход!$B:$B,$A40)+
SUMIFS(Исход!$I:$I,Исход!$A:$A,P$1,Исход!$B:$B,$A40)-
SUMIFS(Исход!$L:$L,Исход!$A:$A,P$1,Исход!$B:$B,$A40)</f>
        <v>0</v>
      </c>
      <c r="Q40" s="2">
        <f>SUMIFS(Исход!$D:$D,Исход!$A:$A,Q$1,Исход!$B:$B,$A40)+
SUMIFS(Исход!$G:$G,Исход!$A:$A,Q$1,Исход!$B:$B,$A40)+
SUMIFS(Исход!$H:$H,Исход!$A:$A,Q$1,Исход!$B:$B,$A40)+
SUMIFS(Исход!$I:$I,Исход!$A:$A,Q$1,Исход!$B:$B,$A40)-
SUMIFS(Исход!$L:$L,Исход!$A:$A,Q$1,Исход!$B:$B,$A40)</f>
        <v>0</v>
      </c>
      <c r="R40" s="2">
        <f>SUMIFS(Исход!$D:$D,Исход!$A:$A,R$1,Исход!$B:$B,$A40)+
SUMIFS(Исход!$G:$G,Исход!$A:$A,R$1,Исход!$B:$B,$A40)+
SUMIFS(Исход!$H:$H,Исход!$A:$A,R$1,Исход!$B:$B,$A40)+
SUMIFS(Исход!$I:$I,Исход!$A:$A,R$1,Исход!$B:$B,$A40)-
SUMIFS(Исход!$L:$L,Исход!$A:$A,R$1,Исход!$B:$B,$A40)</f>
        <v>0</v>
      </c>
      <c r="S40" s="2">
        <f>SUMIFS(Исход!$D:$D,Исход!$A:$A,S$1,Исход!$B:$B,$A40)+
SUMIFS(Исход!$G:$G,Исход!$A:$A,S$1,Исход!$B:$B,$A40)+
SUMIFS(Исход!$H:$H,Исход!$A:$A,S$1,Исход!$B:$B,$A40)+
SUMIFS(Исход!$I:$I,Исход!$A:$A,S$1,Исход!$B:$B,$A40)-
SUMIFS(Исход!$L:$L,Исход!$A:$A,S$1,Исход!$B:$B,$A40)</f>
        <v>0</v>
      </c>
      <c r="T40" s="2">
        <f>SUMIFS(Исход!$D:$D,Исход!$A:$A,T$1,Исход!$B:$B,$A40)+
SUMIFS(Исход!$G:$G,Исход!$A:$A,T$1,Исход!$B:$B,$A40)+
SUMIFS(Исход!$H:$H,Исход!$A:$A,T$1,Исход!$B:$B,$A40)+
SUMIFS(Исход!$I:$I,Исход!$A:$A,T$1,Исход!$B:$B,$A40)-
SUMIFS(Исход!$L:$L,Исход!$A:$A,T$1,Исход!$B:$B,$A40)</f>
        <v>0</v>
      </c>
      <c r="U40" s="2">
        <f>SUMIFS(Исход!$D:$D,Исход!$A:$A,U$1,Исход!$B:$B,$A40)+
SUMIFS(Исход!$G:$G,Исход!$A:$A,U$1,Исход!$B:$B,$A40)+
SUMIFS(Исход!$H:$H,Исход!$A:$A,U$1,Исход!$B:$B,$A40)+
SUMIFS(Исход!$I:$I,Исход!$A:$A,U$1,Исход!$B:$B,$A40)-
SUMIFS(Исход!$L:$L,Исход!$A:$A,U$1,Исход!$B:$B,$A40)</f>
        <v>0</v>
      </c>
      <c r="V40" s="2">
        <f>SUMIFS(Исход!$D:$D,Исход!$A:$A,V$1,Исход!$B:$B,$A40)+
SUMIFS(Исход!$G:$G,Исход!$A:$A,V$1,Исход!$B:$B,$A40)+
SUMIFS(Исход!$H:$H,Исход!$A:$A,V$1,Исход!$B:$B,$A40)+
SUMIFS(Исход!$I:$I,Исход!$A:$A,V$1,Исход!$B:$B,$A40)-
SUMIFS(Исход!$L:$L,Исход!$A:$A,V$1,Исход!$B:$B,$A40)</f>
        <v>0</v>
      </c>
      <c r="W40" s="2">
        <f>SUMIFS(Исход!$D:$D,Исход!$A:$A,W$1,Исход!$B:$B,$A40)+
SUMIFS(Исход!$G:$G,Исход!$A:$A,W$1,Исход!$B:$B,$A40)+
SUMIFS(Исход!$H:$H,Исход!$A:$A,W$1,Исход!$B:$B,$A40)+
SUMIFS(Исход!$I:$I,Исход!$A:$A,W$1,Исход!$B:$B,$A40)-
SUMIFS(Исход!$L:$L,Исход!$A:$A,W$1,Исход!$B:$B,$A40)</f>
        <v>0</v>
      </c>
      <c r="X40" s="2">
        <f>SUMIFS(Исход!$D:$D,Исход!$A:$A,X$1,Исход!$B:$B,$A40)+
SUMIFS(Исход!$G:$G,Исход!$A:$A,X$1,Исход!$B:$B,$A40)+
SUMIFS(Исход!$H:$H,Исход!$A:$A,X$1,Исход!$B:$B,$A40)+
SUMIFS(Исход!$I:$I,Исход!$A:$A,X$1,Исход!$B:$B,$A40)-
SUMIFS(Исход!$L:$L,Исход!$A:$A,X$1,Исход!$B:$B,$A40)</f>
        <v>0</v>
      </c>
      <c r="Y40" s="2">
        <f>SUMIFS(Исход!$D:$D,Исход!$A:$A,Y$1,Исход!$B:$B,$A40)+
SUMIFS(Исход!$G:$G,Исход!$A:$A,Y$1,Исход!$B:$B,$A40)+
SUMIFS(Исход!$H:$H,Исход!$A:$A,Y$1,Исход!$B:$B,$A40)+
SUMIFS(Исход!$I:$I,Исход!$A:$A,Y$1,Исход!$B:$B,$A40)-
SUMIFS(Исход!$L:$L,Исход!$A:$A,Y$1,Исход!$B:$B,$A40)</f>
        <v>0</v>
      </c>
      <c r="Z40" s="2">
        <f>SUMIFS(Исход!$D:$D,Исход!$A:$A,Z$1,Исход!$B:$B,$A40)+
SUMIFS(Исход!$G:$G,Исход!$A:$A,Z$1,Исход!$B:$B,$A40)+
SUMIFS(Исход!$H:$H,Исход!$A:$A,Z$1,Исход!$B:$B,$A40)+
SUMIFS(Исход!$I:$I,Исход!$A:$A,Z$1,Исход!$B:$B,$A40)-
SUMIFS(Исход!$L:$L,Исход!$A:$A,Z$1,Исход!$B:$B,$A40)</f>
        <v>0</v>
      </c>
      <c r="AA40" s="2">
        <f>SUMIFS(Исход!$D:$D,Исход!$A:$A,AA$1,Исход!$B:$B,$A40)+
SUMIFS(Исход!$G:$G,Исход!$A:$A,AA$1,Исход!$B:$B,$A40)+
SUMIFS(Исход!$H:$H,Исход!$A:$A,AA$1,Исход!$B:$B,$A40)+
SUMIFS(Исход!$I:$I,Исход!$A:$A,AA$1,Исход!$B:$B,$A40)-
SUMIFS(Исход!$L:$L,Исход!$A:$A,AA$1,Исход!$B:$B,$A40)</f>
        <v>0</v>
      </c>
      <c r="AB40" s="2">
        <f>SUMIFS(Исход!$D:$D,Исход!$A:$A,AB$1,Исход!$B:$B,$A40)+
SUMIFS(Исход!$G:$G,Исход!$A:$A,AB$1,Исход!$B:$B,$A40)+
SUMIFS(Исход!$H:$H,Исход!$A:$A,AB$1,Исход!$B:$B,$A40)+
SUMIFS(Исход!$I:$I,Исход!$A:$A,AB$1,Исход!$B:$B,$A40)-
SUMIFS(Исход!$L:$L,Исход!$A:$A,AB$1,Исход!$B:$B,$A40)</f>
        <v>0</v>
      </c>
      <c r="AC40" s="2">
        <f>SUMIFS(Исход!$D:$D,Исход!$A:$A,AC$1,Исход!$B:$B,$A40)+
SUMIFS(Исход!$G:$G,Исход!$A:$A,AC$1,Исход!$B:$B,$A40)+
SUMIFS(Исход!$H:$H,Исход!$A:$A,AC$1,Исход!$B:$B,$A40)+
SUMIFS(Исход!$I:$I,Исход!$A:$A,AC$1,Исход!$B:$B,$A40)-
SUMIFS(Исход!$L:$L,Исход!$A:$A,AC$1,Исход!$B:$B,$A40)</f>
        <v>0</v>
      </c>
      <c r="AD40" s="2">
        <f>SUMIFS(Исход!$D:$D,Исход!$A:$A,AD$1,Исход!$B:$B,$A40)+
SUMIFS(Исход!$G:$G,Исход!$A:$A,AD$1,Исход!$B:$B,$A40)+
SUMIFS(Исход!$H:$H,Исход!$A:$A,AD$1,Исход!$B:$B,$A40)+
SUMIFS(Исход!$I:$I,Исход!$A:$A,AD$1,Исход!$B:$B,$A40)-
SUMIFS(Исход!$L:$L,Исход!$A:$A,AD$1,Исход!$B:$B,$A40)</f>
        <v>0</v>
      </c>
      <c r="AE40" s="2">
        <f>SUMIFS(Исход!$D:$D,Исход!$A:$A,AE$1,Исход!$B:$B,$A40)+
SUMIFS(Исход!$G:$G,Исход!$A:$A,AE$1,Исход!$B:$B,$A40)+
SUMIFS(Исход!$H:$H,Исход!$A:$A,AE$1,Исход!$B:$B,$A40)+
SUMIFS(Исход!$I:$I,Исход!$A:$A,AE$1,Исход!$B:$B,$A40)-
SUMIFS(Исход!$L:$L,Исход!$A:$A,AE$1,Исход!$B:$B,$A40)</f>
        <v>0</v>
      </c>
      <c r="AF40" s="2">
        <f>SUMIFS(Исход!$D:$D,Исход!$A:$A,AF$1,Исход!$B:$B,$A40)+
SUMIFS(Исход!$G:$G,Исход!$A:$A,AF$1,Исход!$B:$B,$A40)+
SUMIFS(Исход!$H:$H,Исход!$A:$A,AF$1,Исход!$B:$B,$A40)+
SUMIFS(Исход!$I:$I,Исход!$A:$A,AF$1,Исход!$B:$B,$A40)-
SUMIFS(Исход!$L:$L,Исход!$A:$A,AF$1,Исход!$B:$B,$A40)</f>
        <v>0</v>
      </c>
      <c r="AG40" s="57">
        <f>SUMIFS(Исход!$D:$D,Исход!$A:$A,AG$1,Исход!$B:$B,$A40)+
SUMIFS(Исход!$G:$G,Исход!$A:$A,AG$1,Исход!$B:$B,$A40)+
SUMIFS(Исход!$H:$H,Исход!$A:$A,AG$1,Исход!$B:$B,$A40)+
SUMIFS(Исход!$I:$I,Исход!$A:$A,AG$1,Исход!$B:$B,$A40)-
SUMIFS(Исход!$L:$L,Исход!$A:$A,AG$1,Исход!$B:$B,$A40)</f>
        <v>0</v>
      </c>
    </row>
    <row r="41" spans="1:33" hidden="1" outlineLevel="1" x14ac:dyDescent="0.25">
      <c r="A41" s="103">
        <v>0.77083333333333337</v>
      </c>
      <c r="B41" s="123">
        <v>0.79166666666666663</v>
      </c>
      <c r="C41" s="63">
        <f>SUMIFS(Исход!$D:$D,Исход!$A:$A,C$1,Исход!$B:$B,$A41)+
SUMIFS(Исход!$G:$G,Исход!$A:$A,C$1,Исход!$B:$B,$A41)+
SUMIFS(Исход!$H:$H,Исход!$A:$A,C$1,Исход!$B:$B,$A41)+
SUMIFS(Исход!$I:$I,Исход!$A:$A,C$1,Исход!$B:$B,$A41)-
SUMIFS(Исход!$L:$L,Исход!$A:$A,C$1,Исход!$B:$B,$A41)</f>
        <v>0</v>
      </c>
      <c r="D41" s="2">
        <f>SUMIFS(Исход!$D:$D,Исход!$A:$A,D$1,Исход!$B:$B,$A41)+
SUMIFS(Исход!$G:$G,Исход!$A:$A,D$1,Исход!$B:$B,$A41)+
SUMIFS(Исход!$H:$H,Исход!$A:$A,D$1,Исход!$B:$B,$A41)+
SUMIFS(Исход!$I:$I,Исход!$A:$A,D$1,Исход!$B:$B,$A41)-
SUMIFS(Исход!$L:$L,Исход!$A:$A,D$1,Исход!$B:$B,$A41)</f>
        <v>0</v>
      </c>
      <c r="E41" s="2">
        <f>SUMIFS(Исход!$D:$D,Исход!$A:$A,E$1,Исход!$B:$B,$A41)+
SUMIFS(Исход!$G:$G,Исход!$A:$A,E$1,Исход!$B:$B,$A41)+
SUMIFS(Исход!$H:$H,Исход!$A:$A,E$1,Исход!$B:$B,$A41)+
SUMIFS(Исход!$I:$I,Исход!$A:$A,E$1,Исход!$B:$B,$A41)-
SUMIFS(Исход!$L:$L,Исход!$A:$A,E$1,Исход!$B:$B,$A41)</f>
        <v>0</v>
      </c>
      <c r="F41" s="2">
        <f>SUMIFS(Исход!$D:$D,Исход!$A:$A,F$1,Исход!$B:$B,$A41)+
SUMIFS(Исход!$G:$G,Исход!$A:$A,F$1,Исход!$B:$B,$A41)+
SUMIFS(Исход!$H:$H,Исход!$A:$A,F$1,Исход!$B:$B,$A41)+
SUMIFS(Исход!$I:$I,Исход!$A:$A,F$1,Исход!$B:$B,$A41)-
SUMIFS(Исход!$L:$L,Исход!$A:$A,F$1,Исход!$B:$B,$A41)</f>
        <v>0</v>
      </c>
      <c r="G41" s="2">
        <f>SUMIFS(Исход!$D:$D,Исход!$A:$A,G$1,Исход!$B:$B,$A41)+
SUMIFS(Исход!$G:$G,Исход!$A:$A,G$1,Исход!$B:$B,$A41)+
SUMIFS(Исход!$H:$H,Исход!$A:$A,G$1,Исход!$B:$B,$A41)+
SUMIFS(Исход!$I:$I,Исход!$A:$A,G$1,Исход!$B:$B,$A41)-
SUMIFS(Исход!$L:$L,Исход!$A:$A,G$1,Исход!$B:$B,$A41)</f>
        <v>0</v>
      </c>
      <c r="H41" s="2">
        <f>SUMIFS(Исход!$D:$D,Исход!$A:$A,H$1,Исход!$B:$B,$A41)+
SUMIFS(Исход!$G:$G,Исход!$A:$A,H$1,Исход!$B:$B,$A41)+
SUMIFS(Исход!$H:$H,Исход!$A:$A,H$1,Исход!$B:$B,$A41)+
SUMIFS(Исход!$I:$I,Исход!$A:$A,H$1,Исход!$B:$B,$A41)-
SUMIFS(Исход!$L:$L,Исход!$A:$A,H$1,Исход!$B:$B,$A41)</f>
        <v>0</v>
      </c>
      <c r="I41" s="2">
        <f>SUMIFS(Исход!$D:$D,Исход!$A:$A,I$1,Исход!$B:$B,$A41)+
SUMIFS(Исход!$G:$G,Исход!$A:$A,I$1,Исход!$B:$B,$A41)+
SUMIFS(Исход!$H:$H,Исход!$A:$A,I$1,Исход!$B:$B,$A41)+
SUMIFS(Исход!$I:$I,Исход!$A:$A,I$1,Исход!$B:$B,$A41)-
SUMIFS(Исход!$L:$L,Исход!$A:$A,I$1,Исход!$B:$B,$A41)</f>
        <v>0</v>
      </c>
      <c r="J41" s="2">
        <f>SUMIFS(Исход!$D:$D,Исход!$A:$A,J$1,Исход!$B:$B,$A41)+
SUMIFS(Исход!$G:$G,Исход!$A:$A,J$1,Исход!$B:$B,$A41)+
SUMIFS(Исход!$H:$H,Исход!$A:$A,J$1,Исход!$B:$B,$A41)+
SUMIFS(Исход!$I:$I,Исход!$A:$A,J$1,Исход!$B:$B,$A41)-
SUMIFS(Исход!$L:$L,Исход!$A:$A,J$1,Исход!$B:$B,$A41)</f>
        <v>0</v>
      </c>
      <c r="K41" s="2">
        <f>SUMIFS(Исход!$D:$D,Исход!$A:$A,K$1,Исход!$B:$B,$A41)+
SUMIFS(Исход!$G:$G,Исход!$A:$A,K$1,Исход!$B:$B,$A41)+
SUMIFS(Исход!$H:$H,Исход!$A:$A,K$1,Исход!$B:$B,$A41)+
SUMIFS(Исход!$I:$I,Исход!$A:$A,K$1,Исход!$B:$B,$A41)-
SUMIFS(Исход!$L:$L,Исход!$A:$A,K$1,Исход!$B:$B,$A41)</f>
        <v>0</v>
      </c>
      <c r="L41" s="2">
        <f>SUMIFS(Исход!$D:$D,Исход!$A:$A,L$1,Исход!$B:$B,$A41)+
SUMIFS(Исход!$G:$G,Исход!$A:$A,L$1,Исход!$B:$B,$A41)+
SUMIFS(Исход!$H:$H,Исход!$A:$A,L$1,Исход!$B:$B,$A41)+
SUMIFS(Исход!$I:$I,Исход!$A:$A,L$1,Исход!$B:$B,$A41)-
SUMIFS(Исход!$L:$L,Исход!$A:$A,L$1,Исход!$B:$B,$A41)</f>
        <v>0</v>
      </c>
      <c r="M41" s="2">
        <f>SUMIFS(Исход!$D:$D,Исход!$A:$A,M$1,Исход!$B:$B,$A41)+
SUMIFS(Исход!$G:$G,Исход!$A:$A,M$1,Исход!$B:$B,$A41)+
SUMIFS(Исход!$H:$H,Исход!$A:$A,M$1,Исход!$B:$B,$A41)+
SUMIFS(Исход!$I:$I,Исход!$A:$A,M$1,Исход!$B:$B,$A41)-
SUMIFS(Исход!$L:$L,Исход!$A:$A,M$1,Исход!$B:$B,$A41)</f>
        <v>0</v>
      </c>
      <c r="N41" s="2">
        <f>SUMIFS(Исход!$D:$D,Исход!$A:$A,N$1,Исход!$B:$B,$A41)+
SUMIFS(Исход!$G:$G,Исход!$A:$A,N$1,Исход!$B:$B,$A41)+
SUMIFS(Исход!$H:$H,Исход!$A:$A,N$1,Исход!$B:$B,$A41)+
SUMIFS(Исход!$I:$I,Исход!$A:$A,N$1,Исход!$B:$B,$A41)-
SUMIFS(Исход!$L:$L,Исход!$A:$A,N$1,Исход!$B:$B,$A41)</f>
        <v>0</v>
      </c>
      <c r="O41" s="2">
        <f>SUMIFS(Исход!$D:$D,Исход!$A:$A,O$1,Исход!$B:$B,$A41)+
SUMIFS(Исход!$G:$G,Исход!$A:$A,O$1,Исход!$B:$B,$A41)+
SUMIFS(Исход!$H:$H,Исход!$A:$A,O$1,Исход!$B:$B,$A41)+
SUMIFS(Исход!$I:$I,Исход!$A:$A,O$1,Исход!$B:$B,$A41)-
SUMIFS(Исход!$L:$L,Исход!$A:$A,O$1,Исход!$B:$B,$A41)</f>
        <v>0</v>
      </c>
      <c r="P41" s="2">
        <f>SUMIFS(Исход!$D:$D,Исход!$A:$A,P$1,Исход!$B:$B,$A41)+
SUMIFS(Исход!$G:$G,Исход!$A:$A,P$1,Исход!$B:$B,$A41)+
SUMIFS(Исход!$H:$H,Исход!$A:$A,P$1,Исход!$B:$B,$A41)+
SUMIFS(Исход!$I:$I,Исход!$A:$A,P$1,Исход!$B:$B,$A41)-
SUMIFS(Исход!$L:$L,Исход!$A:$A,P$1,Исход!$B:$B,$A41)</f>
        <v>0</v>
      </c>
      <c r="Q41" s="2">
        <f>SUMIFS(Исход!$D:$D,Исход!$A:$A,Q$1,Исход!$B:$B,$A41)+
SUMIFS(Исход!$G:$G,Исход!$A:$A,Q$1,Исход!$B:$B,$A41)+
SUMIFS(Исход!$H:$H,Исход!$A:$A,Q$1,Исход!$B:$B,$A41)+
SUMIFS(Исход!$I:$I,Исход!$A:$A,Q$1,Исход!$B:$B,$A41)-
SUMIFS(Исход!$L:$L,Исход!$A:$A,Q$1,Исход!$B:$B,$A41)</f>
        <v>0</v>
      </c>
      <c r="R41" s="2">
        <f>SUMIFS(Исход!$D:$D,Исход!$A:$A,R$1,Исход!$B:$B,$A41)+
SUMIFS(Исход!$G:$G,Исход!$A:$A,R$1,Исход!$B:$B,$A41)+
SUMIFS(Исход!$H:$H,Исход!$A:$A,R$1,Исход!$B:$B,$A41)+
SUMIFS(Исход!$I:$I,Исход!$A:$A,R$1,Исход!$B:$B,$A41)-
SUMIFS(Исход!$L:$L,Исход!$A:$A,R$1,Исход!$B:$B,$A41)</f>
        <v>0</v>
      </c>
      <c r="S41" s="2">
        <f>SUMIFS(Исход!$D:$D,Исход!$A:$A,S$1,Исход!$B:$B,$A41)+
SUMIFS(Исход!$G:$G,Исход!$A:$A,S$1,Исход!$B:$B,$A41)+
SUMIFS(Исход!$H:$H,Исход!$A:$A,S$1,Исход!$B:$B,$A41)+
SUMIFS(Исход!$I:$I,Исход!$A:$A,S$1,Исход!$B:$B,$A41)-
SUMIFS(Исход!$L:$L,Исход!$A:$A,S$1,Исход!$B:$B,$A41)</f>
        <v>0</v>
      </c>
      <c r="T41" s="2">
        <f>SUMIFS(Исход!$D:$D,Исход!$A:$A,T$1,Исход!$B:$B,$A41)+
SUMIFS(Исход!$G:$G,Исход!$A:$A,T$1,Исход!$B:$B,$A41)+
SUMIFS(Исход!$H:$H,Исход!$A:$A,T$1,Исход!$B:$B,$A41)+
SUMIFS(Исход!$I:$I,Исход!$A:$A,T$1,Исход!$B:$B,$A41)-
SUMIFS(Исход!$L:$L,Исход!$A:$A,T$1,Исход!$B:$B,$A41)</f>
        <v>0</v>
      </c>
      <c r="U41" s="2">
        <f>SUMIFS(Исход!$D:$D,Исход!$A:$A,U$1,Исход!$B:$B,$A41)+
SUMIFS(Исход!$G:$G,Исход!$A:$A,U$1,Исход!$B:$B,$A41)+
SUMIFS(Исход!$H:$H,Исход!$A:$A,U$1,Исход!$B:$B,$A41)+
SUMIFS(Исход!$I:$I,Исход!$A:$A,U$1,Исход!$B:$B,$A41)-
SUMIFS(Исход!$L:$L,Исход!$A:$A,U$1,Исход!$B:$B,$A41)</f>
        <v>0</v>
      </c>
      <c r="V41" s="2">
        <f>SUMIFS(Исход!$D:$D,Исход!$A:$A,V$1,Исход!$B:$B,$A41)+
SUMIFS(Исход!$G:$G,Исход!$A:$A,V$1,Исход!$B:$B,$A41)+
SUMIFS(Исход!$H:$H,Исход!$A:$A,V$1,Исход!$B:$B,$A41)+
SUMIFS(Исход!$I:$I,Исход!$A:$A,V$1,Исход!$B:$B,$A41)-
SUMIFS(Исход!$L:$L,Исход!$A:$A,V$1,Исход!$B:$B,$A41)</f>
        <v>0</v>
      </c>
      <c r="W41" s="2">
        <f>SUMIFS(Исход!$D:$D,Исход!$A:$A,W$1,Исход!$B:$B,$A41)+
SUMIFS(Исход!$G:$G,Исход!$A:$A,W$1,Исход!$B:$B,$A41)+
SUMIFS(Исход!$H:$H,Исход!$A:$A,W$1,Исход!$B:$B,$A41)+
SUMIFS(Исход!$I:$I,Исход!$A:$A,W$1,Исход!$B:$B,$A41)-
SUMIFS(Исход!$L:$L,Исход!$A:$A,W$1,Исход!$B:$B,$A41)</f>
        <v>0</v>
      </c>
      <c r="X41" s="2">
        <f>SUMIFS(Исход!$D:$D,Исход!$A:$A,X$1,Исход!$B:$B,$A41)+
SUMIFS(Исход!$G:$G,Исход!$A:$A,X$1,Исход!$B:$B,$A41)+
SUMIFS(Исход!$H:$H,Исход!$A:$A,X$1,Исход!$B:$B,$A41)+
SUMIFS(Исход!$I:$I,Исход!$A:$A,X$1,Исход!$B:$B,$A41)-
SUMIFS(Исход!$L:$L,Исход!$A:$A,X$1,Исход!$B:$B,$A41)</f>
        <v>0</v>
      </c>
      <c r="Y41" s="2">
        <f>SUMIFS(Исход!$D:$D,Исход!$A:$A,Y$1,Исход!$B:$B,$A41)+
SUMIFS(Исход!$G:$G,Исход!$A:$A,Y$1,Исход!$B:$B,$A41)+
SUMIFS(Исход!$H:$H,Исход!$A:$A,Y$1,Исход!$B:$B,$A41)+
SUMIFS(Исход!$I:$I,Исход!$A:$A,Y$1,Исход!$B:$B,$A41)-
SUMIFS(Исход!$L:$L,Исход!$A:$A,Y$1,Исход!$B:$B,$A41)</f>
        <v>0</v>
      </c>
      <c r="Z41" s="2">
        <f>SUMIFS(Исход!$D:$D,Исход!$A:$A,Z$1,Исход!$B:$B,$A41)+
SUMIFS(Исход!$G:$G,Исход!$A:$A,Z$1,Исход!$B:$B,$A41)+
SUMIFS(Исход!$H:$H,Исход!$A:$A,Z$1,Исход!$B:$B,$A41)+
SUMIFS(Исход!$I:$I,Исход!$A:$A,Z$1,Исход!$B:$B,$A41)-
SUMIFS(Исход!$L:$L,Исход!$A:$A,Z$1,Исход!$B:$B,$A41)</f>
        <v>0</v>
      </c>
      <c r="AA41" s="2">
        <f>SUMIFS(Исход!$D:$D,Исход!$A:$A,AA$1,Исход!$B:$B,$A41)+
SUMIFS(Исход!$G:$G,Исход!$A:$A,AA$1,Исход!$B:$B,$A41)+
SUMIFS(Исход!$H:$H,Исход!$A:$A,AA$1,Исход!$B:$B,$A41)+
SUMIFS(Исход!$I:$I,Исход!$A:$A,AA$1,Исход!$B:$B,$A41)-
SUMIFS(Исход!$L:$L,Исход!$A:$A,AA$1,Исход!$B:$B,$A41)</f>
        <v>0</v>
      </c>
      <c r="AB41" s="2">
        <f>SUMIFS(Исход!$D:$D,Исход!$A:$A,AB$1,Исход!$B:$B,$A41)+
SUMIFS(Исход!$G:$G,Исход!$A:$A,AB$1,Исход!$B:$B,$A41)+
SUMIFS(Исход!$H:$H,Исход!$A:$A,AB$1,Исход!$B:$B,$A41)+
SUMIFS(Исход!$I:$I,Исход!$A:$A,AB$1,Исход!$B:$B,$A41)-
SUMIFS(Исход!$L:$L,Исход!$A:$A,AB$1,Исход!$B:$B,$A41)</f>
        <v>0</v>
      </c>
      <c r="AC41" s="2">
        <f>SUMIFS(Исход!$D:$D,Исход!$A:$A,AC$1,Исход!$B:$B,$A41)+
SUMIFS(Исход!$G:$G,Исход!$A:$A,AC$1,Исход!$B:$B,$A41)+
SUMIFS(Исход!$H:$H,Исход!$A:$A,AC$1,Исход!$B:$B,$A41)+
SUMIFS(Исход!$I:$I,Исход!$A:$A,AC$1,Исход!$B:$B,$A41)-
SUMIFS(Исход!$L:$L,Исход!$A:$A,AC$1,Исход!$B:$B,$A41)</f>
        <v>0</v>
      </c>
      <c r="AD41" s="2">
        <f>SUMIFS(Исход!$D:$D,Исход!$A:$A,AD$1,Исход!$B:$B,$A41)+
SUMIFS(Исход!$G:$G,Исход!$A:$A,AD$1,Исход!$B:$B,$A41)+
SUMIFS(Исход!$H:$H,Исход!$A:$A,AD$1,Исход!$B:$B,$A41)+
SUMIFS(Исход!$I:$I,Исход!$A:$A,AD$1,Исход!$B:$B,$A41)-
SUMIFS(Исход!$L:$L,Исход!$A:$A,AD$1,Исход!$B:$B,$A41)</f>
        <v>0</v>
      </c>
      <c r="AE41" s="2">
        <f>SUMIFS(Исход!$D:$D,Исход!$A:$A,AE$1,Исход!$B:$B,$A41)+
SUMIFS(Исход!$G:$G,Исход!$A:$A,AE$1,Исход!$B:$B,$A41)+
SUMIFS(Исход!$H:$H,Исход!$A:$A,AE$1,Исход!$B:$B,$A41)+
SUMIFS(Исход!$I:$I,Исход!$A:$A,AE$1,Исход!$B:$B,$A41)-
SUMIFS(Исход!$L:$L,Исход!$A:$A,AE$1,Исход!$B:$B,$A41)</f>
        <v>0</v>
      </c>
      <c r="AF41" s="2">
        <f>SUMIFS(Исход!$D:$D,Исход!$A:$A,AF$1,Исход!$B:$B,$A41)+
SUMIFS(Исход!$G:$G,Исход!$A:$A,AF$1,Исход!$B:$B,$A41)+
SUMIFS(Исход!$H:$H,Исход!$A:$A,AF$1,Исход!$B:$B,$A41)+
SUMIFS(Исход!$I:$I,Исход!$A:$A,AF$1,Исход!$B:$B,$A41)-
SUMIFS(Исход!$L:$L,Исход!$A:$A,AF$1,Исход!$B:$B,$A41)</f>
        <v>0</v>
      </c>
      <c r="AG41" s="57">
        <f>SUMIFS(Исход!$D:$D,Исход!$A:$A,AG$1,Исход!$B:$B,$A41)+
SUMIFS(Исход!$G:$G,Исход!$A:$A,AG$1,Исход!$B:$B,$A41)+
SUMIFS(Исход!$H:$H,Исход!$A:$A,AG$1,Исход!$B:$B,$A41)+
SUMIFS(Исход!$I:$I,Исход!$A:$A,AG$1,Исход!$B:$B,$A41)-
SUMIFS(Исход!$L:$L,Исход!$A:$A,AG$1,Исход!$B:$B,$A41)</f>
        <v>0</v>
      </c>
    </row>
    <row r="42" spans="1:33" hidden="1" outlineLevel="1" x14ac:dyDescent="0.25">
      <c r="A42" s="103">
        <v>0.79166666666666663</v>
      </c>
      <c r="B42" s="123">
        <v>0.8125</v>
      </c>
      <c r="C42" s="63">
        <f>SUMIFS(Исход!$D:$D,Исход!$A:$A,C$1,Исход!$B:$B,$A42)+
SUMIFS(Исход!$G:$G,Исход!$A:$A,C$1,Исход!$B:$B,$A42)+
SUMIFS(Исход!$H:$H,Исход!$A:$A,C$1,Исход!$B:$B,$A42)+
SUMIFS(Исход!$I:$I,Исход!$A:$A,C$1,Исход!$B:$B,$A42)-
SUMIFS(Исход!$L:$L,Исход!$A:$A,C$1,Исход!$B:$B,$A42)</f>
        <v>0</v>
      </c>
      <c r="D42" s="2">
        <f>SUMIFS(Исход!$D:$D,Исход!$A:$A,D$1,Исход!$B:$B,$A42)+
SUMIFS(Исход!$G:$G,Исход!$A:$A,D$1,Исход!$B:$B,$A42)+
SUMIFS(Исход!$H:$H,Исход!$A:$A,D$1,Исход!$B:$B,$A42)+
SUMIFS(Исход!$I:$I,Исход!$A:$A,D$1,Исход!$B:$B,$A42)-
SUMIFS(Исход!$L:$L,Исход!$A:$A,D$1,Исход!$B:$B,$A42)</f>
        <v>0</v>
      </c>
      <c r="E42" s="2">
        <f>SUMIFS(Исход!$D:$D,Исход!$A:$A,E$1,Исход!$B:$B,$A42)+
SUMIFS(Исход!$G:$G,Исход!$A:$A,E$1,Исход!$B:$B,$A42)+
SUMIFS(Исход!$H:$H,Исход!$A:$A,E$1,Исход!$B:$B,$A42)+
SUMIFS(Исход!$I:$I,Исход!$A:$A,E$1,Исход!$B:$B,$A42)-
SUMIFS(Исход!$L:$L,Исход!$A:$A,E$1,Исход!$B:$B,$A42)</f>
        <v>0</v>
      </c>
      <c r="F42" s="2">
        <f>SUMIFS(Исход!$D:$D,Исход!$A:$A,F$1,Исход!$B:$B,$A42)+
SUMIFS(Исход!$G:$G,Исход!$A:$A,F$1,Исход!$B:$B,$A42)+
SUMIFS(Исход!$H:$H,Исход!$A:$A,F$1,Исход!$B:$B,$A42)+
SUMIFS(Исход!$I:$I,Исход!$A:$A,F$1,Исход!$B:$B,$A42)-
SUMIFS(Исход!$L:$L,Исход!$A:$A,F$1,Исход!$B:$B,$A42)</f>
        <v>0</v>
      </c>
      <c r="G42" s="2">
        <f>SUMIFS(Исход!$D:$D,Исход!$A:$A,G$1,Исход!$B:$B,$A42)+
SUMIFS(Исход!$G:$G,Исход!$A:$A,G$1,Исход!$B:$B,$A42)+
SUMIFS(Исход!$H:$H,Исход!$A:$A,G$1,Исход!$B:$B,$A42)+
SUMIFS(Исход!$I:$I,Исход!$A:$A,G$1,Исход!$B:$B,$A42)-
SUMIFS(Исход!$L:$L,Исход!$A:$A,G$1,Исход!$B:$B,$A42)</f>
        <v>0</v>
      </c>
      <c r="H42" s="2">
        <f>SUMIFS(Исход!$D:$D,Исход!$A:$A,H$1,Исход!$B:$B,$A42)+
SUMIFS(Исход!$G:$G,Исход!$A:$A,H$1,Исход!$B:$B,$A42)+
SUMIFS(Исход!$H:$H,Исход!$A:$A,H$1,Исход!$B:$B,$A42)+
SUMIFS(Исход!$I:$I,Исход!$A:$A,H$1,Исход!$B:$B,$A42)-
SUMIFS(Исход!$L:$L,Исход!$A:$A,H$1,Исход!$B:$B,$A42)</f>
        <v>0</v>
      </c>
      <c r="I42" s="2">
        <f>SUMIFS(Исход!$D:$D,Исход!$A:$A,I$1,Исход!$B:$B,$A42)+
SUMIFS(Исход!$G:$G,Исход!$A:$A,I$1,Исход!$B:$B,$A42)+
SUMIFS(Исход!$H:$H,Исход!$A:$A,I$1,Исход!$B:$B,$A42)+
SUMIFS(Исход!$I:$I,Исход!$A:$A,I$1,Исход!$B:$B,$A42)-
SUMIFS(Исход!$L:$L,Исход!$A:$A,I$1,Исход!$B:$B,$A42)</f>
        <v>0</v>
      </c>
      <c r="J42" s="2">
        <f>SUMIFS(Исход!$D:$D,Исход!$A:$A,J$1,Исход!$B:$B,$A42)+
SUMIFS(Исход!$G:$G,Исход!$A:$A,J$1,Исход!$B:$B,$A42)+
SUMIFS(Исход!$H:$H,Исход!$A:$A,J$1,Исход!$B:$B,$A42)+
SUMIFS(Исход!$I:$I,Исход!$A:$A,J$1,Исход!$B:$B,$A42)-
SUMIFS(Исход!$L:$L,Исход!$A:$A,J$1,Исход!$B:$B,$A42)</f>
        <v>0</v>
      </c>
      <c r="K42" s="2">
        <f>SUMIFS(Исход!$D:$D,Исход!$A:$A,K$1,Исход!$B:$B,$A42)+
SUMIFS(Исход!$G:$G,Исход!$A:$A,K$1,Исход!$B:$B,$A42)+
SUMIFS(Исход!$H:$H,Исход!$A:$A,K$1,Исход!$B:$B,$A42)+
SUMIFS(Исход!$I:$I,Исход!$A:$A,K$1,Исход!$B:$B,$A42)-
SUMIFS(Исход!$L:$L,Исход!$A:$A,K$1,Исход!$B:$B,$A42)</f>
        <v>0</v>
      </c>
      <c r="L42" s="2">
        <f>SUMIFS(Исход!$D:$D,Исход!$A:$A,L$1,Исход!$B:$B,$A42)+
SUMIFS(Исход!$G:$G,Исход!$A:$A,L$1,Исход!$B:$B,$A42)+
SUMIFS(Исход!$H:$H,Исход!$A:$A,L$1,Исход!$B:$B,$A42)+
SUMIFS(Исход!$I:$I,Исход!$A:$A,L$1,Исход!$B:$B,$A42)-
SUMIFS(Исход!$L:$L,Исход!$A:$A,L$1,Исход!$B:$B,$A42)</f>
        <v>0</v>
      </c>
      <c r="M42" s="2">
        <f>SUMIFS(Исход!$D:$D,Исход!$A:$A,M$1,Исход!$B:$B,$A42)+
SUMIFS(Исход!$G:$G,Исход!$A:$A,M$1,Исход!$B:$B,$A42)+
SUMIFS(Исход!$H:$H,Исход!$A:$A,M$1,Исход!$B:$B,$A42)+
SUMIFS(Исход!$I:$I,Исход!$A:$A,M$1,Исход!$B:$B,$A42)-
SUMIFS(Исход!$L:$L,Исход!$A:$A,M$1,Исход!$B:$B,$A42)</f>
        <v>0</v>
      </c>
      <c r="N42" s="2">
        <f>SUMIFS(Исход!$D:$D,Исход!$A:$A,N$1,Исход!$B:$B,$A42)+
SUMIFS(Исход!$G:$G,Исход!$A:$A,N$1,Исход!$B:$B,$A42)+
SUMIFS(Исход!$H:$H,Исход!$A:$A,N$1,Исход!$B:$B,$A42)+
SUMIFS(Исход!$I:$I,Исход!$A:$A,N$1,Исход!$B:$B,$A42)-
SUMIFS(Исход!$L:$L,Исход!$A:$A,N$1,Исход!$B:$B,$A42)</f>
        <v>0</v>
      </c>
      <c r="O42" s="2">
        <f>SUMIFS(Исход!$D:$D,Исход!$A:$A,O$1,Исход!$B:$B,$A42)+
SUMIFS(Исход!$G:$G,Исход!$A:$A,O$1,Исход!$B:$B,$A42)+
SUMIFS(Исход!$H:$H,Исход!$A:$A,O$1,Исход!$B:$B,$A42)+
SUMIFS(Исход!$I:$I,Исход!$A:$A,O$1,Исход!$B:$B,$A42)-
SUMIFS(Исход!$L:$L,Исход!$A:$A,O$1,Исход!$B:$B,$A42)</f>
        <v>0</v>
      </c>
      <c r="P42" s="2">
        <f>SUMIFS(Исход!$D:$D,Исход!$A:$A,P$1,Исход!$B:$B,$A42)+
SUMIFS(Исход!$G:$G,Исход!$A:$A,P$1,Исход!$B:$B,$A42)+
SUMIFS(Исход!$H:$H,Исход!$A:$A,P$1,Исход!$B:$B,$A42)+
SUMIFS(Исход!$I:$I,Исход!$A:$A,P$1,Исход!$B:$B,$A42)-
SUMIFS(Исход!$L:$L,Исход!$A:$A,P$1,Исход!$B:$B,$A42)</f>
        <v>0</v>
      </c>
      <c r="Q42" s="2">
        <f>SUMIFS(Исход!$D:$D,Исход!$A:$A,Q$1,Исход!$B:$B,$A42)+
SUMIFS(Исход!$G:$G,Исход!$A:$A,Q$1,Исход!$B:$B,$A42)+
SUMIFS(Исход!$H:$H,Исход!$A:$A,Q$1,Исход!$B:$B,$A42)+
SUMIFS(Исход!$I:$I,Исход!$A:$A,Q$1,Исход!$B:$B,$A42)-
SUMIFS(Исход!$L:$L,Исход!$A:$A,Q$1,Исход!$B:$B,$A42)</f>
        <v>0</v>
      </c>
      <c r="R42" s="2">
        <f>SUMIFS(Исход!$D:$D,Исход!$A:$A,R$1,Исход!$B:$B,$A42)+
SUMIFS(Исход!$G:$G,Исход!$A:$A,R$1,Исход!$B:$B,$A42)+
SUMIFS(Исход!$H:$H,Исход!$A:$A,R$1,Исход!$B:$B,$A42)+
SUMIFS(Исход!$I:$I,Исход!$A:$A,R$1,Исход!$B:$B,$A42)-
SUMIFS(Исход!$L:$L,Исход!$A:$A,R$1,Исход!$B:$B,$A42)</f>
        <v>0</v>
      </c>
      <c r="S42" s="2">
        <f>SUMIFS(Исход!$D:$D,Исход!$A:$A,S$1,Исход!$B:$B,$A42)+
SUMIFS(Исход!$G:$G,Исход!$A:$A,S$1,Исход!$B:$B,$A42)+
SUMIFS(Исход!$H:$H,Исход!$A:$A,S$1,Исход!$B:$B,$A42)+
SUMIFS(Исход!$I:$I,Исход!$A:$A,S$1,Исход!$B:$B,$A42)-
SUMIFS(Исход!$L:$L,Исход!$A:$A,S$1,Исход!$B:$B,$A42)</f>
        <v>0</v>
      </c>
      <c r="T42" s="2">
        <f>SUMIFS(Исход!$D:$D,Исход!$A:$A,T$1,Исход!$B:$B,$A42)+
SUMIFS(Исход!$G:$G,Исход!$A:$A,T$1,Исход!$B:$B,$A42)+
SUMIFS(Исход!$H:$H,Исход!$A:$A,T$1,Исход!$B:$B,$A42)+
SUMIFS(Исход!$I:$I,Исход!$A:$A,T$1,Исход!$B:$B,$A42)-
SUMIFS(Исход!$L:$L,Исход!$A:$A,T$1,Исход!$B:$B,$A42)</f>
        <v>0</v>
      </c>
      <c r="U42" s="2">
        <f>SUMIFS(Исход!$D:$D,Исход!$A:$A,U$1,Исход!$B:$B,$A42)+
SUMIFS(Исход!$G:$G,Исход!$A:$A,U$1,Исход!$B:$B,$A42)+
SUMIFS(Исход!$H:$H,Исход!$A:$A,U$1,Исход!$B:$B,$A42)+
SUMIFS(Исход!$I:$I,Исход!$A:$A,U$1,Исход!$B:$B,$A42)-
SUMIFS(Исход!$L:$L,Исход!$A:$A,U$1,Исход!$B:$B,$A42)</f>
        <v>0</v>
      </c>
      <c r="V42" s="2">
        <f>SUMIFS(Исход!$D:$D,Исход!$A:$A,V$1,Исход!$B:$B,$A42)+
SUMIFS(Исход!$G:$G,Исход!$A:$A,V$1,Исход!$B:$B,$A42)+
SUMIFS(Исход!$H:$H,Исход!$A:$A,V$1,Исход!$B:$B,$A42)+
SUMIFS(Исход!$I:$I,Исход!$A:$A,V$1,Исход!$B:$B,$A42)-
SUMIFS(Исход!$L:$L,Исход!$A:$A,V$1,Исход!$B:$B,$A42)</f>
        <v>0</v>
      </c>
      <c r="W42" s="2">
        <f>SUMIFS(Исход!$D:$D,Исход!$A:$A,W$1,Исход!$B:$B,$A42)+
SUMIFS(Исход!$G:$G,Исход!$A:$A,W$1,Исход!$B:$B,$A42)+
SUMIFS(Исход!$H:$H,Исход!$A:$A,W$1,Исход!$B:$B,$A42)+
SUMIFS(Исход!$I:$I,Исход!$A:$A,W$1,Исход!$B:$B,$A42)-
SUMIFS(Исход!$L:$L,Исход!$A:$A,W$1,Исход!$B:$B,$A42)</f>
        <v>0</v>
      </c>
      <c r="X42" s="2">
        <f>SUMIFS(Исход!$D:$D,Исход!$A:$A,X$1,Исход!$B:$B,$A42)+
SUMIFS(Исход!$G:$G,Исход!$A:$A,X$1,Исход!$B:$B,$A42)+
SUMIFS(Исход!$H:$H,Исход!$A:$A,X$1,Исход!$B:$B,$A42)+
SUMIFS(Исход!$I:$I,Исход!$A:$A,X$1,Исход!$B:$B,$A42)-
SUMIFS(Исход!$L:$L,Исход!$A:$A,X$1,Исход!$B:$B,$A42)</f>
        <v>0</v>
      </c>
      <c r="Y42" s="2">
        <f>SUMIFS(Исход!$D:$D,Исход!$A:$A,Y$1,Исход!$B:$B,$A42)+
SUMIFS(Исход!$G:$G,Исход!$A:$A,Y$1,Исход!$B:$B,$A42)+
SUMIFS(Исход!$H:$H,Исход!$A:$A,Y$1,Исход!$B:$B,$A42)+
SUMIFS(Исход!$I:$I,Исход!$A:$A,Y$1,Исход!$B:$B,$A42)-
SUMIFS(Исход!$L:$L,Исход!$A:$A,Y$1,Исход!$B:$B,$A42)</f>
        <v>0</v>
      </c>
      <c r="Z42" s="2">
        <f>SUMIFS(Исход!$D:$D,Исход!$A:$A,Z$1,Исход!$B:$B,$A42)+
SUMIFS(Исход!$G:$G,Исход!$A:$A,Z$1,Исход!$B:$B,$A42)+
SUMIFS(Исход!$H:$H,Исход!$A:$A,Z$1,Исход!$B:$B,$A42)+
SUMIFS(Исход!$I:$I,Исход!$A:$A,Z$1,Исход!$B:$B,$A42)-
SUMIFS(Исход!$L:$L,Исход!$A:$A,Z$1,Исход!$B:$B,$A42)</f>
        <v>0</v>
      </c>
      <c r="AA42" s="2">
        <f>SUMIFS(Исход!$D:$D,Исход!$A:$A,AA$1,Исход!$B:$B,$A42)+
SUMIFS(Исход!$G:$G,Исход!$A:$A,AA$1,Исход!$B:$B,$A42)+
SUMIFS(Исход!$H:$H,Исход!$A:$A,AA$1,Исход!$B:$B,$A42)+
SUMIFS(Исход!$I:$I,Исход!$A:$A,AA$1,Исход!$B:$B,$A42)-
SUMIFS(Исход!$L:$L,Исход!$A:$A,AA$1,Исход!$B:$B,$A42)</f>
        <v>0</v>
      </c>
      <c r="AB42" s="2">
        <f>SUMIFS(Исход!$D:$D,Исход!$A:$A,AB$1,Исход!$B:$B,$A42)+
SUMIFS(Исход!$G:$G,Исход!$A:$A,AB$1,Исход!$B:$B,$A42)+
SUMIFS(Исход!$H:$H,Исход!$A:$A,AB$1,Исход!$B:$B,$A42)+
SUMIFS(Исход!$I:$I,Исход!$A:$A,AB$1,Исход!$B:$B,$A42)-
SUMIFS(Исход!$L:$L,Исход!$A:$A,AB$1,Исход!$B:$B,$A42)</f>
        <v>0</v>
      </c>
      <c r="AC42" s="2">
        <f>SUMIFS(Исход!$D:$D,Исход!$A:$A,AC$1,Исход!$B:$B,$A42)+
SUMIFS(Исход!$G:$G,Исход!$A:$A,AC$1,Исход!$B:$B,$A42)+
SUMIFS(Исход!$H:$H,Исход!$A:$A,AC$1,Исход!$B:$B,$A42)+
SUMIFS(Исход!$I:$I,Исход!$A:$A,AC$1,Исход!$B:$B,$A42)-
SUMIFS(Исход!$L:$L,Исход!$A:$A,AC$1,Исход!$B:$B,$A42)</f>
        <v>0</v>
      </c>
      <c r="AD42" s="2">
        <f>SUMIFS(Исход!$D:$D,Исход!$A:$A,AD$1,Исход!$B:$B,$A42)+
SUMIFS(Исход!$G:$G,Исход!$A:$A,AD$1,Исход!$B:$B,$A42)+
SUMIFS(Исход!$H:$H,Исход!$A:$A,AD$1,Исход!$B:$B,$A42)+
SUMIFS(Исход!$I:$I,Исход!$A:$A,AD$1,Исход!$B:$B,$A42)-
SUMIFS(Исход!$L:$L,Исход!$A:$A,AD$1,Исход!$B:$B,$A42)</f>
        <v>0</v>
      </c>
      <c r="AE42" s="2">
        <f>SUMIFS(Исход!$D:$D,Исход!$A:$A,AE$1,Исход!$B:$B,$A42)+
SUMIFS(Исход!$G:$G,Исход!$A:$A,AE$1,Исход!$B:$B,$A42)+
SUMIFS(Исход!$H:$H,Исход!$A:$A,AE$1,Исход!$B:$B,$A42)+
SUMIFS(Исход!$I:$I,Исход!$A:$A,AE$1,Исход!$B:$B,$A42)-
SUMIFS(Исход!$L:$L,Исход!$A:$A,AE$1,Исход!$B:$B,$A42)</f>
        <v>0</v>
      </c>
      <c r="AF42" s="2">
        <f>SUMIFS(Исход!$D:$D,Исход!$A:$A,AF$1,Исход!$B:$B,$A42)+
SUMIFS(Исход!$G:$G,Исход!$A:$A,AF$1,Исход!$B:$B,$A42)+
SUMIFS(Исход!$H:$H,Исход!$A:$A,AF$1,Исход!$B:$B,$A42)+
SUMIFS(Исход!$I:$I,Исход!$A:$A,AF$1,Исход!$B:$B,$A42)-
SUMIFS(Исход!$L:$L,Исход!$A:$A,AF$1,Исход!$B:$B,$A42)</f>
        <v>0</v>
      </c>
      <c r="AG42" s="57">
        <f>SUMIFS(Исход!$D:$D,Исход!$A:$A,AG$1,Исход!$B:$B,$A42)+
SUMIFS(Исход!$G:$G,Исход!$A:$A,AG$1,Исход!$B:$B,$A42)+
SUMIFS(Исход!$H:$H,Исход!$A:$A,AG$1,Исход!$B:$B,$A42)+
SUMIFS(Исход!$I:$I,Исход!$A:$A,AG$1,Исход!$B:$B,$A42)-
SUMIFS(Исход!$L:$L,Исход!$A:$A,AG$1,Исход!$B:$B,$A42)</f>
        <v>0</v>
      </c>
    </row>
    <row r="43" spans="1:33" hidden="1" outlineLevel="1" x14ac:dyDescent="0.25">
      <c r="A43" s="103">
        <v>0.8125</v>
      </c>
      <c r="B43" s="123">
        <v>0.83333333333333337</v>
      </c>
      <c r="C43" s="63">
        <f>SUMIFS(Исход!$D:$D,Исход!$A:$A,C$1,Исход!$B:$B,$A43)+
SUMIFS(Исход!$G:$G,Исход!$A:$A,C$1,Исход!$B:$B,$A43)+
SUMIFS(Исход!$H:$H,Исход!$A:$A,C$1,Исход!$B:$B,$A43)+
SUMIFS(Исход!$I:$I,Исход!$A:$A,C$1,Исход!$B:$B,$A43)-
SUMIFS(Исход!$L:$L,Исход!$A:$A,C$1,Исход!$B:$B,$A43)</f>
        <v>0</v>
      </c>
      <c r="D43" s="2">
        <f>SUMIFS(Исход!$D:$D,Исход!$A:$A,D$1,Исход!$B:$B,$A43)+
SUMIFS(Исход!$G:$G,Исход!$A:$A,D$1,Исход!$B:$B,$A43)+
SUMIFS(Исход!$H:$H,Исход!$A:$A,D$1,Исход!$B:$B,$A43)+
SUMIFS(Исход!$I:$I,Исход!$A:$A,D$1,Исход!$B:$B,$A43)-
SUMIFS(Исход!$L:$L,Исход!$A:$A,D$1,Исход!$B:$B,$A43)</f>
        <v>0</v>
      </c>
      <c r="E43" s="2">
        <f>SUMIFS(Исход!$D:$D,Исход!$A:$A,E$1,Исход!$B:$B,$A43)+
SUMIFS(Исход!$G:$G,Исход!$A:$A,E$1,Исход!$B:$B,$A43)+
SUMIFS(Исход!$H:$H,Исход!$A:$A,E$1,Исход!$B:$B,$A43)+
SUMIFS(Исход!$I:$I,Исход!$A:$A,E$1,Исход!$B:$B,$A43)-
SUMIFS(Исход!$L:$L,Исход!$A:$A,E$1,Исход!$B:$B,$A43)</f>
        <v>0</v>
      </c>
      <c r="F43" s="2">
        <f>SUMIFS(Исход!$D:$D,Исход!$A:$A,F$1,Исход!$B:$B,$A43)+
SUMIFS(Исход!$G:$G,Исход!$A:$A,F$1,Исход!$B:$B,$A43)+
SUMIFS(Исход!$H:$H,Исход!$A:$A,F$1,Исход!$B:$B,$A43)+
SUMIFS(Исход!$I:$I,Исход!$A:$A,F$1,Исход!$B:$B,$A43)-
SUMIFS(Исход!$L:$L,Исход!$A:$A,F$1,Исход!$B:$B,$A43)</f>
        <v>0</v>
      </c>
      <c r="G43" s="2">
        <f>SUMIFS(Исход!$D:$D,Исход!$A:$A,G$1,Исход!$B:$B,$A43)+
SUMIFS(Исход!$G:$G,Исход!$A:$A,G$1,Исход!$B:$B,$A43)+
SUMIFS(Исход!$H:$H,Исход!$A:$A,G$1,Исход!$B:$B,$A43)+
SUMIFS(Исход!$I:$I,Исход!$A:$A,G$1,Исход!$B:$B,$A43)-
SUMIFS(Исход!$L:$L,Исход!$A:$A,G$1,Исход!$B:$B,$A43)</f>
        <v>0</v>
      </c>
      <c r="H43" s="2">
        <f>SUMIFS(Исход!$D:$D,Исход!$A:$A,H$1,Исход!$B:$B,$A43)+
SUMIFS(Исход!$G:$G,Исход!$A:$A,H$1,Исход!$B:$B,$A43)+
SUMIFS(Исход!$H:$H,Исход!$A:$A,H$1,Исход!$B:$B,$A43)+
SUMIFS(Исход!$I:$I,Исход!$A:$A,H$1,Исход!$B:$B,$A43)-
SUMIFS(Исход!$L:$L,Исход!$A:$A,H$1,Исход!$B:$B,$A43)</f>
        <v>0</v>
      </c>
      <c r="I43" s="2">
        <f>SUMIFS(Исход!$D:$D,Исход!$A:$A,I$1,Исход!$B:$B,$A43)+
SUMIFS(Исход!$G:$G,Исход!$A:$A,I$1,Исход!$B:$B,$A43)+
SUMIFS(Исход!$H:$H,Исход!$A:$A,I$1,Исход!$B:$B,$A43)+
SUMIFS(Исход!$I:$I,Исход!$A:$A,I$1,Исход!$B:$B,$A43)-
SUMIFS(Исход!$L:$L,Исход!$A:$A,I$1,Исход!$B:$B,$A43)</f>
        <v>0</v>
      </c>
      <c r="J43" s="2">
        <f>SUMIFS(Исход!$D:$D,Исход!$A:$A,J$1,Исход!$B:$B,$A43)+
SUMIFS(Исход!$G:$G,Исход!$A:$A,J$1,Исход!$B:$B,$A43)+
SUMIFS(Исход!$H:$H,Исход!$A:$A,J$1,Исход!$B:$B,$A43)+
SUMIFS(Исход!$I:$I,Исход!$A:$A,J$1,Исход!$B:$B,$A43)-
SUMIFS(Исход!$L:$L,Исход!$A:$A,J$1,Исход!$B:$B,$A43)</f>
        <v>0</v>
      </c>
      <c r="K43" s="2">
        <f>SUMIFS(Исход!$D:$D,Исход!$A:$A,K$1,Исход!$B:$B,$A43)+
SUMIFS(Исход!$G:$G,Исход!$A:$A,K$1,Исход!$B:$B,$A43)+
SUMIFS(Исход!$H:$H,Исход!$A:$A,K$1,Исход!$B:$B,$A43)+
SUMIFS(Исход!$I:$I,Исход!$A:$A,K$1,Исход!$B:$B,$A43)-
SUMIFS(Исход!$L:$L,Исход!$A:$A,K$1,Исход!$B:$B,$A43)</f>
        <v>0</v>
      </c>
      <c r="L43" s="2">
        <f>SUMIFS(Исход!$D:$D,Исход!$A:$A,L$1,Исход!$B:$B,$A43)+
SUMIFS(Исход!$G:$G,Исход!$A:$A,L$1,Исход!$B:$B,$A43)+
SUMIFS(Исход!$H:$H,Исход!$A:$A,L$1,Исход!$B:$B,$A43)+
SUMIFS(Исход!$I:$I,Исход!$A:$A,L$1,Исход!$B:$B,$A43)-
SUMIFS(Исход!$L:$L,Исход!$A:$A,L$1,Исход!$B:$B,$A43)</f>
        <v>0</v>
      </c>
      <c r="M43" s="2">
        <f>SUMIFS(Исход!$D:$D,Исход!$A:$A,M$1,Исход!$B:$B,$A43)+
SUMIFS(Исход!$G:$G,Исход!$A:$A,M$1,Исход!$B:$B,$A43)+
SUMIFS(Исход!$H:$H,Исход!$A:$A,M$1,Исход!$B:$B,$A43)+
SUMIFS(Исход!$I:$I,Исход!$A:$A,M$1,Исход!$B:$B,$A43)-
SUMIFS(Исход!$L:$L,Исход!$A:$A,M$1,Исход!$B:$B,$A43)</f>
        <v>0</v>
      </c>
      <c r="N43" s="2">
        <f>SUMIFS(Исход!$D:$D,Исход!$A:$A,N$1,Исход!$B:$B,$A43)+
SUMIFS(Исход!$G:$G,Исход!$A:$A,N$1,Исход!$B:$B,$A43)+
SUMIFS(Исход!$H:$H,Исход!$A:$A,N$1,Исход!$B:$B,$A43)+
SUMIFS(Исход!$I:$I,Исход!$A:$A,N$1,Исход!$B:$B,$A43)-
SUMIFS(Исход!$L:$L,Исход!$A:$A,N$1,Исход!$B:$B,$A43)</f>
        <v>0</v>
      </c>
      <c r="O43" s="2">
        <f>SUMIFS(Исход!$D:$D,Исход!$A:$A,O$1,Исход!$B:$B,$A43)+
SUMIFS(Исход!$G:$G,Исход!$A:$A,O$1,Исход!$B:$B,$A43)+
SUMIFS(Исход!$H:$H,Исход!$A:$A,O$1,Исход!$B:$B,$A43)+
SUMIFS(Исход!$I:$I,Исход!$A:$A,O$1,Исход!$B:$B,$A43)-
SUMIFS(Исход!$L:$L,Исход!$A:$A,O$1,Исход!$B:$B,$A43)</f>
        <v>0</v>
      </c>
      <c r="P43" s="2">
        <f>SUMIFS(Исход!$D:$D,Исход!$A:$A,P$1,Исход!$B:$B,$A43)+
SUMIFS(Исход!$G:$G,Исход!$A:$A,P$1,Исход!$B:$B,$A43)+
SUMIFS(Исход!$H:$H,Исход!$A:$A,P$1,Исход!$B:$B,$A43)+
SUMIFS(Исход!$I:$I,Исход!$A:$A,P$1,Исход!$B:$B,$A43)-
SUMIFS(Исход!$L:$L,Исход!$A:$A,P$1,Исход!$B:$B,$A43)</f>
        <v>0</v>
      </c>
      <c r="Q43" s="2">
        <f>SUMIFS(Исход!$D:$D,Исход!$A:$A,Q$1,Исход!$B:$B,$A43)+
SUMIFS(Исход!$G:$G,Исход!$A:$A,Q$1,Исход!$B:$B,$A43)+
SUMIFS(Исход!$H:$H,Исход!$A:$A,Q$1,Исход!$B:$B,$A43)+
SUMIFS(Исход!$I:$I,Исход!$A:$A,Q$1,Исход!$B:$B,$A43)-
SUMIFS(Исход!$L:$L,Исход!$A:$A,Q$1,Исход!$B:$B,$A43)</f>
        <v>0</v>
      </c>
      <c r="R43" s="2">
        <f>SUMIFS(Исход!$D:$D,Исход!$A:$A,R$1,Исход!$B:$B,$A43)+
SUMIFS(Исход!$G:$G,Исход!$A:$A,R$1,Исход!$B:$B,$A43)+
SUMIFS(Исход!$H:$H,Исход!$A:$A,R$1,Исход!$B:$B,$A43)+
SUMIFS(Исход!$I:$I,Исход!$A:$A,R$1,Исход!$B:$B,$A43)-
SUMIFS(Исход!$L:$L,Исход!$A:$A,R$1,Исход!$B:$B,$A43)</f>
        <v>0</v>
      </c>
      <c r="S43" s="2">
        <f>SUMIFS(Исход!$D:$D,Исход!$A:$A,S$1,Исход!$B:$B,$A43)+
SUMIFS(Исход!$G:$G,Исход!$A:$A,S$1,Исход!$B:$B,$A43)+
SUMIFS(Исход!$H:$H,Исход!$A:$A,S$1,Исход!$B:$B,$A43)+
SUMIFS(Исход!$I:$I,Исход!$A:$A,S$1,Исход!$B:$B,$A43)-
SUMIFS(Исход!$L:$L,Исход!$A:$A,S$1,Исход!$B:$B,$A43)</f>
        <v>0</v>
      </c>
      <c r="T43" s="2">
        <f>SUMIFS(Исход!$D:$D,Исход!$A:$A,T$1,Исход!$B:$B,$A43)+
SUMIFS(Исход!$G:$G,Исход!$A:$A,T$1,Исход!$B:$B,$A43)+
SUMIFS(Исход!$H:$H,Исход!$A:$A,T$1,Исход!$B:$B,$A43)+
SUMIFS(Исход!$I:$I,Исход!$A:$A,T$1,Исход!$B:$B,$A43)-
SUMIFS(Исход!$L:$L,Исход!$A:$A,T$1,Исход!$B:$B,$A43)</f>
        <v>0</v>
      </c>
      <c r="U43" s="2">
        <f>SUMIFS(Исход!$D:$D,Исход!$A:$A,U$1,Исход!$B:$B,$A43)+
SUMIFS(Исход!$G:$G,Исход!$A:$A,U$1,Исход!$B:$B,$A43)+
SUMIFS(Исход!$H:$H,Исход!$A:$A,U$1,Исход!$B:$B,$A43)+
SUMIFS(Исход!$I:$I,Исход!$A:$A,U$1,Исход!$B:$B,$A43)-
SUMIFS(Исход!$L:$L,Исход!$A:$A,U$1,Исход!$B:$B,$A43)</f>
        <v>0</v>
      </c>
      <c r="V43" s="2">
        <f>SUMIFS(Исход!$D:$D,Исход!$A:$A,V$1,Исход!$B:$B,$A43)+
SUMIFS(Исход!$G:$G,Исход!$A:$A,V$1,Исход!$B:$B,$A43)+
SUMIFS(Исход!$H:$H,Исход!$A:$A,V$1,Исход!$B:$B,$A43)+
SUMIFS(Исход!$I:$I,Исход!$A:$A,V$1,Исход!$B:$B,$A43)-
SUMIFS(Исход!$L:$L,Исход!$A:$A,V$1,Исход!$B:$B,$A43)</f>
        <v>0</v>
      </c>
      <c r="W43" s="2">
        <f>SUMIFS(Исход!$D:$D,Исход!$A:$A,W$1,Исход!$B:$B,$A43)+
SUMIFS(Исход!$G:$G,Исход!$A:$A,W$1,Исход!$B:$B,$A43)+
SUMIFS(Исход!$H:$H,Исход!$A:$A,W$1,Исход!$B:$B,$A43)+
SUMIFS(Исход!$I:$I,Исход!$A:$A,W$1,Исход!$B:$B,$A43)-
SUMIFS(Исход!$L:$L,Исход!$A:$A,W$1,Исход!$B:$B,$A43)</f>
        <v>0</v>
      </c>
      <c r="X43" s="2">
        <f>SUMIFS(Исход!$D:$D,Исход!$A:$A,X$1,Исход!$B:$B,$A43)+
SUMIFS(Исход!$G:$G,Исход!$A:$A,X$1,Исход!$B:$B,$A43)+
SUMIFS(Исход!$H:$H,Исход!$A:$A,X$1,Исход!$B:$B,$A43)+
SUMIFS(Исход!$I:$I,Исход!$A:$A,X$1,Исход!$B:$B,$A43)-
SUMIFS(Исход!$L:$L,Исход!$A:$A,X$1,Исход!$B:$B,$A43)</f>
        <v>0</v>
      </c>
      <c r="Y43" s="2">
        <f>SUMIFS(Исход!$D:$D,Исход!$A:$A,Y$1,Исход!$B:$B,$A43)+
SUMIFS(Исход!$G:$G,Исход!$A:$A,Y$1,Исход!$B:$B,$A43)+
SUMIFS(Исход!$H:$H,Исход!$A:$A,Y$1,Исход!$B:$B,$A43)+
SUMIFS(Исход!$I:$I,Исход!$A:$A,Y$1,Исход!$B:$B,$A43)-
SUMIFS(Исход!$L:$L,Исход!$A:$A,Y$1,Исход!$B:$B,$A43)</f>
        <v>0</v>
      </c>
      <c r="Z43" s="2">
        <f>SUMIFS(Исход!$D:$D,Исход!$A:$A,Z$1,Исход!$B:$B,$A43)+
SUMIFS(Исход!$G:$G,Исход!$A:$A,Z$1,Исход!$B:$B,$A43)+
SUMIFS(Исход!$H:$H,Исход!$A:$A,Z$1,Исход!$B:$B,$A43)+
SUMIFS(Исход!$I:$I,Исход!$A:$A,Z$1,Исход!$B:$B,$A43)-
SUMIFS(Исход!$L:$L,Исход!$A:$A,Z$1,Исход!$B:$B,$A43)</f>
        <v>0</v>
      </c>
      <c r="AA43" s="2">
        <f>SUMIFS(Исход!$D:$D,Исход!$A:$A,AA$1,Исход!$B:$B,$A43)+
SUMIFS(Исход!$G:$G,Исход!$A:$A,AA$1,Исход!$B:$B,$A43)+
SUMIFS(Исход!$H:$H,Исход!$A:$A,AA$1,Исход!$B:$B,$A43)+
SUMIFS(Исход!$I:$I,Исход!$A:$A,AA$1,Исход!$B:$B,$A43)-
SUMIFS(Исход!$L:$L,Исход!$A:$A,AA$1,Исход!$B:$B,$A43)</f>
        <v>0</v>
      </c>
      <c r="AB43" s="2">
        <f>SUMIFS(Исход!$D:$D,Исход!$A:$A,AB$1,Исход!$B:$B,$A43)+
SUMIFS(Исход!$G:$G,Исход!$A:$A,AB$1,Исход!$B:$B,$A43)+
SUMIFS(Исход!$H:$H,Исход!$A:$A,AB$1,Исход!$B:$B,$A43)+
SUMIFS(Исход!$I:$I,Исход!$A:$A,AB$1,Исход!$B:$B,$A43)-
SUMIFS(Исход!$L:$L,Исход!$A:$A,AB$1,Исход!$B:$B,$A43)</f>
        <v>0</v>
      </c>
      <c r="AC43" s="2">
        <f>SUMIFS(Исход!$D:$D,Исход!$A:$A,AC$1,Исход!$B:$B,$A43)+
SUMIFS(Исход!$G:$G,Исход!$A:$A,AC$1,Исход!$B:$B,$A43)+
SUMIFS(Исход!$H:$H,Исход!$A:$A,AC$1,Исход!$B:$B,$A43)+
SUMIFS(Исход!$I:$I,Исход!$A:$A,AC$1,Исход!$B:$B,$A43)-
SUMIFS(Исход!$L:$L,Исход!$A:$A,AC$1,Исход!$B:$B,$A43)</f>
        <v>0</v>
      </c>
      <c r="AD43" s="2">
        <f>SUMIFS(Исход!$D:$D,Исход!$A:$A,AD$1,Исход!$B:$B,$A43)+
SUMIFS(Исход!$G:$G,Исход!$A:$A,AD$1,Исход!$B:$B,$A43)+
SUMIFS(Исход!$H:$H,Исход!$A:$A,AD$1,Исход!$B:$B,$A43)+
SUMIFS(Исход!$I:$I,Исход!$A:$A,AD$1,Исход!$B:$B,$A43)-
SUMIFS(Исход!$L:$L,Исход!$A:$A,AD$1,Исход!$B:$B,$A43)</f>
        <v>0</v>
      </c>
      <c r="AE43" s="2">
        <f>SUMIFS(Исход!$D:$D,Исход!$A:$A,AE$1,Исход!$B:$B,$A43)+
SUMIFS(Исход!$G:$G,Исход!$A:$A,AE$1,Исход!$B:$B,$A43)+
SUMIFS(Исход!$H:$H,Исход!$A:$A,AE$1,Исход!$B:$B,$A43)+
SUMIFS(Исход!$I:$I,Исход!$A:$A,AE$1,Исход!$B:$B,$A43)-
SUMIFS(Исход!$L:$L,Исход!$A:$A,AE$1,Исход!$B:$B,$A43)</f>
        <v>0</v>
      </c>
      <c r="AF43" s="2">
        <f>SUMIFS(Исход!$D:$D,Исход!$A:$A,AF$1,Исход!$B:$B,$A43)+
SUMIFS(Исход!$G:$G,Исход!$A:$A,AF$1,Исход!$B:$B,$A43)+
SUMIFS(Исход!$H:$H,Исход!$A:$A,AF$1,Исход!$B:$B,$A43)+
SUMIFS(Исход!$I:$I,Исход!$A:$A,AF$1,Исход!$B:$B,$A43)-
SUMIFS(Исход!$L:$L,Исход!$A:$A,AF$1,Исход!$B:$B,$A43)</f>
        <v>0</v>
      </c>
      <c r="AG43" s="57">
        <f>SUMIFS(Исход!$D:$D,Исход!$A:$A,AG$1,Исход!$B:$B,$A43)+
SUMIFS(Исход!$G:$G,Исход!$A:$A,AG$1,Исход!$B:$B,$A43)+
SUMIFS(Исход!$H:$H,Исход!$A:$A,AG$1,Исход!$B:$B,$A43)+
SUMIFS(Исход!$I:$I,Исход!$A:$A,AG$1,Исход!$B:$B,$A43)-
SUMIFS(Исход!$L:$L,Исход!$A:$A,AG$1,Исход!$B:$B,$A43)</f>
        <v>0</v>
      </c>
    </row>
    <row r="44" spans="1:33" hidden="1" outlineLevel="1" x14ac:dyDescent="0.25">
      <c r="A44" s="103">
        <v>0.83333333333333337</v>
      </c>
      <c r="B44" s="123">
        <v>0.85416666666666663</v>
      </c>
      <c r="C44" s="63">
        <f>SUMIFS(Исход!$D:$D,Исход!$A:$A,C$1,Исход!$B:$B,$A44)+
SUMIFS(Исход!$G:$G,Исход!$A:$A,C$1,Исход!$B:$B,$A44)+
SUMIFS(Исход!$H:$H,Исход!$A:$A,C$1,Исход!$B:$B,$A44)+
SUMIFS(Исход!$I:$I,Исход!$A:$A,C$1,Исход!$B:$B,$A44)-
SUMIFS(Исход!$L:$L,Исход!$A:$A,C$1,Исход!$B:$B,$A44)</f>
        <v>0</v>
      </c>
      <c r="D44" s="2">
        <f>SUMIFS(Исход!$D:$D,Исход!$A:$A,D$1,Исход!$B:$B,$A44)+
SUMIFS(Исход!$G:$G,Исход!$A:$A,D$1,Исход!$B:$B,$A44)+
SUMIFS(Исход!$H:$H,Исход!$A:$A,D$1,Исход!$B:$B,$A44)+
SUMIFS(Исход!$I:$I,Исход!$A:$A,D$1,Исход!$B:$B,$A44)-
SUMIFS(Исход!$L:$L,Исход!$A:$A,D$1,Исход!$B:$B,$A44)</f>
        <v>0</v>
      </c>
      <c r="E44" s="2">
        <f>SUMIFS(Исход!$D:$D,Исход!$A:$A,E$1,Исход!$B:$B,$A44)+
SUMIFS(Исход!$G:$G,Исход!$A:$A,E$1,Исход!$B:$B,$A44)+
SUMIFS(Исход!$H:$H,Исход!$A:$A,E$1,Исход!$B:$B,$A44)+
SUMIFS(Исход!$I:$I,Исход!$A:$A,E$1,Исход!$B:$B,$A44)-
SUMIFS(Исход!$L:$L,Исход!$A:$A,E$1,Исход!$B:$B,$A44)</f>
        <v>0</v>
      </c>
      <c r="F44" s="2">
        <f>SUMIFS(Исход!$D:$D,Исход!$A:$A,F$1,Исход!$B:$B,$A44)+
SUMIFS(Исход!$G:$G,Исход!$A:$A,F$1,Исход!$B:$B,$A44)+
SUMIFS(Исход!$H:$H,Исход!$A:$A,F$1,Исход!$B:$B,$A44)+
SUMIFS(Исход!$I:$I,Исход!$A:$A,F$1,Исход!$B:$B,$A44)-
SUMIFS(Исход!$L:$L,Исход!$A:$A,F$1,Исход!$B:$B,$A44)</f>
        <v>0</v>
      </c>
      <c r="G44" s="2">
        <f>SUMIFS(Исход!$D:$D,Исход!$A:$A,G$1,Исход!$B:$B,$A44)+
SUMIFS(Исход!$G:$G,Исход!$A:$A,G$1,Исход!$B:$B,$A44)+
SUMIFS(Исход!$H:$H,Исход!$A:$A,G$1,Исход!$B:$B,$A44)+
SUMIFS(Исход!$I:$I,Исход!$A:$A,G$1,Исход!$B:$B,$A44)-
SUMIFS(Исход!$L:$L,Исход!$A:$A,G$1,Исход!$B:$B,$A44)</f>
        <v>0</v>
      </c>
      <c r="H44" s="2">
        <f>SUMIFS(Исход!$D:$D,Исход!$A:$A,H$1,Исход!$B:$B,$A44)+
SUMIFS(Исход!$G:$G,Исход!$A:$A,H$1,Исход!$B:$B,$A44)+
SUMIFS(Исход!$H:$H,Исход!$A:$A,H$1,Исход!$B:$B,$A44)+
SUMIFS(Исход!$I:$I,Исход!$A:$A,H$1,Исход!$B:$B,$A44)-
SUMIFS(Исход!$L:$L,Исход!$A:$A,H$1,Исход!$B:$B,$A44)</f>
        <v>0</v>
      </c>
      <c r="I44" s="2">
        <f>SUMIFS(Исход!$D:$D,Исход!$A:$A,I$1,Исход!$B:$B,$A44)+
SUMIFS(Исход!$G:$G,Исход!$A:$A,I$1,Исход!$B:$B,$A44)+
SUMIFS(Исход!$H:$H,Исход!$A:$A,I$1,Исход!$B:$B,$A44)+
SUMIFS(Исход!$I:$I,Исход!$A:$A,I$1,Исход!$B:$B,$A44)-
SUMIFS(Исход!$L:$L,Исход!$A:$A,I$1,Исход!$B:$B,$A44)</f>
        <v>0</v>
      </c>
      <c r="J44" s="2">
        <f>SUMIFS(Исход!$D:$D,Исход!$A:$A,J$1,Исход!$B:$B,$A44)+
SUMIFS(Исход!$G:$G,Исход!$A:$A,J$1,Исход!$B:$B,$A44)+
SUMIFS(Исход!$H:$H,Исход!$A:$A,J$1,Исход!$B:$B,$A44)+
SUMIFS(Исход!$I:$I,Исход!$A:$A,J$1,Исход!$B:$B,$A44)-
SUMIFS(Исход!$L:$L,Исход!$A:$A,J$1,Исход!$B:$B,$A44)</f>
        <v>0</v>
      </c>
      <c r="K44" s="2">
        <f>SUMIFS(Исход!$D:$D,Исход!$A:$A,K$1,Исход!$B:$B,$A44)+
SUMIFS(Исход!$G:$G,Исход!$A:$A,K$1,Исход!$B:$B,$A44)+
SUMIFS(Исход!$H:$H,Исход!$A:$A,K$1,Исход!$B:$B,$A44)+
SUMIFS(Исход!$I:$I,Исход!$A:$A,K$1,Исход!$B:$B,$A44)-
SUMIFS(Исход!$L:$L,Исход!$A:$A,K$1,Исход!$B:$B,$A44)</f>
        <v>0</v>
      </c>
      <c r="L44" s="2">
        <f>SUMIFS(Исход!$D:$D,Исход!$A:$A,L$1,Исход!$B:$B,$A44)+
SUMIFS(Исход!$G:$G,Исход!$A:$A,L$1,Исход!$B:$B,$A44)+
SUMIFS(Исход!$H:$H,Исход!$A:$A,L$1,Исход!$B:$B,$A44)+
SUMIFS(Исход!$I:$I,Исход!$A:$A,L$1,Исход!$B:$B,$A44)-
SUMIFS(Исход!$L:$L,Исход!$A:$A,L$1,Исход!$B:$B,$A44)</f>
        <v>0</v>
      </c>
      <c r="M44" s="2">
        <f>SUMIFS(Исход!$D:$D,Исход!$A:$A,M$1,Исход!$B:$B,$A44)+
SUMIFS(Исход!$G:$G,Исход!$A:$A,M$1,Исход!$B:$B,$A44)+
SUMIFS(Исход!$H:$H,Исход!$A:$A,M$1,Исход!$B:$B,$A44)+
SUMIFS(Исход!$I:$I,Исход!$A:$A,M$1,Исход!$B:$B,$A44)-
SUMIFS(Исход!$L:$L,Исход!$A:$A,M$1,Исход!$B:$B,$A44)</f>
        <v>0</v>
      </c>
      <c r="N44" s="2">
        <f>SUMIFS(Исход!$D:$D,Исход!$A:$A,N$1,Исход!$B:$B,$A44)+
SUMIFS(Исход!$G:$G,Исход!$A:$A,N$1,Исход!$B:$B,$A44)+
SUMIFS(Исход!$H:$H,Исход!$A:$A,N$1,Исход!$B:$B,$A44)+
SUMIFS(Исход!$I:$I,Исход!$A:$A,N$1,Исход!$B:$B,$A44)-
SUMIFS(Исход!$L:$L,Исход!$A:$A,N$1,Исход!$B:$B,$A44)</f>
        <v>0</v>
      </c>
      <c r="O44" s="2">
        <f>SUMIFS(Исход!$D:$D,Исход!$A:$A,O$1,Исход!$B:$B,$A44)+
SUMIFS(Исход!$G:$G,Исход!$A:$A,O$1,Исход!$B:$B,$A44)+
SUMIFS(Исход!$H:$H,Исход!$A:$A,O$1,Исход!$B:$B,$A44)+
SUMIFS(Исход!$I:$I,Исход!$A:$A,O$1,Исход!$B:$B,$A44)-
SUMIFS(Исход!$L:$L,Исход!$A:$A,O$1,Исход!$B:$B,$A44)</f>
        <v>0</v>
      </c>
      <c r="P44" s="2">
        <f>SUMIFS(Исход!$D:$D,Исход!$A:$A,P$1,Исход!$B:$B,$A44)+
SUMIFS(Исход!$G:$G,Исход!$A:$A,P$1,Исход!$B:$B,$A44)+
SUMIFS(Исход!$H:$H,Исход!$A:$A,P$1,Исход!$B:$B,$A44)+
SUMIFS(Исход!$I:$I,Исход!$A:$A,P$1,Исход!$B:$B,$A44)-
SUMIFS(Исход!$L:$L,Исход!$A:$A,P$1,Исход!$B:$B,$A44)</f>
        <v>0</v>
      </c>
      <c r="Q44" s="2">
        <f>SUMIFS(Исход!$D:$D,Исход!$A:$A,Q$1,Исход!$B:$B,$A44)+
SUMIFS(Исход!$G:$G,Исход!$A:$A,Q$1,Исход!$B:$B,$A44)+
SUMIFS(Исход!$H:$H,Исход!$A:$A,Q$1,Исход!$B:$B,$A44)+
SUMIFS(Исход!$I:$I,Исход!$A:$A,Q$1,Исход!$B:$B,$A44)-
SUMIFS(Исход!$L:$L,Исход!$A:$A,Q$1,Исход!$B:$B,$A44)</f>
        <v>0</v>
      </c>
      <c r="R44" s="2">
        <f>SUMIFS(Исход!$D:$D,Исход!$A:$A,R$1,Исход!$B:$B,$A44)+
SUMIFS(Исход!$G:$G,Исход!$A:$A,R$1,Исход!$B:$B,$A44)+
SUMIFS(Исход!$H:$H,Исход!$A:$A,R$1,Исход!$B:$B,$A44)+
SUMIFS(Исход!$I:$I,Исход!$A:$A,R$1,Исход!$B:$B,$A44)-
SUMIFS(Исход!$L:$L,Исход!$A:$A,R$1,Исход!$B:$B,$A44)</f>
        <v>0</v>
      </c>
      <c r="S44" s="2">
        <f>SUMIFS(Исход!$D:$D,Исход!$A:$A,S$1,Исход!$B:$B,$A44)+
SUMIFS(Исход!$G:$G,Исход!$A:$A,S$1,Исход!$B:$B,$A44)+
SUMIFS(Исход!$H:$H,Исход!$A:$A,S$1,Исход!$B:$B,$A44)+
SUMIFS(Исход!$I:$I,Исход!$A:$A,S$1,Исход!$B:$B,$A44)-
SUMIFS(Исход!$L:$L,Исход!$A:$A,S$1,Исход!$B:$B,$A44)</f>
        <v>0</v>
      </c>
      <c r="T44" s="2">
        <f>SUMIFS(Исход!$D:$D,Исход!$A:$A,T$1,Исход!$B:$B,$A44)+
SUMIFS(Исход!$G:$G,Исход!$A:$A,T$1,Исход!$B:$B,$A44)+
SUMIFS(Исход!$H:$H,Исход!$A:$A,T$1,Исход!$B:$B,$A44)+
SUMIFS(Исход!$I:$I,Исход!$A:$A,T$1,Исход!$B:$B,$A44)-
SUMIFS(Исход!$L:$L,Исход!$A:$A,T$1,Исход!$B:$B,$A44)</f>
        <v>0</v>
      </c>
      <c r="U44" s="2">
        <f>SUMIFS(Исход!$D:$D,Исход!$A:$A,U$1,Исход!$B:$B,$A44)+
SUMIFS(Исход!$G:$G,Исход!$A:$A,U$1,Исход!$B:$B,$A44)+
SUMIFS(Исход!$H:$H,Исход!$A:$A,U$1,Исход!$B:$B,$A44)+
SUMIFS(Исход!$I:$I,Исход!$A:$A,U$1,Исход!$B:$B,$A44)-
SUMIFS(Исход!$L:$L,Исход!$A:$A,U$1,Исход!$B:$B,$A44)</f>
        <v>0</v>
      </c>
      <c r="V44" s="2">
        <f>SUMIFS(Исход!$D:$D,Исход!$A:$A,V$1,Исход!$B:$B,$A44)+
SUMIFS(Исход!$G:$G,Исход!$A:$A,V$1,Исход!$B:$B,$A44)+
SUMIFS(Исход!$H:$H,Исход!$A:$A,V$1,Исход!$B:$B,$A44)+
SUMIFS(Исход!$I:$I,Исход!$A:$A,V$1,Исход!$B:$B,$A44)-
SUMIFS(Исход!$L:$L,Исход!$A:$A,V$1,Исход!$B:$B,$A44)</f>
        <v>0</v>
      </c>
      <c r="W44" s="2">
        <f>SUMIFS(Исход!$D:$D,Исход!$A:$A,W$1,Исход!$B:$B,$A44)+
SUMIFS(Исход!$G:$G,Исход!$A:$A,W$1,Исход!$B:$B,$A44)+
SUMIFS(Исход!$H:$H,Исход!$A:$A,W$1,Исход!$B:$B,$A44)+
SUMIFS(Исход!$I:$I,Исход!$A:$A,W$1,Исход!$B:$B,$A44)-
SUMIFS(Исход!$L:$L,Исход!$A:$A,W$1,Исход!$B:$B,$A44)</f>
        <v>0</v>
      </c>
      <c r="X44" s="2">
        <f>SUMIFS(Исход!$D:$D,Исход!$A:$A,X$1,Исход!$B:$B,$A44)+
SUMIFS(Исход!$G:$G,Исход!$A:$A,X$1,Исход!$B:$B,$A44)+
SUMIFS(Исход!$H:$H,Исход!$A:$A,X$1,Исход!$B:$B,$A44)+
SUMIFS(Исход!$I:$I,Исход!$A:$A,X$1,Исход!$B:$B,$A44)-
SUMIFS(Исход!$L:$L,Исход!$A:$A,X$1,Исход!$B:$B,$A44)</f>
        <v>0</v>
      </c>
      <c r="Y44" s="2">
        <f>SUMIFS(Исход!$D:$D,Исход!$A:$A,Y$1,Исход!$B:$B,$A44)+
SUMIFS(Исход!$G:$G,Исход!$A:$A,Y$1,Исход!$B:$B,$A44)+
SUMIFS(Исход!$H:$H,Исход!$A:$A,Y$1,Исход!$B:$B,$A44)+
SUMIFS(Исход!$I:$I,Исход!$A:$A,Y$1,Исход!$B:$B,$A44)-
SUMIFS(Исход!$L:$L,Исход!$A:$A,Y$1,Исход!$B:$B,$A44)</f>
        <v>0</v>
      </c>
      <c r="Z44" s="2">
        <f>SUMIFS(Исход!$D:$D,Исход!$A:$A,Z$1,Исход!$B:$B,$A44)+
SUMIFS(Исход!$G:$G,Исход!$A:$A,Z$1,Исход!$B:$B,$A44)+
SUMIFS(Исход!$H:$H,Исход!$A:$A,Z$1,Исход!$B:$B,$A44)+
SUMIFS(Исход!$I:$I,Исход!$A:$A,Z$1,Исход!$B:$B,$A44)-
SUMIFS(Исход!$L:$L,Исход!$A:$A,Z$1,Исход!$B:$B,$A44)</f>
        <v>0</v>
      </c>
      <c r="AA44" s="2">
        <f>SUMIFS(Исход!$D:$D,Исход!$A:$A,AA$1,Исход!$B:$B,$A44)+
SUMIFS(Исход!$G:$G,Исход!$A:$A,AA$1,Исход!$B:$B,$A44)+
SUMIFS(Исход!$H:$H,Исход!$A:$A,AA$1,Исход!$B:$B,$A44)+
SUMIFS(Исход!$I:$I,Исход!$A:$A,AA$1,Исход!$B:$B,$A44)-
SUMIFS(Исход!$L:$L,Исход!$A:$A,AA$1,Исход!$B:$B,$A44)</f>
        <v>0</v>
      </c>
      <c r="AB44" s="2">
        <f>SUMIFS(Исход!$D:$D,Исход!$A:$A,AB$1,Исход!$B:$B,$A44)+
SUMIFS(Исход!$G:$G,Исход!$A:$A,AB$1,Исход!$B:$B,$A44)+
SUMIFS(Исход!$H:$H,Исход!$A:$A,AB$1,Исход!$B:$B,$A44)+
SUMIFS(Исход!$I:$I,Исход!$A:$A,AB$1,Исход!$B:$B,$A44)-
SUMIFS(Исход!$L:$L,Исход!$A:$A,AB$1,Исход!$B:$B,$A44)</f>
        <v>0</v>
      </c>
      <c r="AC44" s="2">
        <f>SUMIFS(Исход!$D:$D,Исход!$A:$A,AC$1,Исход!$B:$B,$A44)+
SUMIFS(Исход!$G:$G,Исход!$A:$A,AC$1,Исход!$B:$B,$A44)+
SUMIFS(Исход!$H:$H,Исход!$A:$A,AC$1,Исход!$B:$B,$A44)+
SUMIFS(Исход!$I:$I,Исход!$A:$A,AC$1,Исход!$B:$B,$A44)-
SUMIFS(Исход!$L:$L,Исход!$A:$A,AC$1,Исход!$B:$B,$A44)</f>
        <v>0</v>
      </c>
      <c r="AD44" s="2">
        <f>SUMIFS(Исход!$D:$D,Исход!$A:$A,AD$1,Исход!$B:$B,$A44)+
SUMIFS(Исход!$G:$G,Исход!$A:$A,AD$1,Исход!$B:$B,$A44)+
SUMIFS(Исход!$H:$H,Исход!$A:$A,AD$1,Исход!$B:$B,$A44)+
SUMIFS(Исход!$I:$I,Исход!$A:$A,AD$1,Исход!$B:$B,$A44)-
SUMIFS(Исход!$L:$L,Исход!$A:$A,AD$1,Исход!$B:$B,$A44)</f>
        <v>0</v>
      </c>
      <c r="AE44" s="2">
        <f>SUMIFS(Исход!$D:$D,Исход!$A:$A,AE$1,Исход!$B:$B,$A44)+
SUMIFS(Исход!$G:$G,Исход!$A:$A,AE$1,Исход!$B:$B,$A44)+
SUMIFS(Исход!$H:$H,Исход!$A:$A,AE$1,Исход!$B:$B,$A44)+
SUMIFS(Исход!$I:$I,Исход!$A:$A,AE$1,Исход!$B:$B,$A44)-
SUMIFS(Исход!$L:$L,Исход!$A:$A,AE$1,Исход!$B:$B,$A44)</f>
        <v>0</v>
      </c>
      <c r="AF44" s="2">
        <f>SUMIFS(Исход!$D:$D,Исход!$A:$A,AF$1,Исход!$B:$B,$A44)+
SUMIFS(Исход!$G:$G,Исход!$A:$A,AF$1,Исход!$B:$B,$A44)+
SUMIFS(Исход!$H:$H,Исход!$A:$A,AF$1,Исход!$B:$B,$A44)+
SUMIFS(Исход!$I:$I,Исход!$A:$A,AF$1,Исход!$B:$B,$A44)-
SUMIFS(Исход!$L:$L,Исход!$A:$A,AF$1,Исход!$B:$B,$A44)</f>
        <v>0</v>
      </c>
      <c r="AG44" s="57">
        <f>SUMIFS(Исход!$D:$D,Исход!$A:$A,AG$1,Исход!$B:$B,$A44)+
SUMIFS(Исход!$G:$G,Исход!$A:$A,AG$1,Исход!$B:$B,$A44)+
SUMIFS(Исход!$H:$H,Исход!$A:$A,AG$1,Исход!$B:$B,$A44)+
SUMIFS(Исход!$I:$I,Исход!$A:$A,AG$1,Исход!$B:$B,$A44)-
SUMIFS(Исход!$L:$L,Исход!$A:$A,AG$1,Исход!$B:$B,$A44)</f>
        <v>0</v>
      </c>
    </row>
    <row r="45" spans="1:33" hidden="1" outlineLevel="1" x14ac:dyDescent="0.25">
      <c r="A45" s="103">
        <v>0.85416666666666663</v>
      </c>
      <c r="B45" s="123">
        <v>0.875</v>
      </c>
      <c r="C45" s="63">
        <f>SUMIFS(Исход!$D:$D,Исход!$A:$A,C$1,Исход!$B:$B,$A45)+
SUMIFS(Исход!$G:$G,Исход!$A:$A,C$1,Исход!$B:$B,$A45)+
SUMIFS(Исход!$H:$H,Исход!$A:$A,C$1,Исход!$B:$B,$A45)+
SUMIFS(Исход!$I:$I,Исход!$A:$A,C$1,Исход!$B:$B,$A45)-
SUMIFS(Исход!$L:$L,Исход!$A:$A,C$1,Исход!$B:$B,$A45)</f>
        <v>0</v>
      </c>
      <c r="D45" s="2">
        <f>SUMIFS(Исход!$D:$D,Исход!$A:$A,D$1,Исход!$B:$B,$A45)+
SUMIFS(Исход!$G:$G,Исход!$A:$A,D$1,Исход!$B:$B,$A45)+
SUMIFS(Исход!$H:$H,Исход!$A:$A,D$1,Исход!$B:$B,$A45)+
SUMIFS(Исход!$I:$I,Исход!$A:$A,D$1,Исход!$B:$B,$A45)-
SUMIFS(Исход!$L:$L,Исход!$A:$A,D$1,Исход!$B:$B,$A45)</f>
        <v>0</v>
      </c>
      <c r="E45" s="2">
        <f>SUMIFS(Исход!$D:$D,Исход!$A:$A,E$1,Исход!$B:$B,$A45)+
SUMIFS(Исход!$G:$G,Исход!$A:$A,E$1,Исход!$B:$B,$A45)+
SUMIFS(Исход!$H:$H,Исход!$A:$A,E$1,Исход!$B:$B,$A45)+
SUMIFS(Исход!$I:$I,Исход!$A:$A,E$1,Исход!$B:$B,$A45)-
SUMIFS(Исход!$L:$L,Исход!$A:$A,E$1,Исход!$B:$B,$A45)</f>
        <v>0</v>
      </c>
      <c r="F45" s="2">
        <f>SUMIFS(Исход!$D:$D,Исход!$A:$A,F$1,Исход!$B:$B,$A45)+
SUMIFS(Исход!$G:$G,Исход!$A:$A,F$1,Исход!$B:$B,$A45)+
SUMIFS(Исход!$H:$H,Исход!$A:$A,F$1,Исход!$B:$B,$A45)+
SUMIFS(Исход!$I:$I,Исход!$A:$A,F$1,Исход!$B:$B,$A45)-
SUMIFS(Исход!$L:$L,Исход!$A:$A,F$1,Исход!$B:$B,$A45)</f>
        <v>0</v>
      </c>
      <c r="G45" s="2">
        <f>SUMIFS(Исход!$D:$D,Исход!$A:$A,G$1,Исход!$B:$B,$A45)+
SUMIFS(Исход!$G:$G,Исход!$A:$A,G$1,Исход!$B:$B,$A45)+
SUMIFS(Исход!$H:$H,Исход!$A:$A,G$1,Исход!$B:$B,$A45)+
SUMIFS(Исход!$I:$I,Исход!$A:$A,G$1,Исход!$B:$B,$A45)-
SUMIFS(Исход!$L:$L,Исход!$A:$A,G$1,Исход!$B:$B,$A45)</f>
        <v>0</v>
      </c>
      <c r="H45" s="2">
        <f>SUMIFS(Исход!$D:$D,Исход!$A:$A,H$1,Исход!$B:$B,$A45)+
SUMIFS(Исход!$G:$G,Исход!$A:$A,H$1,Исход!$B:$B,$A45)+
SUMIFS(Исход!$H:$H,Исход!$A:$A,H$1,Исход!$B:$B,$A45)+
SUMIFS(Исход!$I:$I,Исход!$A:$A,H$1,Исход!$B:$B,$A45)-
SUMIFS(Исход!$L:$L,Исход!$A:$A,H$1,Исход!$B:$B,$A45)</f>
        <v>0</v>
      </c>
      <c r="I45" s="2">
        <f>SUMIFS(Исход!$D:$D,Исход!$A:$A,I$1,Исход!$B:$B,$A45)+
SUMIFS(Исход!$G:$G,Исход!$A:$A,I$1,Исход!$B:$B,$A45)+
SUMIFS(Исход!$H:$H,Исход!$A:$A,I$1,Исход!$B:$B,$A45)+
SUMIFS(Исход!$I:$I,Исход!$A:$A,I$1,Исход!$B:$B,$A45)-
SUMIFS(Исход!$L:$L,Исход!$A:$A,I$1,Исход!$B:$B,$A45)</f>
        <v>0</v>
      </c>
      <c r="J45" s="2">
        <f>SUMIFS(Исход!$D:$D,Исход!$A:$A,J$1,Исход!$B:$B,$A45)+
SUMIFS(Исход!$G:$G,Исход!$A:$A,J$1,Исход!$B:$B,$A45)+
SUMIFS(Исход!$H:$H,Исход!$A:$A,J$1,Исход!$B:$B,$A45)+
SUMIFS(Исход!$I:$I,Исход!$A:$A,J$1,Исход!$B:$B,$A45)-
SUMIFS(Исход!$L:$L,Исход!$A:$A,J$1,Исход!$B:$B,$A45)</f>
        <v>0</v>
      </c>
      <c r="K45" s="2">
        <f>SUMIFS(Исход!$D:$D,Исход!$A:$A,K$1,Исход!$B:$B,$A45)+
SUMIFS(Исход!$G:$G,Исход!$A:$A,K$1,Исход!$B:$B,$A45)+
SUMIFS(Исход!$H:$H,Исход!$A:$A,K$1,Исход!$B:$B,$A45)+
SUMIFS(Исход!$I:$I,Исход!$A:$A,K$1,Исход!$B:$B,$A45)-
SUMIFS(Исход!$L:$L,Исход!$A:$A,K$1,Исход!$B:$B,$A45)</f>
        <v>0</v>
      </c>
      <c r="L45" s="2">
        <f>SUMIFS(Исход!$D:$D,Исход!$A:$A,L$1,Исход!$B:$B,$A45)+
SUMIFS(Исход!$G:$G,Исход!$A:$A,L$1,Исход!$B:$B,$A45)+
SUMIFS(Исход!$H:$H,Исход!$A:$A,L$1,Исход!$B:$B,$A45)+
SUMIFS(Исход!$I:$I,Исход!$A:$A,L$1,Исход!$B:$B,$A45)-
SUMIFS(Исход!$L:$L,Исход!$A:$A,L$1,Исход!$B:$B,$A45)</f>
        <v>0</v>
      </c>
      <c r="M45" s="2">
        <f>SUMIFS(Исход!$D:$D,Исход!$A:$A,M$1,Исход!$B:$B,$A45)+
SUMIFS(Исход!$G:$G,Исход!$A:$A,M$1,Исход!$B:$B,$A45)+
SUMIFS(Исход!$H:$H,Исход!$A:$A,M$1,Исход!$B:$B,$A45)+
SUMIFS(Исход!$I:$I,Исход!$A:$A,M$1,Исход!$B:$B,$A45)-
SUMIFS(Исход!$L:$L,Исход!$A:$A,M$1,Исход!$B:$B,$A45)</f>
        <v>0</v>
      </c>
      <c r="N45" s="2">
        <f>SUMIFS(Исход!$D:$D,Исход!$A:$A,N$1,Исход!$B:$B,$A45)+
SUMIFS(Исход!$G:$G,Исход!$A:$A,N$1,Исход!$B:$B,$A45)+
SUMIFS(Исход!$H:$H,Исход!$A:$A,N$1,Исход!$B:$B,$A45)+
SUMIFS(Исход!$I:$I,Исход!$A:$A,N$1,Исход!$B:$B,$A45)-
SUMIFS(Исход!$L:$L,Исход!$A:$A,N$1,Исход!$B:$B,$A45)</f>
        <v>0</v>
      </c>
      <c r="O45" s="2">
        <f>SUMIFS(Исход!$D:$D,Исход!$A:$A,O$1,Исход!$B:$B,$A45)+
SUMIFS(Исход!$G:$G,Исход!$A:$A,O$1,Исход!$B:$B,$A45)+
SUMIFS(Исход!$H:$H,Исход!$A:$A,O$1,Исход!$B:$B,$A45)+
SUMIFS(Исход!$I:$I,Исход!$A:$A,O$1,Исход!$B:$B,$A45)-
SUMIFS(Исход!$L:$L,Исход!$A:$A,O$1,Исход!$B:$B,$A45)</f>
        <v>0</v>
      </c>
      <c r="P45" s="2">
        <f>SUMIFS(Исход!$D:$D,Исход!$A:$A,P$1,Исход!$B:$B,$A45)+
SUMIFS(Исход!$G:$G,Исход!$A:$A,P$1,Исход!$B:$B,$A45)+
SUMIFS(Исход!$H:$H,Исход!$A:$A,P$1,Исход!$B:$B,$A45)+
SUMIFS(Исход!$I:$I,Исход!$A:$A,P$1,Исход!$B:$B,$A45)-
SUMIFS(Исход!$L:$L,Исход!$A:$A,P$1,Исход!$B:$B,$A45)</f>
        <v>0</v>
      </c>
      <c r="Q45" s="2">
        <f>SUMIFS(Исход!$D:$D,Исход!$A:$A,Q$1,Исход!$B:$B,$A45)+
SUMIFS(Исход!$G:$G,Исход!$A:$A,Q$1,Исход!$B:$B,$A45)+
SUMIFS(Исход!$H:$H,Исход!$A:$A,Q$1,Исход!$B:$B,$A45)+
SUMIFS(Исход!$I:$I,Исход!$A:$A,Q$1,Исход!$B:$B,$A45)-
SUMIFS(Исход!$L:$L,Исход!$A:$A,Q$1,Исход!$B:$B,$A45)</f>
        <v>0</v>
      </c>
      <c r="R45" s="2">
        <f>SUMIFS(Исход!$D:$D,Исход!$A:$A,R$1,Исход!$B:$B,$A45)+
SUMIFS(Исход!$G:$G,Исход!$A:$A,R$1,Исход!$B:$B,$A45)+
SUMIFS(Исход!$H:$H,Исход!$A:$A,R$1,Исход!$B:$B,$A45)+
SUMIFS(Исход!$I:$I,Исход!$A:$A,R$1,Исход!$B:$B,$A45)-
SUMIFS(Исход!$L:$L,Исход!$A:$A,R$1,Исход!$B:$B,$A45)</f>
        <v>0</v>
      </c>
      <c r="S45" s="2">
        <f>SUMIFS(Исход!$D:$D,Исход!$A:$A,S$1,Исход!$B:$B,$A45)+
SUMIFS(Исход!$G:$G,Исход!$A:$A,S$1,Исход!$B:$B,$A45)+
SUMIFS(Исход!$H:$H,Исход!$A:$A,S$1,Исход!$B:$B,$A45)+
SUMIFS(Исход!$I:$I,Исход!$A:$A,S$1,Исход!$B:$B,$A45)-
SUMIFS(Исход!$L:$L,Исход!$A:$A,S$1,Исход!$B:$B,$A45)</f>
        <v>0</v>
      </c>
      <c r="T45" s="2">
        <f>SUMIFS(Исход!$D:$D,Исход!$A:$A,T$1,Исход!$B:$B,$A45)+
SUMIFS(Исход!$G:$G,Исход!$A:$A,T$1,Исход!$B:$B,$A45)+
SUMIFS(Исход!$H:$H,Исход!$A:$A,T$1,Исход!$B:$B,$A45)+
SUMIFS(Исход!$I:$I,Исход!$A:$A,T$1,Исход!$B:$B,$A45)-
SUMIFS(Исход!$L:$L,Исход!$A:$A,T$1,Исход!$B:$B,$A45)</f>
        <v>0</v>
      </c>
      <c r="U45" s="2">
        <f>SUMIFS(Исход!$D:$D,Исход!$A:$A,U$1,Исход!$B:$B,$A45)+
SUMIFS(Исход!$G:$G,Исход!$A:$A,U$1,Исход!$B:$B,$A45)+
SUMIFS(Исход!$H:$H,Исход!$A:$A,U$1,Исход!$B:$B,$A45)+
SUMIFS(Исход!$I:$I,Исход!$A:$A,U$1,Исход!$B:$B,$A45)-
SUMIFS(Исход!$L:$L,Исход!$A:$A,U$1,Исход!$B:$B,$A45)</f>
        <v>0</v>
      </c>
      <c r="V45" s="2">
        <f>SUMIFS(Исход!$D:$D,Исход!$A:$A,V$1,Исход!$B:$B,$A45)+
SUMIFS(Исход!$G:$G,Исход!$A:$A,V$1,Исход!$B:$B,$A45)+
SUMIFS(Исход!$H:$H,Исход!$A:$A,V$1,Исход!$B:$B,$A45)+
SUMIFS(Исход!$I:$I,Исход!$A:$A,V$1,Исход!$B:$B,$A45)-
SUMIFS(Исход!$L:$L,Исход!$A:$A,V$1,Исход!$B:$B,$A45)</f>
        <v>0</v>
      </c>
      <c r="W45" s="2">
        <f>SUMIFS(Исход!$D:$D,Исход!$A:$A,W$1,Исход!$B:$B,$A45)+
SUMIFS(Исход!$G:$G,Исход!$A:$A,W$1,Исход!$B:$B,$A45)+
SUMIFS(Исход!$H:$H,Исход!$A:$A,W$1,Исход!$B:$B,$A45)+
SUMIFS(Исход!$I:$I,Исход!$A:$A,W$1,Исход!$B:$B,$A45)-
SUMIFS(Исход!$L:$L,Исход!$A:$A,W$1,Исход!$B:$B,$A45)</f>
        <v>0</v>
      </c>
      <c r="X45" s="2">
        <f>SUMIFS(Исход!$D:$D,Исход!$A:$A,X$1,Исход!$B:$B,$A45)+
SUMIFS(Исход!$G:$G,Исход!$A:$A,X$1,Исход!$B:$B,$A45)+
SUMIFS(Исход!$H:$H,Исход!$A:$A,X$1,Исход!$B:$B,$A45)+
SUMIFS(Исход!$I:$I,Исход!$A:$A,X$1,Исход!$B:$B,$A45)-
SUMIFS(Исход!$L:$L,Исход!$A:$A,X$1,Исход!$B:$B,$A45)</f>
        <v>0</v>
      </c>
      <c r="Y45" s="2">
        <f>SUMIFS(Исход!$D:$D,Исход!$A:$A,Y$1,Исход!$B:$B,$A45)+
SUMIFS(Исход!$G:$G,Исход!$A:$A,Y$1,Исход!$B:$B,$A45)+
SUMIFS(Исход!$H:$H,Исход!$A:$A,Y$1,Исход!$B:$B,$A45)+
SUMIFS(Исход!$I:$I,Исход!$A:$A,Y$1,Исход!$B:$B,$A45)-
SUMIFS(Исход!$L:$L,Исход!$A:$A,Y$1,Исход!$B:$B,$A45)</f>
        <v>0</v>
      </c>
      <c r="Z45" s="2">
        <f>SUMIFS(Исход!$D:$D,Исход!$A:$A,Z$1,Исход!$B:$B,$A45)+
SUMIFS(Исход!$G:$G,Исход!$A:$A,Z$1,Исход!$B:$B,$A45)+
SUMIFS(Исход!$H:$H,Исход!$A:$A,Z$1,Исход!$B:$B,$A45)+
SUMIFS(Исход!$I:$I,Исход!$A:$A,Z$1,Исход!$B:$B,$A45)-
SUMIFS(Исход!$L:$L,Исход!$A:$A,Z$1,Исход!$B:$B,$A45)</f>
        <v>0</v>
      </c>
      <c r="AA45" s="2">
        <f>SUMIFS(Исход!$D:$D,Исход!$A:$A,AA$1,Исход!$B:$B,$A45)+
SUMIFS(Исход!$G:$G,Исход!$A:$A,AA$1,Исход!$B:$B,$A45)+
SUMIFS(Исход!$H:$H,Исход!$A:$A,AA$1,Исход!$B:$B,$A45)+
SUMIFS(Исход!$I:$I,Исход!$A:$A,AA$1,Исход!$B:$B,$A45)-
SUMIFS(Исход!$L:$L,Исход!$A:$A,AA$1,Исход!$B:$B,$A45)</f>
        <v>0</v>
      </c>
      <c r="AB45" s="2">
        <f>SUMIFS(Исход!$D:$D,Исход!$A:$A,AB$1,Исход!$B:$B,$A45)+
SUMIFS(Исход!$G:$G,Исход!$A:$A,AB$1,Исход!$B:$B,$A45)+
SUMIFS(Исход!$H:$H,Исход!$A:$A,AB$1,Исход!$B:$B,$A45)+
SUMIFS(Исход!$I:$I,Исход!$A:$A,AB$1,Исход!$B:$B,$A45)-
SUMIFS(Исход!$L:$L,Исход!$A:$A,AB$1,Исход!$B:$B,$A45)</f>
        <v>0</v>
      </c>
      <c r="AC45" s="2">
        <f>SUMIFS(Исход!$D:$D,Исход!$A:$A,AC$1,Исход!$B:$B,$A45)+
SUMIFS(Исход!$G:$G,Исход!$A:$A,AC$1,Исход!$B:$B,$A45)+
SUMIFS(Исход!$H:$H,Исход!$A:$A,AC$1,Исход!$B:$B,$A45)+
SUMIFS(Исход!$I:$I,Исход!$A:$A,AC$1,Исход!$B:$B,$A45)-
SUMIFS(Исход!$L:$L,Исход!$A:$A,AC$1,Исход!$B:$B,$A45)</f>
        <v>0</v>
      </c>
      <c r="AD45" s="2">
        <f>SUMIFS(Исход!$D:$D,Исход!$A:$A,AD$1,Исход!$B:$B,$A45)+
SUMIFS(Исход!$G:$G,Исход!$A:$A,AD$1,Исход!$B:$B,$A45)+
SUMIFS(Исход!$H:$H,Исход!$A:$A,AD$1,Исход!$B:$B,$A45)+
SUMIFS(Исход!$I:$I,Исход!$A:$A,AD$1,Исход!$B:$B,$A45)-
SUMIFS(Исход!$L:$L,Исход!$A:$A,AD$1,Исход!$B:$B,$A45)</f>
        <v>0</v>
      </c>
      <c r="AE45" s="2">
        <f>SUMIFS(Исход!$D:$D,Исход!$A:$A,AE$1,Исход!$B:$B,$A45)+
SUMIFS(Исход!$G:$G,Исход!$A:$A,AE$1,Исход!$B:$B,$A45)+
SUMIFS(Исход!$H:$H,Исход!$A:$A,AE$1,Исход!$B:$B,$A45)+
SUMIFS(Исход!$I:$I,Исход!$A:$A,AE$1,Исход!$B:$B,$A45)-
SUMIFS(Исход!$L:$L,Исход!$A:$A,AE$1,Исход!$B:$B,$A45)</f>
        <v>0</v>
      </c>
      <c r="AF45" s="2">
        <f>SUMIFS(Исход!$D:$D,Исход!$A:$A,AF$1,Исход!$B:$B,$A45)+
SUMIFS(Исход!$G:$G,Исход!$A:$A,AF$1,Исход!$B:$B,$A45)+
SUMIFS(Исход!$H:$H,Исход!$A:$A,AF$1,Исход!$B:$B,$A45)+
SUMIFS(Исход!$I:$I,Исход!$A:$A,AF$1,Исход!$B:$B,$A45)-
SUMIFS(Исход!$L:$L,Исход!$A:$A,AF$1,Исход!$B:$B,$A45)</f>
        <v>0</v>
      </c>
      <c r="AG45" s="57">
        <f>SUMIFS(Исход!$D:$D,Исход!$A:$A,AG$1,Исход!$B:$B,$A45)+
SUMIFS(Исход!$G:$G,Исход!$A:$A,AG$1,Исход!$B:$B,$A45)+
SUMIFS(Исход!$H:$H,Исход!$A:$A,AG$1,Исход!$B:$B,$A45)+
SUMIFS(Исход!$I:$I,Исход!$A:$A,AG$1,Исход!$B:$B,$A45)-
SUMIFS(Исход!$L:$L,Исход!$A:$A,AG$1,Исход!$B:$B,$A45)</f>
        <v>0</v>
      </c>
    </row>
    <row r="46" spans="1:33" hidden="1" outlineLevel="1" x14ac:dyDescent="0.25">
      <c r="A46" s="103">
        <v>0.875</v>
      </c>
      <c r="B46" s="123">
        <v>0.89583333333333337</v>
      </c>
      <c r="C46" s="63">
        <f>SUMIFS(Исход!$D:$D,Исход!$A:$A,C$1,Исход!$B:$B,$A46)+
SUMIFS(Исход!$G:$G,Исход!$A:$A,C$1,Исход!$B:$B,$A46)+
SUMIFS(Исход!$H:$H,Исход!$A:$A,C$1,Исход!$B:$B,$A46)+
SUMIFS(Исход!$I:$I,Исход!$A:$A,C$1,Исход!$B:$B,$A46)-
SUMIFS(Исход!$L:$L,Исход!$A:$A,C$1,Исход!$B:$B,$A46)</f>
        <v>0</v>
      </c>
      <c r="D46" s="2">
        <f>SUMIFS(Исход!$D:$D,Исход!$A:$A,D$1,Исход!$B:$B,$A46)+
SUMIFS(Исход!$G:$G,Исход!$A:$A,D$1,Исход!$B:$B,$A46)+
SUMIFS(Исход!$H:$H,Исход!$A:$A,D$1,Исход!$B:$B,$A46)+
SUMIFS(Исход!$I:$I,Исход!$A:$A,D$1,Исход!$B:$B,$A46)-
SUMIFS(Исход!$L:$L,Исход!$A:$A,D$1,Исход!$B:$B,$A46)</f>
        <v>0</v>
      </c>
      <c r="E46" s="2">
        <f>SUMIFS(Исход!$D:$D,Исход!$A:$A,E$1,Исход!$B:$B,$A46)+
SUMIFS(Исход!$G:$G,Исход!$A:$A,E$1,Исход!$B:$B,$A46)+
SUMIFS(Исход!$H:$H,Исход!$A:$A,E$1,Исход!$B:$B,$A46)+
SUMIFS(Исход!$I:$I,Исход!$A:$A,E$1,Исход!$B:$B,$A46)-
SUMIFS(Исход!$L:$L,Исход!$A:$A,E$1,Исход!$B:$B,$A46)</f>
        <v>0</v>
      </c>
      <c r="F46" s="2">
        <f>SUMIFS(Исход!$D:$D,Исход!$A:$A,F$1,Исход!$B:$B,$A46)+
SUMIFS(Исход!$G:$G,Исход!$A:$A,F$1,Исход!$B:$B,$A46)+
SUMIFS(Исход!$H:$H,Исход!$A:$A,F$1,Исход!$B:$B,$A46)+
SUMIFS(Исход!$I:$I,Исход!$A:$A,F$1,Исход!$B:$B,$A46)-
SUMIFS(Исход!$L:$L,Исход!$A:$A,F$1,Исход!$B:$B,$A46)</f>
        <v>0</v>
      </c>
      <c r="G46" s="2">
        <f>SUMIFS(Исход!$D:$D,Исход!$A:$A,G$1,Исход!$B:$B,$A46)+
SUMIFS(Исход!$G:$G,Исход!$A:$A,G$1,Исход!$B:$B,$A46)+
SUMIFS(Исход!$H:$H,Исход!$A:$A,G$1,Исход!$B:$B,$A46)+
SUMIFS(Исход!$I:$I,Исход!$A:$A,G$1,Исход!$B:$B,$A46)-
SUMIFS(Исход!$L:$L,Исход!$A:$A,G$1,Исход!$B:$B,$A46)</f>
        <v>0</v>
      </c>
      <c r="H46" s="2">
        <f>SUMIFS(Исход!$D:$D,Исход!$A:$A,H$1,Исход!$B:$B,$A46)+
SUMIFS(Исход!$G:$G,Исход!$A:$A,H$1,Исход!$B:$B,$A46)+
SUMIFS(Исход!$H:$H,Исход!$A:$A,H$1,Исход!$B:$B,$A46)+
SUMIFS(Исход!$I:$I,Исход!$A:$A,H$1,Исход!$B:$B,$A46)-
SUMIFS(Исход!$L:$L,Исход!$A:$A,H$1,Исход!$B:$B,$A46)</f>
        <v>0</v>
      </c>
      <c r="I46" s="2">
        <f>SUMIFS(Исход!$D:$D,Исход!$A:$A,I$1,Исход!$B:$B,$A46)+
SUMIFS(Исход!$G:$G,Исход!$A:$A,I$1,Исход!$B:$B,$A46)+
SUMIFS(Исход!$H:$H,Исход!$A:$A,I$1,Исход!$B:$B,$A46)+
SUMIFS(Исход!$I:$I,Исход!$A:$A,I$1,Исход!$B:$B,$A46)-
SUMIFS(Исход!$L:$L,Исход!$A:$A,I$1,Исход!$B:$B,$A46)</f>
        <v>0</v>
      </c>
      <c r="J46" s="2">
        <f>SUMIFS(Исход!$D:$D,Исход!$A:$A,J$1,Исход!$B:$B,$A46)+
SUMIFS(Исход!$G:$G,Исход!$A:$A,J$1,Исход!$B:$B,$A46)+
SUMIFS(Исход!$H:$H,Исход!$A:$A,J$1,Исход!$B:$B,$A46)+
SUMIFS(Исход!$I:$I,Исход!$A:$A,J$1,Исход!$B:$B,$A46)-
SUMIFS(Исход!$L:$L,Исход!$A:$A,J$1,Исход!$B:$B,$A46)</f>
        <v>0</v>
      </c>
      <c r="K46" s="2">
        <f>SUMIFS(Исход!$D:$D,Исход!$A:$A,K$1,Исход!$B:$B,$A46)+
SUMIFS(Исход!$G:$G,Исход!$A:$A,K$1,Исход!$B:$B,$A46)+
SUMIFS(Исход!$H:$H,Исход!$A:$A,K$1,Исход!$B:$B,$A46)+
SUMIFS(Исход!$I:$I,Исход!$A:$A,K$1,Исход!$B:$B,$A46)-
SUMIFS(Исход!$L:$L,Исход!$A:$A,K$1,Исход!$B:$B,$A46)</f>
        <v>0</v>
      </c>
      <c r="L46" s="2">
        <f>SUMIFS(Исход!$D:$D,Исход!$A:$A,L$1,Исход!$B:$B,$A46)+
SUMIFS(Исход!$G:$G,Исход!$A:$A,L$1,Исход!$B:$B,$A46)+
SUMIFS(Исход!$H:$H,Исход!$A:$A,L$1,Исход!$B:$B,$A46)+
SUMIFS(Исход!$I:$I,Исход!$A:$A,L$1,Исход!$B:$B,$A46)-
SUMIFS(Исход!$L:$L,Исход!$A:$A,L$1,Исход!$B:$B,$A46)</f>
        <v>0</v>
      </c>
      <c r="M46" s="2">
        <f>SUMIFS(Исход!$D:$D,Исход!$A:$A,M$1,Исход!$B:$B,$A46)+
SUMIFS(Исход!$G:$G,Исход!$A:$A,M$1,Исход!$B:$B,$A46)+
SUMIFS(Исход!$H:$H,Исход!$A:$A,M$1,Исход!$B:$B,$A46)+
SUMIFS(Исход!$I:$I,Исход!$A:$A,M$1,Исход!$B:$B,$A46)-
SUMIFS(Исход!$L:$L,Исход!$A:$A,M$1,Исход!$B:$B,$A46)</f>
        <v>0</v>
      </c>
      <c r="N46" s="2">
        <f>SUMIFS(Исход!$D:$D,Исход!$A:$A,N$1,Исход!$B:$B,$A46)+
SUMIFS(Исход!$G:$G,Исход!$A:$A,N$1,Исход!$B:$B,$A46)+
SUMIFS(Исход!$H:$H,Исход!$A:$A,N$1,Исход!$B:$B,$A46)+
SUMIFS(Исход!$I:$I,Исход!$A:$A,N$1,Исход!$B:$B,$A46)-
SUMIFS(Исход!$L:$L,Исход!$A:$A,N$1,Исход!$B:$B,$A46)</f>
        <v>0</v>
      </c>
      <c r="O46" s="2">
        <f>SUMIFS(Исход!$D:$D,Исход!$A:$A,O$1,Исход!$B:$B,$A46)+
SUMIFS(Исход!$G:$G,Исход!$A:$A,O$1,Исход!$B:$B,$A46)+
SUMIFS(Исход!$H:$H,Исход!$A:$A,O$1,Исход!$B:$B,$A46)+
SUMIFS(Исход!$I:$I,Исход!$A:$A,O$1,Исход!$B:$B,$A46)-
SUMIFS(Исход!$L:$L,Исход!$A:$A,O$1,Исход!$B:$B,$A46)</f>
        <v>0</v>
      </c>
      <c r="P46" s="2">
        <f>SUMIFS(Исход!$D:$D,Исход!$A:$A,P$1,Исход!$B:$B,$A46)+
SUMIFS(Исход!$G:$G,Исход!$A:$A,P$1,Исход!$B:$B,$A46)+
SUMIFS(Исход!$H:$H,Исход!$A:$A,P$1,Исход!$B:$B,$A46)+
SUMIFS(Исход!$I:$I,Исход!$A:$A,P$1,Исход!$B:$B,$A46)-
SUMIFS(Исход!$L:$L,Исход!$A:$A,P$1,Исход!$B:$B,$A46)</f>
        <v>0</v>
      </c>
      <c r="Q46" s="2">
        <f>SUMIFS(Исход!$D:$D,Исход!$A:$A,Q$1,Исход!$B:$B,$A46)+
SUMIFS(Исход!$G:$G,Исход!$A:$A,Q$1,Исход!$B:$B,$A46)+
SUMIFS(Исход!$H:$H,Исход!$A:$A,Q$1,Исход!$B:$B,$A46)+
SUMIFS(Исход!$I:$I,Исход!$A:$A,Q$1,Исход!$B:$B,$A46)-
SUMIFS(Исход!$L:$L,Исход!$A:$A,Q$1,Исход!$B:$B,$A46)</f>
        <v>0</v>
      </c>
      <c r="R46" s="2">
        <f>SUMIFS(Исход!$D:$D,Исход!$A:$A,R$1,Исход!$B:$B,$A46)+
SUMIFS(Исход!$G:$G,Исход!$A:$A,R$1,Исход!$B:$B,$A46)+
SUMIFS(Исход!$H:$H,Исход!$A:$A,R$1,Исход!$B:$B,$A46)+
SUMIFS(Исход!$I:$I,Исход!$A:$A,R$1,Исход!$B:$B,$A46)-
SUMIFS(Исход!$L:$L,Исход!$A:$A,R$1,Исход!$B:$B,$A46)</f>
        <v>0</v>
      </c>
      <c r="S46" s="2">
        <f>SUMIFS(Исход!$D:$D,Исход!$A:$A,S$1,Исход!$B:$B,$A46)+
SUMIFS(Исход!$G:$G,Исход!$A:$A,S$1,Исход!$B:$B,$A46)+
SUMIFS(Исход!$H:$H,Исход!$A:$A,S$1,Исход!$B:$B,$A46)+
SUMIFS(Исход!$I:$I,Исход!$A:$A,S$1,Исход!$B:$B,$A46)-
SUMIFS(Исход!$L:$L,Исход!$A:$A,S$1,Исход!$B:$B,$A46)</f>
        <v>0</v>
      </c>
      <c r="T46" s="2">
        <f>SUMIFS(Исход!$D:$D,Исход!$A:$A,T$1,Исход!$B:$B,$A46)+
SUMIFS(Исход!$G:$G,Исход!$A:$A,T$1,Исход!$B:$B,$A46)+
SUMIFS(Исход!$H:$H,Исход!$A:$A,T$1,Исход!$B:$B,$A46)+
SUMIFS(Исход!$I:$I,Исход!$A:$A,T$1,Исход!$B:$B,$A46)-
SUMIFS(Исход!$L:$L,Исход!$A:$A,T$1,Исход!$B:$B,$A46)</f>
        <v>0</v>
      </c>
      <c r="U46" s="2">
        <f>SUMIFS(Исход!$D:$D,Исход!$A:$A,U$1,Исход!$B:$B,$A46)+
SUMIFS(Исход!$G:$G,Исход!$A:$A,U$1,Исход!$B:$B,$A46)+
SUMIFS(Исход!$H:$H,Исход!$A:$A,U$1,Исход!$B:$B,$A46)+
SUMIFS(Исход!$I:$I,Исход!$A:$A,U$1,Исход!$B:$B,$A46)-
SUMIFS(Исход!$L:$L,Исход!$A:$A,U$1,Исход!$B:$B,$A46)</f>
        <v>0</v>
      </c>
      <c r="V46" s="2">
        <f>SUMIFS(Исход!$D:$D,Исход!$A:$A,V$1,Исход!$B:$B,$A46)+
SUMIFS(Исход!$G:$G,Исход!$A:$A,V$1,Исход!$B:$B,$A46)+
SUMIFS(Исход!$H:$H,Исход!$A:$A,V$1,Исход!$B:$B,$A46)+
SUMIFS(Исход!$I:$I,Исход!$A:$A,V$1,Исход!$B:$B,$A46)-
SUMIFS(Исход!$L:$L,Исход!$A:$A,V$1,Исход!$B:$B,$A46)</f>
        <v>0</v>
      </c>
      <c r="W46" s="2">
        <f>SUMIFS(Исход!$D:$D,Исход!$A:$A,W$1,Исход!$B:$B,$A46)+
SUMIFS(Исход!$G:$G,Исход!$A:$A,W$1,Исход!$B:$B,$A46)+
SUMIFS(Исход!$H:$H,Исход!$A:$A,W$1,Исход!$B:$B,$A46)+
SUMIFS(Исход!$I:$I,Исход!$A:$A,W$1,Исход!$B:$B,$A46)-
SUMIFS(Исход!$L:$L,Исход!$A:$A,W$1,Исход!$B:$B,$A46)</f>
        <v>0</v>
      </c>
      <c r="X46" s="2">
        <f>SUMIFS(Исход!$D:$D,Исход!$A:$A,X$1,Исход!$B:$B,$A46)+
SUMIFS(Исход!$G:$G,Исход!$A:$A,X$1,Исход!$B:$B,$A46)+
SUMIFS(Исход!$H:$H,Исход!$A:$A,X$1,Исход!$B:$B,$A46)+
SUMIFS(Исход!$I:$I,Исход!$A:$A,X$1,Исход!$B:$B,$A46)-
SUMIFS(Исход!$L:$L,Исход!$A:$A,X$1,Исход!$B:$B,$A46)</f>
        <v>0</v>
      </c>
      <c r="Y46" s="2">
        <f>SUMIFS(Исход!$D:$D,Исход!$A:$A,Y$1,Исход!$B:$B,$A46)+
SUMIFS(Исход!$G:$G,Исход!$A:$A,Y$1,Исход!$B:$B,$A46)+
SUMIFS(Исход!$H:$H,Исход!$A:$A,Y$1,Исход!$B:$B,$A46)+
SUMIFS(Исход!$I:$I,Исход!$A:$A,Y$1,Исход!$B:$B,$A46)-
SUMIFS(Исход!$L:$L,Исход!$A:$A,Y$1,Исход!$B:$B,$A46)</f>
        <v>0</v>
      </c>
      <c r="Z46" s="2">
        <f>SUMIFS(Исход!$D:$D,Исход!$A:$A,Z$1,Исход!$B:$B,$A46)+
SUMIFS(Исход!$G:$G,Исход!$A:$A,Z$1,Исход!$B:$B,$A46)+
SUMIFS(Исход!$H:$H,Исход!$A:$A,Z$1,Исход!$B:$B,$A46)+
SUMIFS(Исход!$I:$I,Исход!$A:$A,Z$1,Исход!$B:$B,$A46)-
SUMIFS(Исход!$L:$L,Исход!$A:$A,Z$1,Исход!$B:$B,$A46)</f>
        <v>0</v>
      </c>
      <c r="AA46" s="2">
        <f>SUMIFS(Исход!$D:$D,Исход!$A:$A,AA$1,Исход!$B:$B,$A46)+
SUMIFS(Исход!$G:$G,Исход!$A:$A,AA$1,Исход!$B:$B,$A46)+
SUMIFS(Исход!$H:$H,Исход!$A:$A,AA$1,Исход!$B:$B,$A46)+
SUMIFS(Исход!$I:$I,Исход!$A:$A,AA$1,Исход!$B:$B,$A46)-
SUMIFS(Исход!$L:$L,Исход!$A:$A,AA$1,Исход!$B:$B,$A46)</f>
        <v>0</v>
      </c>
      <c r="AB46" s="2">
        <f>SUMIFS(Исход!$D:$D,Исход!$A:$A,AB$1,Исход!$B:$B,$A46)+
SUMIFS(Исход!$G:$G,Исход!$A:$A,AB$1,Исход!$B:$B,$A46)+
SUMIFS(Исход!$H:$H,Исход!$A:$A,AB$1,Исход!$B:$B,$A46)+
SUMIFS(Исход!$I:$I,Исход!$A:$A,AB$1,Исход!$B:$B,$A46)-
SUMIFS(Исход!$L:$L,Исход!$A:$A,AB$1,Исход!$B:$B,$A46)</f>
        <v>0</v>
      </c>
      <c r="AC46" s="2">
        <f>SUMIFS(Исход!$D:$D,Исход!$A:$A,AC$1,Исход!$B:$B,$A46)+
SUMIFS(Исход!$G:$G,Исход!$A:$A,AC$1,Исход!$B:$B,$A46)+
SUMIFS(Исход!$H:$H,Исход!$A:$A,AC$1,Исход!$B:$B,$A46)+
SUMIFS(Исход!$I:$I,Исход!$A:$A,AC$1,Исход!$B:$B,$A46)-
SUMIFS(Исход!$L:$L,Исход!$A:$A,AC$1,Исход!$B:$B,$A46)</f>
        <v>0</v>
      </c>
      <c r="AD46" s="2">
        <f>SUMIFS(Исход!$D:$D,Исход!$A:$A,AD$1,Исход!$B:$B,$A46)+
SUMIFS(Исход!$G:$G,Исход!$A:$A,AD$1,Исход!$B:$B,$A46)+
SUMIFS(Исход!$H:$H,Исход!$A:$A,AD$1,Исход!$B:$B,$A46)+
SUMIFS(Исход!$I:$I,Исход!$A:$A,AD$1,Исход!$B:$B,$A46)-
SUMIFS(Исход!$L:$L,Исход!$A:$A,AD$1,Исход!$B:$B,$A46)</f>
        <v>0</v>
      </c>
      <c r="AE46" s="2">
        <f>SUMIFS(Исход!$D:$D,Исход!$A:$A,AE$1,Исход!$B:$B,$A46)+
SUMIFS(Исход!$G:$G,Исход!$A:$A,AE$1,Исход!$B:$B,$A46)+
SUMIFS(Исход!$H:$H,Исход!$A:$A,AE$1,Исход!$B:$B,$A46)+
SUMIFS(Исход!$I:$I,Исход!$A:$A,AE$1,Исход!$B:$B,$A46)-
SUMIFS(Исход!$L:$L,Исход!$A:$A,AE$1,Исход!$B:$B,$A46)</f>
        <v>0</v>
      </c>
      <c r="AF46" s="2">
        <f>SUMIFS(Исход!$D:$D,Исход!$A:$A,AF$1,Исход!$B:$B,$A46)+
SUMIFS(Исход!$G:$G,Исход!$A:$A,AF$1,Исход!$B:$B,$A46)+
SUMIFS(Исход!$H:$H,Исход!$A:$A,AF$1,Исход!$B:$B,$A46)+
SUMIFS(Исход!$I:$I,Исход!$A:$A,AF$1,Исход!$B:$B,$A46)-
SUMIFS(Исход!$L:$L,Исход!$A:$A,AF$1,Исход!$B:$B,$A46)</f>
        <v>0</v>
      </c>
      <c r="AG46" s="57">
        <f>SUMIFS(Исход!$D:$D,Исход!$A:$A,AG$1,Исход!$B:$B,$A46)+
SUMIFS(Исход!$G:$G,Исход!$A:$A,AG$1,Исход!$B:$B,$A46)+
SUMIFS(Исход!$H:$H,Исход!$A:$A,AG$1,Исход!$B:$B,$A46)+
SUMIFS(Исход!$I:$I,Исход!$A:$A,AG$1,Исход!$B:$B,$A46)-
SUMIFS(Исход!$L:$L,Исход!$A:$A,AG$1,Исход!$B:$B,$A46)</f>
        <v>0</v>
      </c>
    </row>
    <row r="47" spans="1:33" ht="15.75" hidden="1" outlineLevel="1" thickBot="1" x14ac:dyDescent="0.3">
      <c r="A47" s="113">
        <v>0.89583333333333337</v>
      </c>
      <c r="B47" s="134">
        <v>0.91666666666666663</v>
      </c>
      <c r="C47" s="135">
        <f>SUMIFS(Исход!$D:$D,Исход!$A:$A,C$1,Исход!$B:$B,$A47)+
SUMIFS(Исход!$G:$G,Исход!$A:$A,C$1,Исход!$B:$B,$A47)+
SUMIFS(Исход!$H:$H,Исход!$A:$A,C$1,Исход!$B:$B,$A47)+
SUMIFS(Исход!$I:$I,Исход!$A:$A,C$1,Исход!$B:$B,$A47)-
SUMIFS(Исход!$L:$L,Исход!$A:$A,C$1,Исход!$B:$B,$A47)</f>
        <v>0</v>
      </c>
      <c r="D47" s="136">
        <f>SUMIFS(Исход!$D:$D,Исход!$A:$A,D$1,Исход!$B:$B,$A47)+
SUMIFS(Исход!$G:$G,Исход!$A:$A,D$1,Исход!$B:$B,$A47)+
SUMIFS(Исход!$H:$H,Исход!$A:$A,D$1,Исход!$B:$B,$A47)+
SUMIFS(Исход!$I:$I,Исход!$A:$A,D$1,Исход!$B:$B,$A47)-
SUMIFS(Исход!$L:$L,Исход!$A:$A,D$1,Исход!$B:$B,$A47)</f>
        <v>0</v>
      </c>
      <c r="E47" s="136">
        <f>SUMIFS(Исход!$D:$D,Исход!$A:$A,E$1,Исход!$B:$B,$A47)+
SUMIFS(Исход!$G:$G,Исход!$A:$A,E$1,Исход!$B:$B,$A47)+
SUMIFS(Исход!$H:$H,Исход!$A:$A,E$1,Исход!$B:$B,$A47)+
SUMIFS(Исход!$I:$I,Исход!$A:$A,E$1,Исход!$B:$B,$A47)-
SUMIFS(Исход!$L:$L,Исход!$A:$A,E$1,Исход!$B:$B,$A47)</f>
        <v>0</v>
      </c>
      <c r="F47" s="136">
        <f>SUMIFS(Исход!$D:$D,Исход!$A:$A,F$1,Исход!$B:$B,$A47)+
SUMIFS(Исход!$G:$G,Исход!$A:$A,F$1,Исход!$B:$B,$A47)+
SUMIFS(Исход!$H:$H,Исход!$A:$A,F$1,Исход!$B:$B,$A47)+
SUMIFS(Исход!$I:$I,Исход!$A:$A,F$1,Исход!$B:$B,$A47)-
SUMIFS(Исход!$L:$L,Исход!$A:$A,F$1,Исход!$B:$B,$A47)</f>
        <v>0</v>
      </c>
      <c r="G47" s="136">
        <f>SUMIFS(Исход!$D:$D,Исход!$A:$A,G$1,Исход!$B:$B,$A47)+
SUMIFS(Исход!$G:$G,Исход!$A:$A,G$1,Исход!$B:$B,$A47)+
SUMIFS(Исход!$H:$H,Исход!$A:$A,G$1,Исход!$B:$B,$A47)+
SUMIFS(Исход!$I:$I,Исход!$A:$A,G$1,Исход!$B:$B,$A47)-
SUMIFS(Исход!$L:$L,Исход!$A:$A,G$1,Исход!$B:$B,$A47)</f>
        <v>0</v>
      </c>
      <c r="H47" s="136">
        <f>SUMIFS(Исход!$D:$D,Исход!$A:$A,H$1,Исход!$B:$B,$A47)+
SUMIFS(Исход!$G:$G,Исход!$A:$A,H$1,Исход!$B:$B,$A47)+
SUMIFS(Исход!$H:$H,Исход!$A:$A,H$1,Исход!$B:$B,$A47)+
SUMIFS(Исход!$I:$I,Исход!$A:$A,H$1,Исход!$B:$B,$A47)-
SUMIFS(Исход!$L:$L,Исход!$A:$A,H$1,Исход!$B:$B,$A47)</f>
        <v>0</v>
      </c>
      <c r="I47" s="136">
        <f>SUMIFS(Исход!$D:$D,Исход!$A:$A,I$1,Исход!$B:$B,$A47)+
SUMIFS(Исход!$G:$G,Исход!$A:$A,I$1,Исход!$B:$B,$A47)+
SUMIFS(Исход!$H:$H,Исход!$A:$A,I$1,Исход!$B:$B,$A47)+
SUMIFS(Исход!$I:$I,Исход!$A:$A,I$1,Исход!$B:$B,$A47)-
SUMIFS(Исход!$L:$L,Исход!$A:$A,I$1,Исход!$B:$B,$A47)</f>
        <v>0</v>
      </c>
      <c r="J47" s="136">
        <f>SUMIFS(Исход!$D:$D,Исход!$A:$A,J$1,Исход!$B:$B,$A47)+
SUMIFS(Исход!$G:$G,Исход!$A:$A,J$1,Исход!$B:$B,$A47)+
SUMIFS(Исход!$H:$H,Исход!$A:$A,J$1,Исход!$B:$B,$A47)+
SUMIFS(Исход!$I:$I,Исход!$A:$A,J$1,Исход!$B:$B,$A47)-
SUMIFS(Исход!$L:$L,Исход!$A:$A,J$1,Исход!$B:$B,$A47)</f>
        <v>0</v>
      </c>
      <c r="K47" s="136">
        <f>SUMIFS(Исход!$D:$D,Исход!$A:$A,K$1,Исход!$B:$B,$A47)+
SUMIFS(Исход!$G:$G,Исход!$A:$A,K$1,Исход!$B:$B,$A47)+
SUMIFS(Исход!$H:$H,Исход!$A:$A,K$1,Исход!$B:$B,$A47)+
SUMIFS(Исход!$I:$I,Исход!$A:$A,K$1,Исход!$B:$B,$A47)-
SUMIFS(Исход!$L:$L,Исход!$A:$A,K$1,Исход!$B:$B,$A47)</f>
        <v>0</v>
      </c>
      <c r="L47" s="136">
        <f>SUMIFS(Исход!$D:$D,Исход!$A:$A,L$1,Исход!$B:$B,$A47)+
SUMIFS(Исход!$G:$G,Исход!$A:$A,L$1,Исход!$B:$B,$A47)+
SUMIFS(Исход!$H:$H,Исход!$A:$A,L$1,Исход!$B:$B,$A47)+
SUMIFS(Исход!$I:$I,Исход!$A:$A,L$1,Исход!$B:$B,$A47)-
SUMIFS(Исход!$L:$L,Исход!$A:$A,L$1,Исход!$B:$B,$A47)</f>
        <v>0</v>
      </c>
      <c r="M47" s="136">
        <f>SUMIFS(Исход!$D:$D,Исход!$A:$A,M$1,Исход!$B:$B,$A47)+
SUMIFS(Исход!$G:$G,Исход!$A:$A,M$1,Исход!$B:$B,$A47)+
SUMIFS(Исход!$H:$H,Исход!$A:$A,M$1,Исход!$B:$B,$A47)+
SUMIFS(Исход!$I:$I,Исход!$A:$A,M$1,Исход!$B:$B,$A47)-
SUMIFS(Исход!$L:$L,Исход!$A:$A,M$1,Исход!$B:$B,$A47)</f>
        <v>0</v>
      </c>
      <c r="N47" s="136">
        <f>SUMIFS(Исход!$D:$D,Исход!$A:$A,N$1,Исход!$B:$B,$A47)+
SUMIFS(Исход!$G:$G,Исход!$A:$A,N$1,Исход!$B:$B,$A47)+
SUMIFS(Исход!$H:$H,Исход!$A:$A,N$1,Исход!$B:$B,$A47)+
SUMIFS(Исход!$I:$I,Исход!$A:$A,N$1,Исход!$B:$B,$A47)-
SUMIFS(Исход!$L:$L,Исход!$A:$A,N$1,Исход!$B:$B,$A47)</f>
        <v>0</v>
      </c>
      <c r="O47" s="136">
        <f>SUMIFS(Исход!$D:$D,Исход!$A:$A,O$1,Исход!$B:$B,$A47)+
SUMIFS(Исход!$G:$G,Исход!$A:$A,O$1,Исход!$B:$B,$A47)+
SUMIFS(Исход!$H:$H,Исход!$A:$A,O$1,Исход!$B:$B,$A47)+
SUMIFS(Исход!$I:$I,Исход!$A:$A,O$1,Исход!$B:$B,$A47)-
SUMIFS(Исход!$L:$L,Исход!$A:$A,O$1,Исход!$B:$B,$A47)</f>
        <v>0</v>
      </c>
      <c r="P47" s="136">
        <f>SUMIFS(Исход!$D:$D,Исход!$A:$A,P$1,Исход!$B:$B,$A47)+
SUMIFS(Исход!$G:$G,Исход!$A:$A,P$1,Исход!$B:$B,$A47)+
SUMIFS(Исход!$H:$H,Исход!$A:$A,P$1,Исход!$B:$B,$A47)+
SUMIFS(Исход!$I:$I,Исход!$A:$A,P$1,Исход!$B:$B,$A47)-
SUMIFS(Исход!$L:$L,Исход!$A:$A,P$1,Исход!$B:$B,$A47)</f>
        <v>0</v>
      </c>
      <c r="Q47" s="136">
        <f>SUMIFS(Исход!$D:$D,Исход!$A:$A,Q$1,Исход!$B:$B,$A47)+
SUMIFS(Исход!$G:$G,Исход!$A:$A,Q$1,Исход!$B:$B,$A47)+
SUMIFS(Исход!$H:$H,Исход!$A:$A,Q$1,Исход!$B:$B,$A47)+
SUMIFS(Исход!$I:$I,Исход!$A:$A,Q$1,Исход!$B:$B,$A47)-
SUMIFS(Исход!$L:$L,Исход!$A:$A,Q$1,Исход!$B:$B,$A47)</f>
        <v>0</v>
      </c>
      <c r="R47" s="136">
        <f>SUMIFS(Исход!$D:$D,Исход!$A:$A,R$1,Исход!$B:$B,$A47)+
SUMIFS(Исход!$G:$G,Исход!$A:$A,R$1,Исход!$B:$B,$A47)+
SUMIFS(Исход!$H:$H,Исход!$A:$A,R$1,Исход!$B:$B,$A47)+
SUMIFS(Исход!$I:$I,Исход!$A:$A,R$1,Исход!$B:$B,$A47)-
SUMIFS(Исход!$L:$L,Исход!$A:$A,R$1,Исход!$B:$B,$A47)</f>
        <v>0</v>
      </c>
      <c r="S47" s="136">
        <f>SUMIFS(Исход!$D:$D,Исход!$A:$A,S$1,Исход!$B:$B,$A47)+
SUMIFS(Исход!$G:$G,Исход!$A:$A,S$1,Исход!$B:$B,$A47)+
SUMIFS(Исход!$H:$H,Исход!$A:$A,S$1,Исход!$B:$B,$A47)+
SUMIFS(Исход!$I:$I,Исход!$A:$A,S$1,Исход!$B:$B,$A47)-
SUMIFS(Исход!$L:$L,Исход!$A:$A,S$1,Исход!$B:$B,$A47)</f>
        <v>0</v>
      </c>
      <c r="T47" s="136">
        <f>SUMIFS(Исход!$D:$D,Исход!$A:$A,T$1,Исход!$B:$B,$A47)+
SUMIFS(Исход!$G:$G,Исход!$A:$A,T$1,Исход!$B:$B,$A47)+
SUMIFS(Исход!$H:$H,Исход!$A:$A,T$1,Исход!$B:$B,$A47)+
SUMIFS(Исход!$I:$I,Исход!$A:$A,T$1,Исход!$B:$B,$A47)-
SUMIFS(Исход!$L:$L,Исход!$A:$A,T$1,Исход!$B:$B,$A47)</f>
        <v>0</v>
      </c>
      <c r="U47" s="136">
        <f>SUMIFS(Исход!$D:$D,Исход!$A:$A,U$1,Исход!$B:$B,$A47)+
SUMIFS(Исход!$G:$G,Исход!$A:$A,U$1,Исход!$B:$B,$A47)+
SUMIFS(Исход!$H:$H,Исход!$A:$A,U$1,Исход!$B:$B,$A47)+
SUMIFS(Исход!$I:$I,Исход!$A:$A,U$1,Исход!$B:$B,$A47)-
SUMIFS(Исход!$L:$L,Исход!$A:$A,U$1,Исход!$B:$B,$A47)</f>
        <v>0</v>
      </c>
      <c r="V47" s="136">
        <f>SUMIFS(Исход!$D:$D,Исход!$A:$A,V$1,Исход!$B:$B,$A47)+
SUMIFS(Исход!$G:$G,Исход!$A:$A,V$1,Исход!$B:$B,$A47)+
SUMIFS(Исход!$H:$H,Исход!$A:$A,V$1,Исход!$B:$B,$A47)+
SUMIFS(Исход!$I:$I,Исход!$A:$A,V$1,Исход!$B:$B,$A47)-
SUMIFS(Исход!$L:$L,Исход!$A:$A,V$1,Исход!$B:$B,$A47)</f>
        <v>0</v>
      </c>
      <c r="W47" s="136">
        <f>SUMIFS(Исход!$D:$D,Исход!$A:$A,W$1,Исход!$B:$B,$A47)+
SUMIFS(Исход!$G:$G,Исход!$A:$A,W$1,Исход!$B:$B,$A47)+
SUMIFS(Исход!$H:$H,Исход!$A:$A,W$1,Исход!$B:$B,$A47)+
SUMIFS(Исход!$I:$I,Исход!$A:$A,W$1,Исход!$B:$B,$A47)-
SUMIFS(Исход!$L:$L,Исход!$A:$A,W$1,Исход!$B:$B,$A47)</f>
        <v>0</v>
      </c>
      <c r="X47" s="136">
        <f>SUMIFS(Исход!$D:$D,Исход!$A:$A,X$1,Исход!$B:$B,$A47)+
SUMIFS(Исход!$G:$G,Исход!$A:$A,X$1,Исход!$B:$B,$A47)+
SUMIFS(Исход!$H:$H,Исход!$A:$A,X$1,Исход!$B:$B,$A47)+
SUMIFS(Исход!$I:$I,Исход!$A:$A,X$1,Исход!$B:$B,$A47)-
SUMIFS(Исход!$L:$L,Исход!$A:$A,X$1,Исход!$B:$B,$A47)</f>
        <v>0</v>
      </c>
      <c r="Y47" s="136">
        <f>SUMIFS(Исход!$D:$D,Исход!$A:$A,Y$1,Исход!$B:$B,$A47)+
SUMIFS(Исход!$G:$G,Исход!$A:$A,Y$1,Исход!$B:$B,$A47)+
SUMIFS(Исход!$H:$H,Исход!$A:$A,Y$1,Исход!$B:$B,$A47)+
SUMIFS(Исход!$I:$I,Исход!$A:$A,Y$1,Исход!$B:$B,$A47)-
SUMIFS(Исход!$L:$L,Исход!$A:$A,Y$1,Исход!$B:$B,$A47)</f>
        <v>0</v>
      </c>
      <c r="Z47" s="136">
        <f>SUMIFS(Исход!$D:$D,Исход!$A:$A,Z$1,Исход!$B:$B,$A47)+
SUMIFS(Исход!$G:$G,Исход!$A:$A,Z$1,Исход!$B:$B,$A47)+
SUMIFS(Исход!$H:$H,Исход!$A:$A,Z$1,Исход!$B:$B,$A47)+
SUMIFS(Исход!$I:$I,Исход!$A:$A,Z$1,Исход!$B:$B,$A47)-
SUMIFS(Исход!$L:$L,Исход!$A:$A,Z$1,Исход!$B:$B,$A47)</f>
        <v>0</v>
      </c>
      <c r="AA47" s="136">
        <f>SUMIFS(Исход!$D:$D,Исход!$A:$A,AA$1,Исход!$B:$B,$A47)+
SUMIFS(Исход!$G:$G,Исход!$A:$A,AA$1,Исход!$B:$B,$A47)+
SUMIFS(Исход!$H:$H,Исход!$A:$A,AA$1,Исход!$B:$B,$A47)+
SUMIFS(Исход!$I:$I,Исход!$A:$A,AA$1,Исход!$B:$B,$A47)-
SUMIFS(Исход!$L:$L,Исход!$A:$A,AA$1,Исход!$B:$B,$A47)</f>
        <v>0</v>
      </c>
      <c r="AB47" s="136">
        <f>SUMIFS(Исход!$D:$D,Исход!$A:$A,AB$1,Исход!$B:$B,$A47)+
SUMIFS(Исход!$G:$G,Исход!$A:$A,AB$1,Исход!$B:$B,$A47)+
SUMIFS(Исход!$H:$H,Исход!$A:$A,AB$1,Исход!$B:$B,$A47)+
SUMIFS(Исход!$I:$I,Исход!$A:$A,AB$1,Исход!$B:$B,$A47)-
SUMIFS(Исход!$L:$L,Исход!$A:$A,AB$1,Исход!$B:$B,$A47)</f>
        <v>0</v>
      </c>
      <c r="AC47" s="136">
        <f>SUMIFS(Исход!$D:$D,Исход!$A:$A,AC$1,Исход!$B:$B,$A47)+
SUMIFS(Исход!$G:$G,Исход!$A:$A,AC$1,Исход!$B:$B,$A47)+
SUMIFS(Исход!$H:$H,Исход!$A:$A,AC$1,Исход!$B:$B,$A47)+
SUMIFS(Исход!$I:$I,Исход!$A:$A,AC$1,Исход!$B:$B,$A47)-
SUMIFS(Исход!$L:$L,Исход!$A:$A,AC$1,Исход!$B:$B,$A47)</f>
        <v>0</v>
      </c>
      <c r="AD47" s="136">
        <f>SUMIFS(Исход!$D:$D,Исход!$A:$A,AD$1,Исход!$B:$B,$A47)+
SUMIFS(Исход!$G:$G,Исход!$A:$A,AD$1,Исход!$B:$B,$A47)+
SUMIFS(Исход!$H:$H,Исход!$A:$A,AD$1,Исход!$B:$B,$A47)+
SUMIFS(Исход!$I:$I,Исход!$A:$A,AD$1,Исход!$B:$B,$A47)-
SUMIFS(Исход!$L:$L,Исход!$A:$A,AD$1,Исход!$B:$B,$A47)</f>
        <v>0</v>
      </c>
      <c r="AE47" s="136">
        <f>SUMIFS(Исход!$D:$D,Исход!$A:$A,AE$1,Исход!$B:$B,$A47)+
SUMIFS(Исход!$G:$G,Исход!$A:$A,AE$1,Исход!$B:$B,$A47)+
SUMIFS(Исход!$H:$H,Исход!$A:$A,AE$1,Исход!$B:$B,$A47)+
SUMIFS(Исход!$I:$I,Исход!$A:$A,AE$1,Исход!$B:$B,$A47)-
SUMIFS(Исход!$L:$L,Исход!$A:$A,AE$1,Исход!$B:$B,$A47)</f>
        <v>0</v>
      </c>
      <c r="AF47" s="136">
        <f>SUMIFS(Исход!$D:$D,Исход!$A:$A,AF$1,Исход!$B:$B,$A47)+
SUMIFS(Исход!$G:$G,Исход!$A:$A,AF$1,Исход!$B:$B,$A47)+
SUMIFS(Исход!$H:$H,Исход!$A:$A,AF$1,Исход!$B:$B,$A47)+
SUMIFS(Исход!$I:$I,Исход!$A:$A,AF$1,Исход!$B:$B,$A47)-
SUMIFS(Исход!$L:$L,Исход!$A:$A,AF$1,Исход!$B:$B,$A47)</f>
        <v>0</v>
      </c>
      <c r="AG47" s="137">
        <f>SUMIFS(Исход!$D:$D,Исход!$A:$A,AG$1,Исход!$B:$B,$A47)+
SUMIFS(Исход!$G:$G,Исход!$A:$A,AG$1,Исход!$B:$B,$A47)+
SUMIFS(Исход!$H:$H,Исход!$A:$A,AG$1,Исход!$B:$B,$A47)+
SUMIFS(Исход!$I:$I,Исход!$A:$A,AG$1,Исход!$B:$B,$A47)-
SUMIFS(Исход!$L:$L,Исход!$A:$A,AG$1,Исход!$B:$B,$A47)</f>
        <v>0</v>
      </c>
    </row>
    <row r="48" spans="1:33" hidden="1" outlineLevel="1" x14ac:dyDescent="0.25">
      <c r="A48" s="108">
        <v>0.91666666666666663</v>
      </c>
      <c r="B48" s="125">
        <v>0.9375</v>
      </c>
      <c r="C48" s="126">
        <f>SUMIFS(Исход!$D:$D,Исход!$A:$A,C$1,Исход!$B:$B,$A48)+
SUMIFS(Исход!$G:$G,Исход!$A:$A,C$1,Исход!$B:$B,$A48)+
SUMIFS(Исход!$H:$H,Исход!$A:$A,C$1,Исход!$B:$B,$A48)+
SUMIFS(Исход!$I:$I,Исход!$A:$A,C$1,Исход!$B:$B,$A48)-
SUMIFS(Исход!$L:$L,Исход!$A:$A,C$1,Исход!$B:$B,$A48)</f>
        <v>0</v>
      </c>
      <c r="D48" s="127">
        <f>SUMIFS(Исход!$D:$D,Исход!$A:$A,D$1,Исход!$B:$B,$A48)+
SUMIFS(Исход!$G:$G,Исход!$A:$A,D$1,Исход!$B:$B,$A48)+
SUMIFS(Исход!$H:$H,Исход!$A:$A,D$1,Исход!$B:$B,$A48)+
SUMIFS(Исход!$I:$I,Исход!$A:$A,D$1,Исход!$B:$B,$A48)-
SUMIFS(Исход!$L:$L,Исход!$A:$A,D$1,Исход!$B:$B,$A48)</f>
        <v>0</v>
      </c>
      <c r="E48" s="127">
        <f>SUMIFS(Исход!$D:$D,Исход!$A:$A,E$1,Исход!$B:$B,$A48)+
SUMIFS(Исход!$G:$G,Исход!$A:$A,E$1,Исход!$B:$B,$A48)+
SUMIFS(Исход!$H:$H,Исход!$A:$A,E$1,Исход!$B:$B,$A48)+
SUMIFS(Исход!$I:$I,Исход!$A:$A,E$1,Исход!$B:$B,$A48)-
SUMIFS(Исход!$L:$L,Исход!$A:$A,E$1,Исход!$B:$B,$A48)</f>
        <v>0</v>
      </c>
      <c r="F48" s="127">
        <f>SUMIFS(Исход!$D:$D,Исход!$A:$A,F$1,Исход!$B:$B,$A48)+
SUMIFS(Исход!$G:$G,Исход!$A:$A,F$1,Исход!$B:$B,$A48)+
SUMIFS(Исход!$H:$H,Исход!$A:$A,F$1,Исход!$B:$B,$A48)+
SUMIFS(Исход!$I:$I,Исход!$A:$A,F$1,Исход!$B:$B,$A48)-
SUMIFS(Исход!$L:$L,Исход!$A:$A,F$1,Исход!$B:$B,$A48)</f>
        <v>0</v>
      </c>
      <c r="G48" s="127">
        <f>SUMIFS(Исход!$D:$D,Исход!$A:$A,G$1,Исход!$B:$B,$A48)+
SUMIFS(Исход!$G:$G,Исход!$A:$A,G$1,Исход!$B:$B,$A48)+
SUMIFS(Исход!$H:$H,Исход!$A:$A,G$1,Исход!$B:$B,$A48)+
SUMIFS(Исход!$I:$I,Исход!$A:$A,G$1,Исход!$B:$B,$A48)-
SUMIFS(Исход!$L:$L,Исход!$A:$A,G$1,Исход!$B:$B,$A48)</f>
        <v>0</v>
      </c>
      <c r="H48" s="127">
        <f>SUMIFS(Исход!$D:$D,Исход!$A:$A,H$1,Исход!$B:$B,$A48)+
SUMIFS(Исход!$G:$G,Исход!$A:$A,H$1,Исход!$B:$B,$A48)+
SUMIFS(Исход!$H:$H,Исход!$A:$A,H$1,Исход!$B:$B,$A48)+
SUMIFS(Исход!$I:$I,Исход!$A:$A,H$1,Исход!$B:$B,$A48)-
SUMIFS(Исход!$L:$L,Исход!$A:$A,H$1,Исход!$B:$B,$A48)</f>
        <v>0</v>
      </c>
      <c r="I48" s="127">
        <f>SUMIFS(Исход!$D:$D,Исход!$A:$A,I$1,Исход!$B:$B,$A48)+
SUMIFS(Исход!$G:$G,Исход!$A:$A,I$1,Исход!$B:$B,$A48)+
SUMIFS(Исход!$H:$H,Исход!$A:$A,I$1,Исход!$B:$B,$A48)+
SUMIFS(Исход!$I:$I,Исход!$A:$A,I$1,Исход!$B:$B,$A48)-
SUMIFS(Исход!$L:$L,Исход!$A:$A,I$1,Исход!$B:$B,$A48)</f>
        <v>0</v>
      </c>
      <c r="J48" s="127">
        <f>SUMIFS(Исход!$D:$D,Исход!$A:$A,J$1,Исход!$B:$B,$A48)+
SUMIFS(Исход!$G:$G,Исход!$A:$A,J$1,Исход!$B:$B,$A48)+
SUMIFS(Исход!$H:$H,Исход!$A:$A,J$1,Исход!$B:$B,$A48)+
SUMIFS(Исход!$I:$I,Исход!$A:$A,J$1,Исход!$B:$B,$A48)-
SUMIFS(Исход!$L:$L,Исход!$A:$A,J$1,Исход!$B:$B,$A48)</f>
        <v>0</v>
      </c>
      <c r="K48" s="127">
        <f>SUMIFS(Исход!$D:$D,Исход!$A:$A,K$1,Исход!$B:$B,$A48)+
SUMIFS(Исход!$G:$G,Исход!$A:$A,K$1,Исход!$B:$B,$A48)+
SUMIFS(Исход!$H:$H,Исход!$A:$A,K$1,Исход!$B:$B,$A48)+
SUMIFS(Исход!$I:$I,Исход!$A:$A,K$1,Исход!$B:$B,$A48)-
SUMIFS(Исход!$L:$L,Исход!$A:$A,K$1,Исход!$B:$B,$A48)</f>
        <v>0</v>
      </c>
      <c r="L48" s="127">
        <f>SUMIFS(Исход!$D:$D,Исход!$A:$A,L$1,Исход!$B:$B,$A48)+
SUMIFS(Исход!$G:$G,Исход!$A:$A,L$1,Исход!$B:$B,$A48)+
SUMIFS(Исход!$H:$H,Исход!$A:$A,L$1,Исход!$B:$B,$A48)+
SUMIFS(Исход!$I:$I,Исход!$A:$A,L$1,Исход!$B:$B,$A48)-
SUMIFS(Исход!$L:$L,Исход!$A:$A,L$1,Исход!$B:$B,$A48)</f>
        <v>0</v>
      </c>
      <c r="M48" s="127">
        <f>SUMIFS(Исход!$D:$D,Исход!$A:$A,M$1,Исход!$B:$B,$A48)+
SUMIFS(Исход!$G:$G,Исход!$A:$A,M$1,Исход!$B:$B,$A48)+
SUMIFS(Исход!$H:$H,Исход!$A:$A,M$1,Исход!$B:$B,$A48)+
SUMIFS(Исход!$I:$I,Исход!$A:$A,M$1,Исход!$B:$B,$A48)-
SUMIFS(Исход!$L:$L,Исход!$A:$A,M$1,Исход!$B:$B,$A48)</f>
        <v>0</v>
      </c>
      <c r="N48" s="127">
        <f>SUMIFS(Исход!$D:$D,Исход!$A:$A,N$1,Исход!$B:$B,$A48)+
SUMIFS(Исход!$G:$G,Исход!$A:$A,N$1,Исход!$B:$B,$A48)+
SUMIFS(Исход!$H:$H,Исход!$A:$A,N$1,Исход!$B:$B,$A48)+
SUMIFS(Исход!$I:$I,Исход!$A:$A,N$1,Исход!$B:$B,$A48)-
SUMIFS(Исход!$L:$L,Исход!$A:$A,N$1,Исход!$B:$B,$A48)</f>
        <v>0</v>
      </c>
      <c r="O48" s="127">
        <f>SUMIFS(Исход!$D:$D,Исход!$A:$A,O$1,Исход!$B:$B,$A48)+
SUMIFS(Исход!$G:$G,Исход!$A:$A,O$1,Исход!$B:$B,$A48)+
SUMIFS(Исход!$H:$H,Исход!$A:$A,O$1,Исход!$B:$B,$A48)+
SUMIFS(Исход!$I:$I,Исход!$A:$A,O$1,Исход!$B:$B,$A48)-
SUMIFS(Исход!$L:$L,Исход!$A:$A,O$1,Исход!$B:$B,$A48)</f>
        <v>0</v>
      </c>
      <c r="P48" s="127">
        <f>SUMIFS(Исход!$D:$D,Исход!$A:$A,P$1,Исход!$B:$B,$A48)+
SUMIFS(Исход!$G:$G,Исход!$A:$A,P$1,Исход!$B:$B,$A48)+
SUMIFS(Исход!$H:$H,Исход!$A:$A,P$1,Исход!$B:$B,$A48)+
SUMIFS(Исход!$I:$I,Исход!$A:$A,P$1,Исход!$B:$B,$A48)-
SUMIFS(Исход!$L:$L,Исход!$A:$A,P$1,Исход!$B:$B,$A48)</f>
        <v>0</v>
      </c>
      <c r="Q48" s="127">
        <f>SUMIFS(Исход!$D:$D,Исход!$A:$A,Q$1,Исход!$B:$B,$A48)+
SUMIFS(Исход!$G:$G,Исход!$A:$A,Q$1,Исход!$B:$B,$A48)+
SUMIFS(Исход!$H:$H,Исход!$A:$A,Q$1,Исход!$B:$B,$A48)+
SUMIFS(Исход!$I:$I,Исход!$A:$A,Q$1,Исход!$B:$B,$A48)-
SUMIFS(Исход!$L:$L,Исход!$A:$A,Q$1,Исход!$B:$B,$A48)</f>
        <v>0</v>
      </c>
      <c r="R48" s="127">
        <f>SUMIFS(Исход!$D:$D,Исход!$A:$A,R$1,Исход!$B:$B,$A48)+
SUMIFS(Исход!$G:$G,Исход!$A:$A,R$1,Исход!$B:$B,$A48)+
SUMIFS(Исход!$H:$H,Исход!$A:$A,R$1,Исход!$B:$B,$A48)+
SUMIFS(Исход!$I:$I,Исход!$A:$A,R$1,Исход!$B:$B,$A48)-
SUMIFS(Исход!$L:$L,Исход!$A:$A,R$1,Исход!$B:$B,$A48)</f>
        <v>0</v>
      </c>
      <c r="S48" s="127">
        <f>SUMIFS(Исход!$D:$D,Исход!$A:$A,S$1,Исход!$B:$B,$A48)+
SUMIFS(Исход!$G:$G,Исход!$A:$A,S$1,Исход!$B:$B,$A48)+
SUMIFS(Исход!$H:$H,Исход!$A:$A,S$1,Исход!$B:$B,$A48)+
SUMIFS(Исход!$I:$I,Исход!$A:$A,S$1,Исход!$B:$B,$A48)-
SUMIFS(Исход!$L:$L,Исход!$A:$A,S$1,Исход!$B:$B,$A48)</f>
        <v>0</v>
      </c>
      <c r="T48" s="127">
        <f>SUMIFS(Исход!$D:$D,Исход!$A:$A,T$1,Исход!$B:$B,$A48)+
SUMIFS(Исход!$G:$G,Исход!$A:$A,T$1,Исход!$B:$B,$A48)+
SUMIFS(Исход!$H:$H,Исход!$A:$A,T$1,Исход!$B:$B,$A48)+
SUMIFS(Исход!$I:$I,Исход!$A:$A,T$1,Исход!$B:$B,$A48)-
SUMIFS(Исход!$L:$L,Исход!$A:$A,T$1,Исход!$B:$B,$A48)</f>
        <v>0</v>
      </c>
      <c r="U48" s="127">
        <f>SUMIFS(Исход!$D:$D,Исход!$A:$A,U$1,Исход!$B:$B,$A48)+
SUMIFS(Исход!$G:$G,Исход!$A:$A,U$1,Исход!$B:$B,$A48)+
SUMIFS(Исход!$H:$H,Исход!$A:$A,U$1,Исход!$B:$B,$A48)+
SUMIFS(Исход!$I:$I,Исход!$A:$A,U$1,Исход!$B:$B,$A48)-
SUMIFS(Исход!$L:$L,Исход!$A:$A,U$1,Исход!$B:$B,$A48)</f>
        <v>0</v>
      </c>
      <c r="V48" s="127">
        <f>SUMIFS(Исход!$D:$D,Исход!$A:$A,V$1,Исход!$B:$B,$A48)+
SUMIFS(Исход!$G:$G,Исход!$A:$A,V$1,Исход!$B:$B,$A48)+
SUMIFS(Исход!$H:$H,Исход!$A:$A,V$1,Исход!$B:$B,$A48)+
SUMIFS(Исход!$I:$I,Исход!$A:$A,V$1,Исход!$B:$B,$A48)-
SUMIFS(Исход!$L:$L,Исход!$A:$A,V$1,Исход!$B:$B,$A48)</f>
        <v>0</v>
      </c>
      <c r="W48" s="127">
        <f>SUMIFS(Исход!$D:$D,Исход!$A:$A,W$1,Исход!$B:$B,$A48)+
SUMIFS(Исход!$G:$G,Исход!$A:$A,W$1,Исход!$B:$B,$A48)+
SUMIFS(Исход!$H:$H,Исход!$A:$A,W$1,Исход!$B:$B,$A48)+
SUMIFS(Исход!$I:$I,Исход!$A:$A,W$1,Исход!$B:$B,$A48)-
SUMIFS(Исход!$L:$L,Исход!$A:$A,W$1,Исход!$B:$B,$A48)</f>
        <v>0</v>
      </c>
      <c r="X48" s="127">
        <f>SUMIFS(Исход!$D:$D,Исход!$A:$A,X$1,Исход!$B:$B,$A48)+
SUMIFS(Исход!$G:$G,Исход!$A:$A,X$1,Исход!$B:$B,$A48)+
SUMIFS(Исход!$H:$H,Исход!$A:$A,X$1,Исход!$B:$B,$A48)+
SUMIFS(Исход!$I:$I,Исход!$A:$A,X$1,Исход!$B:$B,$A48)-
SUMIFS(Исход!$L:$L,Исход!$A:$A,X$1,Исход!$B:$B,$A48)</f>
        <v>0</v>
      </c>
      <c r="Y48" s="127">
        <f>SUMIFS(Исход!$D:$D,Исход!$A:$A,Y$1,Исход!$B:$B,$A48)+
SUMIFS(Исход!$G:$G,Исход!$A:$A,Y$1,Исход!$B:$B,$A48)+
SUMIFS(Исход!$H:$H,Исход!$A:$A,Y$1,Исход!$B:$B,$A48)+
SUMIFS(Исход!$I:$I,Исход!$A:$A,Y$1,Исход!$B:$B,$A48)-
SUMIFS(Исход!$L:$L,Исход!$A:$A,Y$1,Исход!$B:$B,$A48)</f>
        <v>0</v>
      </c>
      <c r="Z48" s="127">
        <f>SUMIFS(Исход!$D:$D,Исход!$A:$A,Z$1,Исход!$B:$B,$A48)+
SUMIFS(Исход!$G:$G,Исход!$A:$A,Z$1,Исход!$B:$B,$A48)+
SUMIFS(Исход!$H:$H,Исход!$A:$A,Z$1,Исход!$B:$B,$A48)+
SUMIFS(Исход!$I:$I,Исход!$A:$A,Z$1,Исход!$B:$B,$A48)-
SUMIFS(Исход!$L:$L,Исход!$A:$A,Z$1,Исход!$B:$B,$A48)</f>
        <v>0</v>
      </c>
      <c r="AA48" s="127">
        <f>SUMIFS(Исход!$D:$D,Исход!$A:$A,AA$1,Исход!$B:$B,$A48)+
SUMIFS(Исход!$G:$G,Исход!$A:$A,AA$1,Исход!$B:$B,$A48)+
SUMIFS(Исход!$H:$H,Исход!$A:$A,AA$1,Исход!$B:$B,$A48)+
SUMIFS(Исход!$I:$I,Исход!$A:$A,AA$1,Исход!$B:$B,$A48)-
SUMIFS(Исход!$L:$L,Исход!$A:$A,AA$1,Исход!$B:$B,$A48)</f>
        <v>0</v>
      </c>
      <c r="AB48" s="127">
        <f>SUMIFS(Исход!$D:$D,Исход!$A:$A,AB$1,Исход!$B:$B,$A48)+
SUMIFS(Исход!$G:$G,Исход!$A:$A,AB$1,Исход!$B:$B,$A48)+
SUMIFS(Исход!$H:$H,Исход!$A:$A,AB$1,Исход!$B:$B,$A48)+
SUMIFS(Исход!$I:$I,Исход!$A:$A,AB$1,Исход!$B:$B,$A48)-
SUMIFS(Исход!$L:$L,Исход!$A:$A,AB$1,Исход!$B:$B,$A48)</f>
        <v>0</v>
      </c>
      <c r="AC48" s="127">
        <f>SUMIFS(Исход!$D:$D,Исход!$A:$A,AC$1,Исход!$B:$B,$A48)+
SUMIFS(Исход!$G:$G,Исход!$A:$A,AC$1,Исход!$B:$B,$A48)+
SUMIFS(Исход!$H:$H,Исход!$A:$A,AC$1,Исход!$B:$B,$A48)+
SUMIFS(Исход!$I:$I,Исход!$A:$A,AC$1,Исход!$B:$B,$A48)-
SUMIFS(Исход!$L:$L,Исход!$A:$A,AC$1,Исход!$B:$B,$A48)</f>
        <v>0</v>
      </c>
      <c r="AD48" s="127">
        <f>SUMIFS(Исход!$D:$D,Исход!$A:$A,AD$1,Исход!$B:$B,$A48)+
SUMIFS(Исход!$G:$G,Исход!$A:$A,AD$1,Исход!$B:$B,$A48)+
SUMIFS(Исход!$H:$H,Исход!$A:$A,AD$1,Исход!$B:$B,$A48)+
SUMIFS(Исход!$I:$I,Исход!$A:$A,AD$1,Исход!$B:$B,$A48)-
SUMIFS(Исход!$L:$L,Исход!$A:$A,AD$1,Исход!$B:$B,$A48)</f>
        <v>0</v>
      </c>
      <c r="AE48" s="127">
        <f>SUMIFS(Исход!$D:$D,Исход!$A:$A,AE$1,Исход!$B:$B,$A48)+
SUMIFS(Исход!$G:$G,Исход!$A:$A,AE$1,Исход!$B:$B,$A48)+
SUMIFS(Исход!$H:$H,Исход!$A:$A,AE$1,Исход!$B:$B,$A48)+
SUMIFS(Исход!$I:$I,Исход!$A:$A,AE$1,Исход!$B:$B,$A48)-
SUMIFS(Исход!$L:$L,Исход!$A:$A,AE$1,Исход!$B:$B,$A48)</f>
        <v>0</v>
      </c>
      <c r="AF48" s="127">
        <f>SUMIFS(Исход!$D:$D,Исход!$A:$A,AF$1,Исход!$B:$B,$A48)+
SUMIFS(Исход!$G:$G,Исход!$A:$A,AF$1,Исход!$B:$B,$A48)+
SUMIFS(Исход!$H:$H,Исход!$A:$A,AF$1,Исход!$B:$B,$A48)+
SUMIFS(Исход!$I:$I,Исход!$A:$A,AF$1,Исход!$B:$B,$A48)-
SUMIFS(Исход!$L:$L,Исход!$A:$A,AF$1,Исход!$B:$B,$A48)</f>
        <v>0</v>
      </c>
      <c r="AG48" s="127">
        <f>SUMIFS(Исход!$D:$D,Исход!$A:$A,AG$1,Исход!$B:$B,$A48)+
SUMIFS(Исход!$G:$G,Исход!$A:$A,AG$1,Исход!$B:$B,$A48)+
SUMIFS(Исход!$H:$H,Исход!$A:$A,AG$1,Исход!$B:$B,$A48)+
SUMIFS(Исход!$I:$I,Исход!$A:$A,AG$1,Исход!$B:$B,$A48)-
SUMIFS(Исход!$L:$L,Исход!$A:$A,AG$1,Исход!$B:$B,$A48)</f>
        <v>0</v>
      </c>
    </row>
    <row r="49" spans="1:33" hidden="1" outlineLevel="1" x14ac:dyDescent="0.25">
      <c r="A49" s="102">
        <v>0.9375</v>
      </c>
      <c r="B49" s="128">
        <v>0.95833333333333337</v>
      </c>
      <c r="C49" s="129">
        <f>SUMIFS(Исход!$D:$D,Исход!$A:$A,C$1,Исход!$B:$B,$A49)+
SUMIFS(Исход!$G:$G,Исход!$A:$A,C$1,Исход!$B:$B,$A49)+
SUMIFS(Исход!$H:$H,Исход!$A:$A,C$1,Исход!$B:$B,$A49)+
SUMIFS(Исход!$I:$I,Исход!$A:$A,C$1,Исход!$B:$B,$A49)-
SUMIFS(Исход!$L:$L,Исход!$A:$A,C$1,Исход!$B:$B,$A49)</f>
        <v>0</v>
      </c>
      <c r="D49" s="130">
        <f>SUMIFS(Исход!$D:$D,Исход!$A:$A,D$1,Исход!$B:$B,$A49)+
SUMIFS(Исход!$G:$G,Исход!$A:$A,D$1,Исход!$B:$B,$A49)+
SUMIFS(Исход!$H:$H,Исход!$A:$A,D$1,Исход!$B:$B,$A49)+
SUMIFS(Исход!$I:$I,Исход!$A:$A,D$1,Исход!$B:$B,$A49)-
SUMIFS(Исход!$L:$L,Исход!$A:$A,D$1,Исход!$B:$B,$A49)</f>
        <v>0</v>
      </c>
      <c r="E49" s="130">
        <f>SUMIFS(Исход!$D:$D,Исход!$A:$A,E$1,Исход!$B:$B,$A49)+
SUMIFS(Исход!$G:$G,Исход!$A:$A,E$1,Исход!$B:$B,$A49)+
SUMIFS(Исход!$H:$H,Исход!$A:$A,E$1,Исход!$B:$B,$A49)+
SUMIFS(Исход!$I:$I,Исход!$A:$A,E$1,Исход!$B:$B,$A49)-
SUMIFS(Исход!$L:$L,Исход!$A:$A,E$1,Исход!$B:$B,$A49)</f>
        <v>0</v>
      </c>
      <c r="F49" s="130">
        <f>SUMIFS(Исход!$D:$D,Исход!$A:$A,F$1,Исход!$B:$B,$A49)+
SUMIFS(Исход!$G:$G,Исход!$A:$A,F$1,Исход!$B:$B,$A49)+
SUMIFS(Исход!$H:$H,Исход!$A:$A,F$1,Исход!$B:$B,$A49)+
SUMIFS(Исход!$I:$I,Исход!$A:$A,F$1,Исход!$B:$B,$A49)-
SUMIFS(Исход!$L:$L,Исход!$A:$A,F$1,Исход!$B:$B,$A49)</f>
        <v>0</v>
      </c>
      <c r="G49" s="130">
        <f>SUMIFS(Исход!$D:$D,Исход!$A:$A,G$1,Исход!$B:$B,$A49)+
SUMIFS(Исход!$G:$G,Исход!$A:$A,G$1,Исход!$B:$B,$A49)+
SUMIFS(Исход!$H:$H,Исход!$A:$A,G$1,Исход!$B:$B,$A49)+
SUMIFS(Исход!$I:$I,Исход!$A:$A,G$1,Исход!$B:$B,$A49)-
SUMIFS(Исход!$L:$L,Исход!$A:$A,G$1,Исход!$B:$B,$A49)</f>
        <v>0</v>
      </c>
      <c r="H49" s="130">
        <f>SUMIFS(Исход!$D:$D,Исход!$A:$A,H$1,Исход!$B:$B,$A49)+
SUMIFS(Исход!$G:$G,Исход!$A:$A,H$1,Исход!$B:$B,$A49)+
SUMIFS(Исход!$H:$H,Исход!$A:$A,H$1,Исход!$B:$B,$A49)+
SUMIFS(Исход!$I:$I,Исход!$A:$A,H$1,Исход!$B:$B,$A49)-
SUMIFS(Исход!$L:$L,Исход!$A:$A,H$1,Исход!$B:$B,$A49)</f>
        <v>0</v>
      </c>
      <c r="I49" s="130">
        <f>SUMIFS(Исход!$D:$D,Исход!$A:$A,I$1,Исход!$B:$B,$A49)+
SUMIFS(Исход!$G:$G,Исход!$A:$A,I$1,Исход!$B:$B,$A49)+
SUMIFS(Исход!$H:$H,Исход!$A:$A,I$1,Исход!$B:$B,$A49)+
SUMIFS(Исход!$I:$I,Исход!$A:$A,I$1,Исход!$B:$B,$A49)-
SUMIFS(Исход!$L:$L,Исход!$A:$A,I$1,Исход!$B:$B,$A49)</f>
        <v>0</v>
      </c>
      <c r="J49" s="130">
        <f>SUMIFS(Исход!$D:$D,Исход!$A:$A,J$1,Исход!$B:$B,$A49)+
SUMIFS(Исход!$G:$G,Исход!$A:$A,J$1,Исход!$B:$B,$A49)+
SUMIFS(Исход!$H:$H,Исход!$A:$A,J$1,Исход!$B:$B,$A49)+
SUMIFS(Исход!$I:$I,Исход!$A:$A,J$1,Исход!$B:$B,$A49)-
SUMIFS(Исход!$L:$L,Исход!$A:$A,J$1,Исход!$B:$B,$A49)</f>
        <v>0</v>
      </c>
      <c r="K49" s="130">
        <f>SUMIFS(Исход!$D:$D,Исход!$A:$A,K$1,Исход!$B:$B,$A49)+
SUMIFS(Исход!$G:$G,Исход!$A:$A,K$1,Исход!$B:$B,$A49)+
SUMIFS(Исход!$H:$H,Исход!$A:$A,K$1,Исход!$B:$B,$A49)+
SUMIFS(Исход!$I:$I,Исход!$A:$A,K$1,Исход!$B:$B,$A49)-
SUMIFS(Исход!$L:$L,Исход!$A:$A,K$1,Исход!$B:$B,$A49)</f>
        <v>0</v>
      </c>
      <c r="L49" s="130">
        <f>SUMIFS(Исход!$D:$D,Исход!$A:$A,L$1,Исход!$B:$B,$A49)+
SUMIFS(Исход!$G:$G,Исход!$A:$A,L$1,Исход!$B:$B,$A49)+
SUMIFS(Исход!$H:$H,Исход!$A:$A,L$1,Исход!$B:$B,$A49)+
SUMIFS(Исход!$I:$I,Исход!$A:$A,L$1,Исход!$B:$B,$A49)-
SUMIFS(Исход!$L:$L,Исход!$A:$A,L$1,Исход!$B:$B,$A49)</f>
        <v>0</v>
      </c>
      <c r="M49" s="130">
        <f>SUMIFS(Исход!$D:$D,Исход!$A:$A,M$1,Исход!$B:$B,$A49)+
SUMIFS(Исход!$G:$G,Исход!$A:$A,M$1,Исход!$B:$B,$A49)+
SUMIFS(Исход!$H:$H,Исход!$A:$A,M$1,Исход!$B:$B,$A49)+
SUMIFS(Исход!$I:$I,Исход!$A:$A,M$1,Исход!$B:$B,$A49)-
SUMIFS(Исход!$L:$L,Исход!$A:$A,M$1,Исход!$B:$B,$A49)</f>
        <v>0</v>
      </c>
      <c r="N49" s="130">
        <f>SUMIFS(Исход!$D:$D,Исход!$A:$A,N$1,Исход!$B:$B,$A49)+
SUMIFS(Исход!$G:$G,Исход!$A:$A,N$1,Исход!$B:$B,$A49)+
SUMIFS(Исход!$H:$H,Исход!$A:$A,N$1,Исход!$B:$B,$A49)+
SUMIFS(Исход!$I:$I,Исход!$A:$A,N$1,Исход!$B:$B,$A49)-
SUMIFS(Исход!$L:$L,Исход!$A:$A,N$1,Исход!$B:$B,$A49)</f>
        <v>0</v>
      </c>
      <c r="O49" s="130">
        <f>SUMIFS(Исход!$D:$D,Исход!$A:$A,O$1,Исход!$B:$B,$A49)+
SUMIFS(Исход!$G:$G,Исход!$A:$A,O$1,Исход!$B:$B,$A49)+
SUMIFS(Исход!$H:$H,Исход!$A:$A,O$1,Исход!$B:$B,$A49)+
SUMIFS(Исход!$I:$I,Исход!$A:$A,O$1,Исход!$B:$B,$A49)-
SUMIFS(Исход!$L:$L,Исход!$A:$A,O$1,Исход!$B:$B,$A49)</f>
        <v>0</v>
      </c>
      <c r="P49" s="130">
        <f>SUMIFS(Исход!$D:$D,Исход!$A:$A,P$1,Исход!$B:$B,$A49)+
SUMIFS(Исход!$G:$G,Исход!$A:$A,P$1,Исход!$B:$B,$A49)+
SUMIFS(Исход!$H:$H,Исход!$A:$A,P$1,Исход!$B:$B,$A49)+
SUMIFS(Исход!$I:$I,Исход!$A:$A,P$1,Исход!$B:$B,$A49)-
SUMIFS(Исход!$L:$L,Исход!$A:$A,P$1,Исход!$B:$B,$A49)</f>
        <v>0</v>
      </c>
      <c r="Q49" s="130">
        <f>SUMIFS(Исход!$D:$D,Исход!$A:$A,Q$1,Исход!$B:$B,$A49)+
SUMIFS(Исход!$G:$G,Исход!$A:$A,Q$1,Исход!$B:$B,$A49)+
SUMIFS(Исход!$H:$H,Исход!$A:$A,Q$1,Исход!$B:$B,$A49)+
SUMIFS(Исход!$I:$I,Исход!$A:$A,Q$1,Исход!$B:$B,$A49)-
SUMIFS(Исход!$L:$L,Исход!$A:$A,Q$1,Исход!$B:$B,$A49)</f>
        <v>0</v>
      </c>
      <c r="R49" s="130">
        <f>SUMIFS(Исход!$D:$D,Исход!$A:$A,R$1,Исход!$B:$B,$A49)+
SUMIFS(Исход!$G:$G,Исход!$A:$A,R$1,Исход!$B:$B,$A49)+
SUMIFS(Исход!$H:$H,Исход!$A:$A,R$1,Исход!$B:$B,$A49)+
SUMIFS(Исход!$I:$I,Исход!$A:$A,R$1,Исход!$B:$B,$A49)-
SUMIFS(Исход!$L:$L,Исход!$A:$A,R$1,Исход!$B:$B,$A49)</f>
        <v>0</v>
      </c>
      <c r="S49" s="130">
        <f>SUMIFS(Исход!$D:$D,Исход!$A:$A,S$1,Исход!$B:$B,$A49)+
SUMIFS(Исход!$G:$G,Исход!$A:$A,S$1,Исход!$B:$B,$A49)+
SUMIFS(Исход!$H:$H,Исход!$A:$A,S$1,Исход!$B:$B,$A49)+
SUMIFS(Исход!$I:$I,Исход!$A:$A,S$1,Исход!$B:$B,$A49)-
SUMIFS(Исход!$L:$L,Исход!$A:$A,S$1,Исход!$B:$B,$A49)</f>
        <v>0</v>
      </c>
      <c r="T49" s="130">
        <f>SUMIFS(Исход!$D:$D,Исход!$A:$A,T$1,Исход!$B:$B,$A49)+
SUMIFS(Исход!$G:$G,Исход!$A:$A,T$1,Исход!$B:$B,$A49)+
SUMIFS(Исход!$H:$H,Исход!$A:$A,T$1,Исход!$B:$B,$A49)+
SUMIFS(Исход!$I:$I,Исход!$A:$A,T$1,Исход!$B:$B,$A49)-
SUMIFS(Исход!$L:$L,Исход!$A:$A,T$1,Исход!$B:$B,$A49)</f>
        <v>0</v>
      </c>
      <c r="U49" s="130">
        <f>SUMIFS(Исход!$D:$D,Исход!$A:$A,U$1,Исход!$B:$B,$A49)+
SUMIFS(Исход!$G:$G,Исход!$A:$A,U$1,Исход!$B:$B,$A49)+
SUMIFS(Исход!$H:$H,Исход!$A:$A,U$1,Исход!$B:$B,$A49)+
SUMIFS(Исход!$I:$I,Исход!$A:$A,U$1,Исход!$B:$B,$A49)-
SUMIFS(Исход!$L:$L,Исход!$A:$A,U$1,Исход!$B:$B,$A49)</f>
        <v>0</v>
      </c>
      <c r="V49" s="130">
        <f>SUMIFS(Исход!$D:$D,Исход!$A:$A,V$1,Исход!$B:$B,$A49)+
SUMIFS(Исход!$G:$G,Исход!$A:$A,V$1,Исход!$B:$B,$A49)+
SUMIFS(Исход!$H:$H,Исход!$A:$A,V$1,Исход!$B:$B,$A49)+
SUMIFS(Исход!$I:$I,Исход!$A:$A,V$1,Исход!$B:$B,$A49)-
SUMIFS(Исход!$L:$L,Исход!$A:$A,V$1,Исход!$B:$B,$A49)</f>
        <v>0</v>
      </c>
      <c r="W49" s="130">
        <f>SUMIFS(Исход!$D:$D,Исход!$A:$A,W$1,Исход!$B:$B,$A49)+
SUMIFS(Исход!$G:$G,Исход!$A:$A,W$1,Исход!$B:$B,$A49)+
SUMIFS(Исход!$H:$H,Исход!$A:$A,W$1,Исход!$B:$B,$A49)+
SUMIFS(Исход!$I:$I,Исход!$A:$A,W$1,Исход!$B:$B,$A49)-
SUMIFS(Исход!$L:$L,Исход!$A:$A,W$1,Исход!$B:$B,$A49)</f>
        <v>0</v>
      </c>
      <c r="X49" s="130">
        <f>SUMIFS(Исход!$D:$D,Исход!$A:$A,X$1,Исход!$B:$B,$A49)+
SUMIFS(Исход!$G:$G,Исход!$A:$A,X$1,Исход!$B:$B,$A49)+
SUMIFS(Исход!$H:$H,Исход!$A:$A,X$1,Исход!$B:$B,$A49)+
SUMIFS(Исход!$I:$I,Исход!$A:$A,X$1,Исход!$B:$B,$A49)-
SUMIFS(Исход!$L:$L,Исход!$A:$A,X$1,Исход!$B:$B,$A49)</f>
        <v>0</v>
      </c>
      <c r="Y49" s="130">
        <f>SUMIFS(Исход!$D:$D,Исход!$A:$A,Y$1,Исход!$B:$B,$A49)+
SUMIFS(Исход!$G:$G,Исход!$A:$A,Y$1,Исход!$B:$B,$A49)+
SUMIFS(Исход!$H:$H,Исход!$A:$A,Y$1,Исход!$B:$B,$A49)+
SUMIFS(Исход!$I:$I,Исход!$A:$A,Y$1,Исход!$B:$B,$A49)-
SUMIFS(Исход!$L:$L,Исход!$A:$A,Y$1,Исход!$B:$B,$A49)</f>
        <v>0</v>
      </c>
      <c r="Z49" s="130">
        <f>SUMIFS(Исход!$D:$D,Исход!$A:$A,Z$1,Исход!$B:$B,$A49)+
SUMIFS(Исход!$G:$G,Исход!$A:$A,Z$1,Исход!$B:$B,$A49)+
SUMIFS(Исход!$H:$H,Исход!$A:$A,Z$1,Исход!$B:$B,$A49)+
SUMIFS(Исход!$I:$I,Исход!$A:$A,Z$1,Исход!$B:$B,$A49)-
SUMIFS(Исход!$L:$L,Исход!$A:$A,Z$1,Исход!$B:$B,$A49)</f>
        <v>0</v>
      </c>
      <c r="AA49" s="130">
        <f>SUMIFS(Исход!$D:$D,Исход!$A:$A,AA$1,Исход!$B:$B,$A49)+
SUMIFS(Исход!$G:$G,Исход!$A:$A,AA$1,Исход!$B:$B,$A49)+
SUMIFS(Исход!$H:$H,Исход!$A:$A,AA$1,Исход!$B:$B,$A49)+
SUMIFS(Исход!$I:$I,Исход!$A:$A,AA$1,Исход!$B:$B,$A49)-
SUMIFS(Исход!$L:$L,Исход!$A:$A,AA$1,Исход!$B:$B,$A49)</f>
        <v>0</v>
      </c>
      <c r="AB49" s="130">
        <f>SUMIFS(Исход!$D:$D,Исход!$A:$A,AB$1,Исход!$B:$B,$A49)+
SUMIFS(Исход!$G:$G,Исход!$A:$A,AB$1,Исход!$B:$B,$A49)+
SUMIFS(Исход!$H:$H,Исход!$A:$A,AB$1,Исход!$B:$B,$A49)+
SUMIFS(Исход!$I:$I,Исход!$A:$A,AB$1,Исход!$B:$B,$A49)-
SUMIFS(Исход!$L:$L,Исход!$A:$A,AB$1,Исход!$B:$B,$A49)</f>
        <v>0</v>
      </c>
      <c r="AC49" s="130">
        <f>SUMIFS(Исход!$D:$D,Исход!$A:$A,AC$1,Исход!$B:$B,$A49)+
SUMIFS(Исход!$G:$G,Исход!$A:$A,AC$1,Исход!$B:$B,$A49)+
SUMIFS(Исход!$H:$H,Исход!$A:$A,AC$1,Исход!$B:$B,$A49)+
SUMIFS(Исход!$I:$I,Исход!$A:$A,AC$1,Исход!$B:$B,$A49)-
SUMIFS(Исход!$L:$L,Исход!$A:$A,AC$1,Исход!$B:$B,$A49)</f>
        <v>0</v>
      </c>
      <c r="AD49" s="130">
        <f>SUMIFS(Исход!$D:$D,Исход!$A:$A,AD$1,Исход!$B:$B,$A49)+
SUMIFS(Исход!$G:$G,Исход!$A:$A,AD$1,Исход!$B:$B,$A49)+
SUMIFS(Исход!$H:$H,Исход!$A:$A,AD$1,Исход!$B:$B,$A49)+
SUMIFS(Исход!$I:$I,Исход!$A:$A,AD$1,Исход!$B:$B,$A49)-
SUMIFS(Исход!$L:$L,Исход!$A:$A,AD$1,Исход!$B:$B,$A49)</f>
        <v>0</v>
      </c>
      <c r="AE49" s="130">
        <f>SUMIFS(Исход!$D:$D,Исход!$A:$A,AE$1,Исход!$B:$B,$A49)+
SUMIFS(Исход!$G:$G,Исход!$A:$A,AE$1,Исход!$B:$B,$A49)+
SUMIFS(Исход!$H:$H,Исход!$A:$A,AE$1,Исход!$B:$B,$A49)+
SUMIFS(Исход!$I:$I,Исход!$A:$A,AE$1,Исход!$B:$B,$A49)-
SUMIFS(Исход!$L:$L,Исход!$A:$A,AE$1,Исход!$B:$B,$A49)</f>
        <v>0</v>
      </c>
      <c r="AF49" s="130">
        <f>SUMIFS(Исход!$D:$D,Исход!$A:$A,AF$1,Исход!$B:$B,$A49)+
SUMIFS(Исход!$G:$G,Исход!$A:$A,AF$1,Исход!$B:$B,$A49)+
SUMIFS(Исход!$H:$H,Исход!$A:$A,AF$1,Исход!$B:$B,$A49)+
SUMIFS(Исход!$I:$I,Исход!$A:$A,AF$1,Исход!$B:$B,$A49)-
SUMIFS(Исход!$L:$L,Исход!$A:$A,AF$1,Исход!$B:$B,$A49)</f>
        <v>0</v>
      </c>
      <c r="AG49" s="130">
        <f>SUMIFS(Исход!$D:$D,Исход!$A:$A,AG$1,Исход!$B:$B,$A49)+
SUMIFS(Исход!$G:$G,Исход!$A:$A,AG$1,Исход!$B:$B,$A49)+
SUMIFS(Исход!$H:$H,Исход!$A:$A,AG$1,Исход!$B:$B,$A49)+
SUMIFS(Исход!$I:$I,Исход!$A:$A,AG$1,Исход!$B:$B,$A49)-
SUMIFS(Исход!$L:$L,Исход!$A:$A,AG$1,Исход!$B:$B,$A49)</f>
        <v>0</v>
      </c>
    </row>
    <row r="50" spans="1:33" hidden="1" outlineLevel="1" x14ac:dyDescent="0.25">
      <c r="A50" s="102">
        <v>0.95833333333333337</v>
      </c>
      <c r="B50" s="128">
        <v>0.97916666666666663</v>
      </c>
      <c r="C50" s="129">
        <f>SUMIFS(Исход!$D:$D,Исход!$A:$A,C$1,Исход!$B:$B,$A50)+
SUMIFS(Исход!$G:$G,Исход!$A:$A,C$1,Исход!$B:$B,$A50)+
SUMIFS(Исход!$H:$H,Исход!$A:$A,C$1,Исход!$B:$B,$A50)+
SUMIFS(Исход!$I:$I,Исход!$A:$A,C$1,Исход!$B:$B,$A50)-
SUMIFS(Исход!$L:$L,Исход!$A:$A,C$1,Исход!$B:$B,$A50)</f>
        <v>0</v>
      </c>
      <c r="D50" s="130">
        <f>SUMIFS(Исход!$D:$D,Исход!$A:$A,D$1,Исход!$B:$B,$A50)+
SUMIFS(Исход!$G:$G,Исход!$A:$A,D$1,Исход!$B:$B,$A50)+
SUMIFS(Исход!$H:$H,Исход!$A:$A,D$1,Исход!$B:$B,$A50)+
SUMIFS(Исход!$I:$I,Исход!$A:$A,D$1,Исход!$B:$B,$A50)-
SUMIFS(Исход!$L:$L,Исход!$A:$A,D$1,Исход!$B:$B,$A50)</f>
        <v>0</v>
      </c>
      <c r="E50" s="130">
        <f>SUMIFS(Исход!$D:$D,Исход!$A:$A,E$1,Исход!$B:$B,$A50)+
SUMIFS(Исход!$G:$G,Исход!$A:$A,E$1,Исход!$B:$B,$A50)+
SUMIFS(Исход!$H:$H,Исход!$A:$A,E$1,Исход!$B:$B,$A50)+
SUMIFS(Исход!$I:$I,Исход!$A:$A,E$1,Исход!$B:$B,$A50)-
SUMIFS(Исход!$L:$L,Исход!$A:$A,E$1,Исход!$B:$B,$A50)</f>
        <v>0</v>
      </c>
      <c r="F50" s="130">
        <f>SUMIFS(Исход!$D:$D,Исход!$A:$A,F$1,Исход!$B:$B,$A50)+
SUMIFS(Исход!$G:$G,Исход!$A:$A,F$1,Исход!$B:$B,$A50)+
SUMIFS(Исход!$H:$H,Исход!$A:$A,F$1,Исход!$B:$B,$A50)+
SUMIFS(Исход!$I:$I,Исход!$A:$A,F$1,Исход!$B:$B,$A50)-
SUMIFS(Исход!$L:$L,Исход!$A:$A,F$1,Исход!$B:$B,$A50)</f>
        <v>0</v>
      </c>
      <c r="G50" s="130">
        <f>SUMIFS(Исход!$D:$D,Исход!$A:$A,G$1,Исход!$B:$B,$A50)+
SUMIFS(Исход!$G:$G,Исход!$A:$A,G$1,Исход!$B:$B,$A50)+
SUMIFS(Исход!$H:$H,Исход!$A:$A,G$1,Исход!$B:$B,$A50)+
SUMIFS(Исход!$I:$I,Исход!$A:$A,G$1,Исход!$B:$B,$A50)-
SUMIFS(Исход!$L:$L,Исход!$A:$A,G$1,Исход!$B:$B,$A50)</f>
        <v>0</v>
      </c>
      <c r="H50" s="130">
        <f>SUMIFS(Исход!$D:$D,Исход!$A:$A,H$1,Исход!$B:$B,$A50)+
SUMIFS(Исход!$G:$G,Исход!$A:$A,H$1,Исход!$B:$B,$A50)+
SUMIFS(Исход!$H:$H,Исход!$A:$A,H$1,Исход!$B:$B,$A50)+
SUMIFS(Исход!$I:$I,Исход!$A:$A,H$1,Исход!$B:$B,$A50)-
SUMIFS(Исход!$L:$L,Исход!$A:$A,H$1,Исход!$B:$B,$A50)</f>
        <v>0</v>
      </c>
      <c r="I50" s="130">
        <f>SUMIFS(Исход!$D:$D,Исход!$A:$A,I$1,Исход!$B:$B,$A50)+
SUMIFS(Исход!$G:$G,Исход!$A:$A,I$1,Исход!$B:$B,$A50)+
SUMIFS(Исход!$H:$H,Исход!$A:$A,I$1,Исход!$B:$B,$A50)+
SUMIFS(Исход!$I:$I,Исход!$A:$A,I$1,Исход!$B:$B,$A50)-
SUMIFS(Исход!$L:$L,Исход!$A:$A,I$1,Исход!$B:$B,$A50)</f>
        <v>0</v>
      </c>
      <c r="J50" s="130">
        <f>SUMIFS(Исход!$D:$D,Исход!$A:$A,J$1,Исход!$B:$B,$A50)+
SUMIFS(Исход!$G:$G,Исход!$A:$A,J$1,Исход!$B:$B,$A50)+
SUMIFS(Исход!$H:$H,Исход!$A:$A,J$1,Исход!$B:$B,$A50)+
SUMIFS(Исход!$I:$I,Исход!$A:$A,J$1,Исход!$B:$B,$A50)-
SUMIFS(Исход!$L:$L,Исход!$A:$A,J$1,Исход!$B:$B,$A50)</f>
        <v>0</v>
      </c>
      <c r="K50" s="130">
        <f>SUMIFS(Исход!$D:$D,Исход!$A:$A,K$1,Исход!$B:$B,$A50)+
SUMIFS(Исход!$G:$G,Исход!$A:$A,K$1,Исход!$B:$B,$A50)+
SUMIFS(Исход!$H:$H,Исход!$A:$A,K$1,Исход!$B:$B,$A50)+
SUMIFS(Исход!$I:$I,Исход!$A:$A,K$1,Исход!$B:$B,$A50)-
SUMIFS(Исход!$L:$L,Исход!$A:$A,K$1,Исход!$B:$B,$A50)</f>
        <v>0</v>
      </c>
      <c r="L50" s="130">
        <f>SUMIFS(Исход!$D:$D,Исход!$A:$A,L$1,Исход!$B:$B,$A50)+
SUMIFS(Исход!$G:$G,Исход!$A:$A,L$1,Исход!$B:$B,$A50)+
SUMIFS(Исход!$H:$H,Исход!$A:$A,L$1,Исход!$B:$B,$A50)+
SUMIFS(Исход!$I:$I,Исход!$A:$A,L$1,Исход!$B:$B,$A50)-
SUMIFS(Исход!$L:$L,Исход!$A:$A,L$1,Исход!$B:$B,$A50)</f>
        <v>0</v>
      </c>
      <c r="M50" s="130">
        <f>SUMIFS(Исход!$D:$D,Исход!$A:$A,M$1,Исход!$B:$B,$A50)+
SUMIFS(Исход!$G:$G,Исход!$A:$A,M$1,Исход!$B:$B,$A50)+
SUMIFS(Исход!$H:$H,Исход!$A:$A,M$1,Исход!$B:$B,$A50)+
SUMIFS(Исход!$I:$I,Исход!$A:$A,M$1,Исход!$B:$B,$A50)-
SUMIFS(Исход!$L:$L,Исход!$A:$A,M$1,Исход!$B:$B,$A50)</f>
        <v>0</v>
      </c>
      <c r="N50" s="130">
        <f>SUMIFS(Исход!$D:$D,Исход!$A:$A,N$1,Исход!$B:$B,$A50)+
SUMIFS(Исход!$G:$G,Исход!$A:$A,N$1,Исход!$B:$B,$A50)+
SUMIFS(Исход!$H:$H,Исход!$A:$A,N$1,Исход!$B:$B,$A50)+
SUMIFS(Исход!$I:$I,Исход!$A:$A,N$1,Исход!$B:$B,$A50)-
SUMIFS(Исход!$L:$L,Исход!$A:$A,N$1,Исход!$B:$B,$A50)</f>
        <v>0</v>
      </c>
      <c r="O50" s="130">
        <f>SUMIFS(Исход!$D:$D,Исход!$A:$A,O$1,Исход!$B:$B,$A50)+
SUMIFS(Исход!$G:$G,Исход!$A:$A,O$1,Исход!$B:$B,$A50)+
SUMIFS(Исход!$H:$H,Исход!$A:$A,O$1,Исход!$B:$B,$A50)+
SUMIFS(Исход!$I:$I,Исход!$A:$A,O$1,Исход!$B:$B,$A50)-
SUMIFS(Исход!$L:$L,Исход!$A:$A,O$1,Исход!$B:$B,$A50)</f>
        <v>0</v>
      </c>
      <c r="P50" s="130">
        <f>SUMIFS(Исход!$D:$D,Исход!$A:$A,P$1,Исход!$B:$B,$A50)+
SUMIFS(Исход!$G:$G,Исход!$A:$A,P$1,Исход!$B:$B,$A50)+
SUMIFS(Исход!$H:$H,Исход!$A:$A,P$1,Исход!$B:$B,$A50)+
SUMIFS(Исход!$I:$I,Исход!$A:$A,P$1,Исход!$B:$B,$A50)-
SUMIFS(Исход!$L:$L,Исход!$A:$A,P$1,Исход!$B:$B,$A50)</f>
        <v>0</v>
      </c>
      <c r="Q50" s="130">
        <f>SUMIFS(Исход!$D:$D,Исход!$A:$A,Q$1,Исход!$B:$B,$A50)+
SUMIFS(Исход!$G:$G,Исход!$A:$A,Q$1,Исход!$B:$B,$A50)+
SUMIFS(Исход!$H:$H,Исход!$A:$A,Q$1,Исход!$B:$B,$A50)+
SUMIFS(Исход!$I:$I,Исход!$A:$A,Q$1,Исход!$B:$B,$A50)-
SUMIFS(Исход!$L:$L,Исход!$A:$A,Q$1,Исход!$B:$B,$A50)</f>
        <v>0</v>
      </c>
      <c r="R50" s="130">
        <f>SUMIFS(Исход!$D:$D,Исход!$A:$A,R$1,Исход!$B:$B,$A50)+
SUMIFS(Исход!$G:$G,Исход!$A:$A,R$1,Исход!$B:$B,$A50)+
SUMIFS(Исход!$H:$H,Исход!$A:$A,R$1,Исход!$B:$B,$A50)+
SUMIFS(Исход!$I:$I,Исход!$A:$A,R$1,Исход!$B:$B,$A50)-
SUMIFS(Исход!$L:$L,Исход!$A:$A,R$1,Исход!$B:$B,$A50)</f>
        <v>0</v>
      </c>
      <c r="S50" s="130">
        <f>SUMIFS(Исход!$D:$D,Исход!$A:$A,S$1,Исход!$B:$B,$A50)+
SUMIFS(Исход!$G:$G,Исход!$A:$A,S$1,Исход!$B:$B,$A50)+
SUMIFS(Исход!$H:$H,Исход!$A:$A,S$1,Исход!$B:$B,$A50)+
SUMIFS(Исход!$I:$I,Исход!$A:$A,S$1,Исход!$B:$B,$A50)-
SUMIFS(Исход!$L:$L,Исход!$A:$A,S$1,Исход!$B:$B,$A50)</f>
        <v>0</v>
      </c>
      <c r="T50" s="130">
        <f>SUMIFS(Исход!$D:$D,Исход!$A:$A,T$1,Исход!$B:$B,$A50)+
SUMIFS(Исход!$G:$G,Исход!$A:$A,T$1,Исход!$B:$B,$A50)+
SUMIFS(Исход!$H:$H,Исход!$A:$A,T$1,Исход!$B:$B,$A50)+
SUMIFS(Исход!$I:$I,Исход!$A:$A,T$1,Исход!$B:$B,$A50)-
SUMIFS(Исход!$L:$L,Исход!$A:$A,T$1,Исход!$B:$B,$A50)</f>
        <v>0</v>
      </c>
      <c r="U50" s="130">
        <f>SUMIFS(Исход!$D:$D,Исход!$A:$A,U$1,Исход!$B:$B,$A50)+
SUMIFS(Исход!$G:$G,Исход!$A:$A,U$1,Исход!$B:$B,$A50)+
SUMIFS(Исход!$H:$H,Исход!$A:$A,U$1,Исход!$B:$B,$A50)+
SUMIFS(Исход!$I:$I,Исход!$A:$A,U$1,Исход!$B:$B,$A50)-
SUMIFS(Исход!$L:$L,Исход!$A:$A,U$1,Исход!$B:$B,$A50)</f>
        <v>0</v>
      </c>
      <c r="V50" s="130">
        <f>SUMIFS(Исход!$D:$D,Исход!$A:$A,V$1,Исход!$B:$B,$A50)+
SUMIFS(Исход!$G:$G,Исход!$A:$A,V$1,Исход!$B:$B,$A50)+
SUMIFS(Исход!$H:$H,Исход!$A:$A,V$1,Исход!$B:$B,$A50)+
SUMIFS(Исход!$I:$I,Исход!$A:$A,V$1,Исход!$B:$B,$A50)-
SUMIFS(Исход!$L:$L,Исход!$A:$A,V$1,Исход!$B:$B,$A50)</f>
        <v>0</v>
      </c>
      <c r="W50" s="130">
        <f>SUMIFS(Исход!$D:$D,Исход!$A:$A,W$1,Исход!$B:$B,$A50)+
SUMIFS(Исход!$G:$G,Исход!$A:$A,W$1,Исход!$B:$B,$A50)+
SUMIFS(Исход!$H:$H,Исход!$A:$A,W$1,Исход!$B:$B,$A50)+
SUMIFS(Исход!$I:$I,Исход!$A:$A,W$1,Исход!$B:$B,$A50)-
SUMIFS(Исход!$L:$L,Исход!$A:$A,W$1,Исход!$B:$B,$A50)</f>
        <v>0</v>
      </c>
      <c r="X50" s="130">
        <f>SUMIFS(Исход!$D:$D,Исход!$A:$A,X$1,Исход!$B:$B,$A50)+
SUMIFS(Исход!$G:$G,Исход!$A:$A,X$1,Исход!$B:$B,$A50)+
SUMIFS(Исход!$H:$H,Исход!$A:$A,X$1,Исход!$B:$B,$A50)+
SUMIFS(Исход!$I:$I,Исход!$A:$A,X$1,Исход!$B:$B,$A50)-
SUMIFS(Исход!$L:$L,Исход!$A:$A,X$1,Исход!$B:$B,$A50)</f>
        <v>0</v>
      </c>
      <c r="Y50" s="130">
        <f>SUMIFS(Исход!$D:$D,Исход!$A:$A,Y$1,Исход!$B:$B,$A50)+
SUMIFS(Исход!$G:$G,Исход!$A:$A,Y$1,Исход!$B:$B,$A50)+
SUMIFS(Исход!$H:$H,Исход!$A:$A,Y$1,Исход!$B:$B,$A50)+
SUMIFS(Исход!$I:$I,Исход!$A:$A,Y$1,Исход!$B:$B,$A50)-
SUMIFS(Исход!$L:$L,Исход!$A:$A,Y$1,Исход!$B:$B,$A50)</f>
        <v>0</v>
      </c>
      <c r="Z50" s="130">
        <f>SUMIFS(Исход!$D:$D,Исход!$A:$A,Z$1,Исход!$B:$B,$A50)+
SUMIFS(Исход!$G:$G,Исход!$A:$A,Z$1,Исход!$B:$B,$A50)+
SUMIFS(Исход!$H:$H,Исход!$A:$A,Z$1,Исход!$B:$B,$A50)+
SUMIFS(Исход!$I:$I,Исход!$A:$A,Z$1,Исход!$B:$B,$A50)-
SUMIFS(Исход!$L:$L,Исход!$A:$A,Z$1,Исход!$B:$B,$A50)</f>
        <v>0</v>
      </c>
      <c r="AA50" s="130">
        <f>SUMIFS(Исход!$D:$D,Исход!$A:$A,AA$1,Исход!$B:$B,$A50)+
SUMIFS(Исход!$G:$G,Исход!$A:$A,AA$1,Исход!$B:$B,$A50)+
SUMIFS(Исход!$H:$H,Исход!$A:$A,AA$1,Исход!$B:$B,$A50)+
SUMIFS(Исход!$I:$I,Исход!$A:$A,AA$1,Исход!$B:$B,$A50)-
SUMIFS(Исход!$L:$L,Исход!$A:$A,AA$1,Исход!$B:$B,$A50)</f>
        <v>0</v>
      </c>
      <c r="AB50" s="130">
        <f>SUMIFS(Исход!$D:$D,Исход!$A:$A,AB$1,Исход!$B:$B,$A50)+
SUMIFS(Исход!$G:$G,Исход!$A:$A,AB$1,Исход!$B:$B,$A50)+
SUMIFS(Исход!$H:$H,Исход!$A:$A,AB$1,Исход!$B:$B,$A50)+
SUMIFS(Исход!$I:$I,Исход!$A:$A,AB$1,Исход!$B:$B,$A50)-
SUMIFS(Исход!$L:$L,Исход!$A:$A,AB$1,Исход!$B:$B,$A50)</f>
        <v>0</v>
      </c>
      <c r="AC50" s="130">
        <f>SUMIFS(Исход!$D:$D,Исход!$A:$A,AC$1,Исход!$B:$B,$A50)+
SUMIFS(Исход!$G:$G,Исход!$A:$A,AC$1,Исход!$B:$B,$A50)+
SUMIFS(Исход!$H:$H,Исход!$A:$A,AC$1,Исход!$B:$B,$A50)+
SUMIFS(Исход!$I:$I,Исход!$A:$A,AC$1,Исход!$B:$B,$A50)-
SUMIFS(Исход!$L:$L,Исход!$A:$A,AC$1,Исход!$B:$B,$A50)</f>
        <v>0</v>
      </c>
      <c r="AD50" s="130">
        <f>SUMIFS(Исход!$D:$D,Исход!$A:$A,AD$1,Исход!$B:$B,$A50)+
SUMIFS(Исход!$G:$G,Исход!$A:$A,AD$1,Исход!$B:$B,$A50)+
SUMIFS(Исход!$H:$H,Исход!$A:$A,AD$1,Исход!$B:$B,$A50)+
SUMIFS(Исход!$I:$I,Исход!$A:$A,AD$1,Исход!$B:$B,$A50)-
SUMIFS(Исход!$L:$L,Исход!$A:$A,AD$1,Исход!$B:$B,$A50)</f>
        <v>0</v>
      </c>
      <c r="AE50" s="130">
        <f>SUMIFS(Исход!$D:$D,Исход!$A:$A,AE$1,Исход!$B:$B,$A50)+
SUMIFS(Исход!$G:$G,Исход!$A:$A,AE$1,Исход!$B:$B,$A50)+
SUMIFS(Исход!$H:$H,Исход!$A:$A,AE$1,Исход!$B:$B,$A50)+
SUMIFS(Исход!$I:$I,Исход!$A:$A,AE$1,Исход!$B:$B,$A50)-
SUMIFS(Исход!$L:$L,Исход!$A:$A,AE$1,Исход!$B:$B,$A50)</f>
        <v>0</v>
      </c>
      <c r="AF50" s="130">
        <f>SUMIFS(Исход!$D:$D,Исход!$A:$A,AF$1,Исход!$B:$B,$A50)+
SUMIFS(Исход!$G:$G,Исход!$A:$A,AF$1,Исход!$B:$B,$A50)+
SUMIFS(Исход!$H:$H,Исход!$A:$A,AF$1,Исход!$B:$B,$A50)+
SUMIFS(Исход!$I:$I,Исход!$A:$A,AF$1,Исход!$B:$B,$A50)-
SUMIFS(Исход!$L:$L,Исход!$A:$A,AF$1,Исход!$B:$B,$A50)</f>
        <v>0</v>
      </c>
      <c r="AG50" s="130">
        <f>SUMIFS(Исход!$D:$D,Исход!$A:$A,AG$1,Исход!$B:$B,$A50)+
SUMIFS(Исход!$G:$G,Исход!$A:$A,AG$1,Исход!$B:$B,$A50)+
SUMIFS(Исход!$H:$H,Исход!$A:$A,AG$1,Исход!$B:$B,$A50)+
SUMIFS(Исход!$I:$I,Исход!$A:$A,AG$1,Исход!$B:$B,$A50)-
SUMIFS(Исход!$L:$L,Исход!$A:$A,AG$1,Исход!$B:$B,$A50)</f>
        <v>0</v>
      </c>
    </row>
    <row r="51" spans="1:33" ht="15.75" hidden="1" outlineLevel="1" thickBot="1" x14ac:dyDescent="0.3">
      <c r="A51" s="104">
        <v>0.97916666666666663</v>
      </c>
      <c r="B51" s="131">
        <v>0</v>
      </c>
      <c r="C51" s="132">
        <f>SUMIFS(Исход!$D:$D,Исход!$A:$A,C$1,Исход!$B:$B,$A51)+
SUMIFS(Исход!$G:$G,Исход!$A:$A,C$1,Исход!$B:$B,$A51)+
SUMIFS(Исход!$H:$H,Исход!$A:$A,C$1,Исход!$B:$B,$A51)+
SUMIFS(Исход!$I:$I,Исход!$A:$A,C$1,Исход!$B:$B,$A51)-
SUMIFS(Исход!$L:$L,Исход!$A:$A,C$1,Исход!$B:$B,$A51)</f>
        <v>0</v>
      </c>
      <c r="D51" s="133">
        <f>SUMIFS(Исход!$D:$D,Исход!$A:$A,D$1,Исход!$B:$B,$A51)+
SUMIFS(Исход!$G:$G,Исход!$A:$A,D$1,Исход!$B:$B,$A51)+
SUMIFS(Исход!$H:$H,Исход!$A:$A,D$1,Исход!$B:$B,$A51)+
SUMIFS(Исход!$I:$I,Исход!$A:$A,D$1,Исход!$B:$B,$A51)-
SUMIFS(Исход!$L:$L,Исход!$A:$A,D$1,Исход!$B:$B,$A51)</f>
        <v>0</v>
      </c>
      <c r="E51" s="133">
        <f>SUMIFS(Исход!$D:$D,Исход!$A:$A,E$1,Исход!$B:$B,$A51)+
SUMIFS(Исход!$G:$G,Исход!$A:$A,E$1,Исход!$B:$B,$A51)+
SUMIFS(Исход!$H:$H,Исход!$A:$A,E$1,Исход!$B:$B,$A51)+
SUMIFS(Исход!$I:$I,Исход!$A:$A,E$1,Исход!$B:$B,$A51)-
SUMIFS(Исход!$L:$L,Исход!$A:$A,E$1,Исход!$B:$B,$A51)</f>
        <v>0</v>
      </c>
      <c r="F51" s="133">
        <f>SUMIFS(Исход!$D:$D,Исход!$A:$A,F$1,Исход!$B:$B,$A51)+
SUMIFS(Исход!$G:$G,Исход!$A:$A,F$1,Исход!$B:$B,$A51)+
SUMIFS(Исход!$H:$H,Исход!$A:$A,F$1,Исход!$B:$B,$A51)+
SUMIFS(Исход!$I:$I,Исход!$A:$A,F$1,Исход!$B:$B,$A51)-
SUMIFS(Исход!$L:$L,Исход!$A:$A,F$1,Исход!$B:$B,$A51)</f>
        <v>0</v>
      </c>
      <c r="G51" s="133">
        <f>SUMIFS(Исход!$D:$D,Исход!$A:$A,G$1,Исход!$B:$B,$A51)+
SUMIFS(Исход!$G:$G,Исход!$A:$A,G$1,Исход!$B:$B,$A51)+
SUMIFS(Исход!$H:$H,Исход!$A:$A,G$1,Исход!$B:$B,$A51)+
SUMIFS(Исход!$I:$I,Исход!$A:$A,G$1,Исход!$B:$B,$A51)-
SUMIFS(Исход!$L:$L,Исход!$A:$A,G$1,Исход!$B:$B,$A51)</f>
        <v>0</v>
      </c>
      <c r="H51" s="133">
        <f>SUMIFS(Исход!$D:$D,Исход!$A:$A,H$1,Исход!$B:$B,$A51)+
SUMIFS(Исход!$G:$G,Исход!$A:$A,H$1,Исход!$B:$B,$A51)+
SUMIFS(Исход!$H:$H,Исход!$A:$A,H$1,Исход!$B:$B,$A51)+
SUMIFS(Исход!$I:$I,Исход!$A:$A,H$1,Исход!$B:$B,$A51)-
SUMIFS(Исход!$L:$L,Исход!$A:$A,H$1,Исход!$B:$B,$A51)</f>
        <v>0</v>
      </c>
      <c r="I51" s="133">
        <f>SUMIFS(Исход!$D:$D,Исход!$A:$A,I$1,Исход!$B:$B,$A51)+
SUMIFS(Исход!$G:$G,Исход!$A:$A,I$1,Исход!$B:$B,$A51)+
SUMIFS(Исход!$H:$H,Исход!$A:$A,I$1,Исход!$B:$B,$A51)+
SUMIFS(Исход!$I:$I,Исход!$A:$A,I$1,Исход!$B:$B,$A51)-
SUMIFS(Исход!$L:$L,Исход!$A:$A,I$1,Исход!$B:$B,$A51)</f>
        <v>0</v>
      </c>
      <c r="J51" s="133">
        <f>SUMIFS(Исход!$D:$D,Исход!$A:$A,J$1,Исход!$B:$B,$A51)+
SUMIFS(Исход!$G:$G,Исход!$A:$A,J$1,Исход!$B:$B,$A51)+
SUMIFS(Исход!$H:$H,Исход!$A:$A,J$1,Исход!$B:$B,$A51)+
SUMIFS(Исход!$I:$I,Исход!$A:$A,J$1,Исход!$B:$B,$A51)-
SUMIFS(Исход!$L:$L,Исход!$A:$A,J$1,Исход!$B:$B,$A51)</f>
        <v>0</v>
      </c>
      <c r="K51" s="133">
        <f>SUMIFS(Исход!$D:$D,Исход!$A:$A,K$1,Исход!$B:$B,$A51)+
SUMIFS(Исход!$G:$G,Исход!$A:$A,K$1,Исход!$B:$B,$A51)+
SUMIFS(Исход!$H:$H,Исход!$A:$A,K$1,Исход!$B:$B,$A51)+
SUMIFS(Исход!$I:$I,Исход!$A:$A,K$1,Исход!$B:$B,$A51)-
SUMIFS(Исход!$L:$L,Исход!$A:$A,K$1,Исход!$B:$B,$A51)</f>
        <v>0</v>
      </c>
      <c r="L51" s="133">
        <f>SUMIFS(Исход!$D:$D,Исход!$A:$A,L$1,Исход!$B:$B,$A51)+
SUMIFS(Исход!$G:$G,Исход!$A:$A,L$1,Исход!$B:$B,$A51)+
SUMIFS(Исход!$H:$H,Исход!$A:$A,L$1,Исход!$B:$B,$A51)+
SUMIFS(Исход!$I:$I,Исход!$A:$A,L$1,Исход!$B:$B,$A51)-
SUMIFS(Исход!$L:$L,Исход!$A:$A,L$1,Исход!$B:$B,$A51)</f>
        <v>0</v>
      </c>
      <c r="M51" s="133">
        <f>SUMIFS(Исход!$D:$D,Исход!$A:$A,M$1,Исход!$B:$B,$A51)+
SUMIFS(Исход!$G:$G,Исход!$A:$A,M$1,Исход!$B:$B,$A51)+
SUMIFS(Исход!$H:$H,Исход!$A:$A,M$1,Исход!$B:$B,$A51)+
SUMIFS(Исход!$I:$I,Исход!$A:$A,M$1,Исход!$B:$B,$A51)-
SUMIFS(Исход!$L:$L,Исход!$A:$A,M$1,Исход!$B:$B,$A51)</f>
        <v>0</v>
      </c>
      <c r="N51" s="133">
        <f>SUMIFS(Исход!$D:$D,Исход!$A:$A,N$1,Исход!$B:$B,$A51)+
SUMIFS(Исход!$G:$G,Исход!$A:$A,N$1,Исход!$B:$B,$A51)+
SUMIFS(Исход!$H:$H,Исход!$A:$A,N$1,Исход!$B:$B,$A51)+
SUMIFS(Исход!$I:$I,Исход!$A:$A,N$1,Исход!$B:$B,$A51)-
SUMIFS(Исход!$L:$L,Исход!$A:$A,N$1,Исход!$B:$B,$A51)</f>
        <v>0</v>
      </c>
      <c r="O51" s="133">
        <f>SUMIFS(Исход!$D:$D,Исход!$A:$A,O$1,Исход!$B:$B,$A51)+
SUMIFS(Исход!$G:$G,Исход!$A:$A,O$1,Исход!$B:$B,$A51)+
SUMIFS(Исход!$H:$H,Исход!$A:$A,O$1,Исход!$B:$B,$A51)+
SUMIFS(Исход!$I:$I,Исход!$A:$A,O$1,Исход!$B:$B,$A51)-
SUMIFS(Исход!$L:$L,Исход!$A:$A,O$1,Исход!$B:$B,$A51)</f>
        <v>0</v>
      </c>
      <c r="P51" s="133">
        <f>SUMIFS(Исход!$D:$D,Исход!$A:$A,P$1,Исход!$B:$B,$A51)+
SUMIFS(Исход!$G:$G,Исход!$A:$A,P$1,Исход!$B:$B,$A51)+
SUMIFS(Исход!$H:$H,Исход!$A:$A,P$1,Исход!$B:$B,$A51)+
SUMIFS(Исход!$I:$I,Исход!$A:$A,P$1,Исход!$B:$B,$A51)-
SUMIFS(Исход!$L:$L,Исход!$A:$A,P$1,Исход!$B:$B,$A51)</f>
        <v>0</v>
      </c>
      <c r="Q51" s="133">
        <f>SUMIFS(Исход!$D:$D,Исход!$A:$A,Q$1,Исход!$B:$B,$A51)+
SUMIFS(Исход!$G:$G,Исход!$A:$A,Q$1,Исход!$B:$B,$A51)+
SUMIFS(Исход!$H:$H,Исход!$A:$A,Q$1,Исход!$B:$B,$A51)+
SUMIFS(Исход!$I:$I,Исход!$A:$A,Q$1,Исход!$B:$B,$A51)-
SUMIFS(Исход!$L:$L,Исход!$A:$A,Q$1,Исход!$B:$B,$A51)</f>
        <v>0</v>
      </c>
      <c r="R51" s="133">
        <f>SUMIFS(Исход!$D:$D,Исход!$A:$A,R$1,Исход!$B:$B,$A51)+
SUMIFS(Исход!$G:$G,Исход!$A:$A,R$1,Исход!$B:$B,$A51)+
SUMIFS(Исход!$H:$H,Исход!$A:$A,R$1,Исход!$B:$B,$A51)+
SUMIFS(Исход!$I:$I,Исход!$A:$A,R$1,Исход!$B:$B,$A51)-
SUMIFS(Исход!$L:$L,Исход!$A:$A,R$1,Исход!$B:$B,$A51)</f>
        <v>0</v>
      </c>
      <c r="S51" s="133">
        <f>SUMIFS(Исход!$D:$D,Исход!$A:$A,S$1,Исход!$B:$B,$A51)+
SUMIFS(Исход!$G:$G,Исход!$A:$A,S$1,Исход!$B:$B,$A51)+
SUMIFS(Исход!$H:$H,Исход!$A:$A,S$1,Исход!$B:$B,$A51)+
SUMIFS(Исход!$I:$I,Исход!$A:$A,S$1,Исход!$B:$B,$A51)-
SUMIFS(Исход!$L:$L,Исход!$A:$A,S$1,Исход!$B:$B,$A51)</f>
        <v>0</v>
      </c>
      <c r="T51" s="133">
        <f>SUMIFS(Исход!$D:$D,Исход!$A:$A,T$1,Исход!$B:$B,$A51)+
SUMIFS(Исход!$G:$G,Исход!$A:$A,T$1,Исход!$B:$B,$A51)+
SUMIFS(Исход!$H:$H,Исход!$A:$A,T$1,Исход!$B:$B,$A51)+
SUMIFS(Исход!$I:$I,Исход!$A:$A,T$1,Исход!$B:$B,$A51)-
SUMIFS(Исход!$L:$L,Исход!$A:$A,T$1,Исход!$B:$B,$A51)</f>
        <v>0</v>
      </c>
      <c r="U51" s="133">
        <f>SUMIFS(Исход!$D:$D,Исход!$A:$A,U$1,Исход!$B:$B,$A51)+
SUMIFS(Исход!$G:$G,Исход!$A:$A,U$1,Исход!$B:$B,$A51)+
SUMIFS(Исход!$H:$H,Исход!$A:$A,U$1,Исход!$B:$B,$A51)+
SUMIFS(Исход!$I:$I,Исход!$A:$A,U$1,Исход!$B:$B,$A51)-
SUMIFS(Исход!$L:$L,Исход!$A:$A,U$1,Исход!$B:$B,$A51)</f>
        <v>0</v>
      </c>
      <c r="V51" s="133">
        <f>SUMIFS(Исход!$D:$D,Исход!$A:$A,V$1,Исход!$B:$B,$A51)+
SUMIFS(Исход!$G:$G,Исход!$A:$A,V$1,Исход!$B:$B,$A51)+
SUMIFS(Исход!$H:$H,Исход!$A:$A,V$1,Исход!$B:$B,$A51)+
SUMIFS(Исход!$I:$I,Исход!$A:$A,V$1,Исход!$B:$B,$A51)-
SUMIFS(Исход!$L:$L,Исход!$A:$A,V$1,Исход!$B:$B,$A51)</f>
        <v>0</v>
      </c>
      <c r="W51" s="133">
        <f>SUMIFS(Исход!$D:$D,Исход!$A:$A,W$1,Исход!$B:$B,$A51)+
SUMIFS(Исход!$G:$G,Исход!$A:$A,W$1,Исход!$B:$B,$A51)+
SUMIFS(Исход!$H:$H,Исход!$A:$A,W$1,Исход!$B:$B,$A51)+
SUMIFS(Исход!$I:$I,Исход!$A:$A,W$1,Исход!$B:$B,$A51)-
SUMIFS(Исход!$L:$L,Исход!$A:$A,W$1,Исход!$B:$B,$A51)</f>
        <v>0</v>
      </c>
      <c r="X51" s="133">
        <f>SUMIFS(Исход!$D:$D,Исход!$A:$A,X$1,Исход!$B:$B,$A51)+
SUMIFS(Исход!$G:$G,Исход!$A:$A,X$1,Исход!$B:$B,$A51)+
SUMIFS(Исход!$H:$H,Исход!$A:$A,X$1,Исход!$B:$B,$A51)+
SUMIFS(Исход!$I:$I,Исход!$A:$A,X$1,Исход!$B:$B,$A51)-
SUMIFS(Исход!$L:$L,Исход!$A:$A,X$1,Исход!$B:$B,$A51)</f>
        <v>0</v>
      </c>
      <c r="Y51" s="133">
        <f>SUMIFS(Исход!$D:$D,Исход!$A:$A,Y$1,Исход!$B:$B,$A51)+
SUMIFS(Исход!$G:$G,Исход!$A:$A,Y$1,Исход!$B:$B,$A51)+
SUMIFS(Исход!$H:$H,Исход!$A:$A,Y$1,Исход!$B:$B,$A51)+
SUMIFS(Исход!$I:$I,Исход!$A:$A,Y$1,Исход!$B:$B,$A51)-
SUMIFS(Исход!$L:$L,Исход!$A:$A,Y$1,Исход!$B:$B,$A51)</f>
        <v>0</v>
      </c>
      <c r="Z51" s="133">
        <f>SUMIFS(Исход!$D:$D,Исход!$A:$A,Z$1,Исход!$B:$B,$A51)+
SUMIFS(Исход!$G:$G,Исход!$A:$A,Z$1,Исход!$B:$B,$A51)+
SUMIFS(Исход!$H:$H,Исход!$A:$A,Z$1,Исход!$B:$B,$A51)+
SUMIFS(Исход!$I:$I,Исход!$A:$A,Z$1,Исход!$B:$B,$A51)-
SUMIFS(Исход!$L:$L,Исход!$A:$A,Z$1,Исход!$B:$B,$A51)</f>
        <v>0</v>
      </c>
      <c r="AA51" s="133">
        <f>SUMIFS(Исход!$D:$D,Исход!$A:$A,AA$1,Исход!$B:$B,$A51)+
SUMIFS(Исход!$G:$G,Исход!$A:$A,AA$1,Исход!$B:$B,$A51)+
SUMIFS(Исход!$H:$H,Исход!$A:$A,AA$1,Исход!$B:$B,$A51)+
SUMIFS(Исход!$I:$I,Исход!$A:$A,AA$1,Исход!$B:$B,$A51)-
SUMIFS(Исход!$L:$L,Исход!$A:$A,AA$1,Исход!$B:$B,$A51)</f>
        <v>0</v>
      </c>
      <c r="AB51" s="133">
        <f>SUMIFS(Исход!$D:$D,Исход!$A:$A,AB$1,Исход!$B:$B,$A51)+
SUMIFS(Исход!$G:$G,Исход!$A:$A,AB$1,Исход!$B:$B,$A51)+
SUMIFS(Исход!$H:$H,Исход!$A:$A,AB$1,Исход!$B:$B,$A51)+
SUMIFS(Исход!$I:$I,Исход!$A:$A,AB$1,Исход!$B:$B,$A51)-
SUMIFS(Исход!$L:$L,Исход!$A:$A,AB$1,Исход!$B:$B,$A51)</f>
        <v>0</v>
      </c>
      <c r="AC51" s="133">
        <f>SUMIFS(Исход!$D:$D,Исход!$A:$A,AC$1,Исход!$B:$B,$A51)+
SUMIFS(Исход!$G:$G,Исход!$A:$A,AC$1,Исход!$B:$B,$A51)+
SUMIFS(Исход!$H:$H,Исход!$A:$A,AC$1,Исход!$B:$B,$A51)+
SUMIFS(Исход!$I:$I,Исход!$A:$A,AC$1,Исход!$B:$B,$A51)-
SUMIFS(Исход!$L:$L,Исход!$A:$A,AC$1,Исход!$B:$B,$A51)</f>
        <v>0</v>
      </c>
      <c r="AD51" s="133">
        <f>SUMIFS(Исход!$D:$D,Исход!$A:$A,AD$1,Исход!$B:$B,$A51)+
SUMIFS(Исход!$G:$G,Исход!$A:$A,AD$1,Исход!$B:$B,$A51)+
SUMIFS(Исход!$H:$H,Исход!$A:$A,AD$1,Исход!$B:$B,$A51)+
SUMIFS(Исход!$I:$I,Исход!$A:$A,AD$1,Исход!$B:$B,$A51)-
SUMIFS(Исход!$L:$L,Исход!$A:$A,AD$1,Исход!$B:$B,$A51)</f>
        <v>0</v>
      </c>
      <c r="AE51" s="133">
        <f>SUMIFS(Исход!$D:$D,Исход!$A:$A,AE$1,Исход!$B:$B,$A51)+
SUMIFS(Исход!$G:$G,Исход!$A:$A,AE$1,Исход!$B:$B,$A51)+
SUMIFS(Исход!$H:$H,Исход!$A:$A,AE$1,Исход!$B:$B,$A51)+
SUMIFS(Исход!$I:$I,Исход!$A:$A,AE$1,Исход!$B:$B,$A51)-
SUMIFS(Исход!$L:$L,Исход!$A:$A,AE$1,Исход!$B:$B,$A51)</f>
        <v>0</v>
      </c>
      <c r="AF51" s="133">
        <f>SUMIFS(Исход!$D:$D,Исход!$A:$A,AF$1,Исход!$B:$B,$A51)+
SUMIFS(Исход!$G:$G,Исход!$A:$A,AF$1,Исход!$B:$B,$A51)+
SUMIFS(Исход!$H:$H,Исход!$A:$A,AF$1,Исход!$B:$B,$A51)+
SUMIFS(Исход!$I:$I,Исход!$A:$A,AF$1,Исход!$B:$B,$A51)-
SUMIFS(Исход!$L:$L,Исход!$A:$A,AF$1,Исход!$B:$B,$A51)</f>
        <v>0</v>
      </c>
      <c r="AG51" s="133">
        <f>SUMIFS(Исход!$D:$D,Исход!$A:$A,AG$1,Исход!$B:$B,$A51)+
SUMIFS(Исход!$G:$G,Исход!$A:$A,AG$1,Исход!$B:$B,$A51)+
SUMIFS(Исход!$H:$H,Исход!$A:$A,AG$1,Исход!$B:$B,$A51)+
SUMIFS(Исход!$I:$I,Исход!$A:$A,AG$1,Исход!$B:$B,$A51)-
SUMIFS(Исход!$L:$L,Исход!$A:$A,AG$1,Исход!$B:$B,$A51)</f>
        <v>0</v>
      </c>
    </row>
    <row r="52" spans="1:33" ht="15.75" hidden="1" outlineLevel="1" thickBot="1" x14ac:dyDescent="0.3">
      <c r="A52" s="326" t="s">
        <v>13</v>
      </c>
      <c r="B52" s="327"/>
      <c r="C52" s="140">
        <f>SUM(C4:C51)</f>
        <v>0</v>
      </c>
      <c r="D52" s="138">
        <f t="shared" ref="D52:AG52" si="0">SUM(D4:D51)</f>
        <v>0</v>
      </c>
      <c r="E52" s="138">
        <f t="shared" si="0"/>
        <v>0</v>
      </c>
      <c r="F52" s="138">
        <f t="shared" si="0"/>
        <v>0</v>
      </c>
      <c r="G52" s="138">
        <f t="shared" si="0"/>
        <v>0</v>
      </c>
      <c r="H52" s="138">
        <f t="shared" si="0"/>
        <v>0</v>
      </c>
      <c r="I52" s="138">
        <f t="shared" si="0"/>
        <v>0</v>
      </c>
      <c r="J52" s="138">
        <f t="shared" si="0"/>
        <v>0</v>
      </c>
      <c r="K52" s="138">
        <f t="shared" si="0"/>
        <v>0</v>
      </c>
      <c r="L52" s="138">
        <f t="shared" si="0"/>
        <v>0</v>
      </c>
      <c r="M52" s="138">
        <f t="shared" si="0"/>
        <v>0</v>
      </c>
      <c r="N52" s="138">
        <f t="shared" si="0"/>
        <v>0</v>
      </c>
      <c r="O52" s="138">
        <f t="shared" si="0"/>
        <v>0</v>
      </c>
      <c r="P52" s="138">
        <f t="shared" si="0"/>
        <v>0</v>
      </c>
      <c r="Q52" s="138">
        <f t="shared" si="0"/>
        <v>0</v>
      </c>
      <c r="R52" s="138">
        <f t="shared" si="0"/>
        <v>0</v>
      </c>
      <c r="S52" s="138">
        <f t="shared" si="0"/>
        <v>0</v>
      </c>
      <c r="T52" s="138">
        <f t="shared" si="0"/>
        <v>0</v>
      </c>
      <c r="U52" s="138">
        <f t="shared" si="0"/>
        <v>0</v>
      </c>
      <c r="V52" s="138">
        <f>SUM(V4:V51)</f>
        <v>0</v>
      </c>
      <c r="W52" s="138">
        <f t="shared" si="0"/>
        <v>0</v>
      </c>
      <c r="X52" s="138">
        <f t="shared" si="0"/>
        <v>0</v>
      </c>
      <c r="Y52" s="138">
        <f t="shared" si="0"/>
        <v>0</v>
      </c>
      <c r="Z52" s="138">
        <f t="shared" si="0"/>
        <v>0</v>
      </c>
      <c r="AA52" s="138">
        <f t="shared" si="0"/>
        <v>0</v>
      </c>
      <c r="AB52" s="138">
        <f t="shared" si="0"/>
        <v>0</v>
      </c>
      <c r="AC52" s="138">
        <f t="shared" si="0"/>
        <v>0</v>
      </c>
      <c r="AD52" s="138">
        <f t="shared" si="0"/>
        <v>0</v>
      </c>
      <c r="AE52" s="138">
        <f t="shared" si="0"/>
        <v>0</v>
      </c>
      <c r="AF52" s="138">
        <f t="shared" si="0"/>
        <v>0</v>
      </c>
      <c r="AG52" s="139">
        <f t="shared" si="0"/>
        <v>0</v>
      </c>
    </row>
    <row r="53" spans="1:33" ht="15.75" collapsed="1" thickBot="1" x14ac:dyDescent="0.3">
      <c r="A53" s="331" t="s">
        <v>69</v>
      </c>
      <c r="B53" s="332"/>
      <c r="C53" s="337" t="s">
        <v>8</v>
      </c>
      <c r="D53" s="338"/>
      <c r="E53" s="338"/>
      <c r="F53" s="338"/>
      <c r="G53" s="338"/>
      <c r="H53" s="338"/>
      <c r="I53" s="338"/>
      <c r="J53" s="338"/>
      <c r="K53" s="338"/>
      <c r="L53" s="338"/>
      <c r="M53" s="338"/>
      <c r="N53" s="338"/>
      <c r="O53" s="338"/>
      <c r="P53" s="338"/>
      <c r="Q53" s="338"/>
      <c r="R53" s="338"/>
      <c r="S53" s="338"/>
      <c r="T53" s="338"/>
      <c r="U53" s="338"/>
      <c r="V53" s="338"/>
      <c r="W53" s="338"/>
      <c r="X53" s="338"/>
      <c r="Y53" s="338"/>
      <c r="Z53" s="338"/>
      <c r="AA53" s="338"/>
      <c r="AB53" s="338"/>
      <c r="AC53" s="338"/>
      <c r="AD53" s="338"/>
      <c r="AE53" s="338"/>
      <c r="AF53" s="338"/>
      <c r="AG53" s="339"/>
    </row>
    <row r="54" spans="1:33" hidden="1" outlineLevel="1" x14ac:dyDescent="0.25">
      <c r="A54" s="108">
        <v>0</v>
      </c>
      <c r="B54" s="125">
        <v>2.0833333333333332E-2</v>
      </c>
      <c r="C54" s="146">
        <f>IFERROR(SUMIFS(Исход!$O:$O,Исход!$A:$A,C$1,Исход!$B:$B,$A54)/C4,0)</f>
        <v>0</v>
      </c>
      <c r="D54" s="147">
        <f>IFERROR(SUMIFS(Исход!$O:$O,Исход!$A:$A,D$1,Исход!$B:$B,$A54)/D4,0)</f>
        <v>0</v>
      </c>
      <c r="E54" s="147">
        <f>IFERROR(SUMIFS(Исход!$O:$O,Исход!$A:$A,E$1,Исход!$B:$B,$A54)/E4,0)</f>
        <v>0</v>
      </c>
      <c r="F54" s="147">
        <f>IFERROR(SUMIFS(Исход!$O:$O,Исход!$A:$A,F$1,Исход!$B:$B,$A54)/F4,0)</f>
        <v>0</v>
      </c>
      <c r="G54" s="147">
        <f>IFERROR(SUMIFS(Исход!$O:$O,Исход!$A:$A,G$1,Исход!$B:$B,$A54)/G4,0)</f>
        <v>0</v>
      </c>
      <c r="H54" s="147">
        <f>IFERROR(SUMIFS(Исход!$O:$O,Исход!$A:$A,H$1,Исход!$B:$B,$A54)/H4,0)</f>
        <v>0</v>
      </c>
      <c r="I54" s="147">
        <f>IFERROR(SUMIFS(Исход!$O:$O,Исход!$A:$A,I$1,Исход!$B:$B,$A54)/I4,0)</f>
        <v>0</v>
      </c>
      <c r="J54" s="147">
        <f>IFERROR(SUMIFS(Исход!$O:$O,Исход!$A:$A,J$1,Исход!$B:$B,$A54)/J4,0)</f>
        <v>0</v>
      </c>
      <c r="K54" s="147">
        <f>IFERROR(SUMIFS(Исход!$O:$O,Исход!$A:$A,K$1,Исход!$B:$B,$A54)/K4,0)</f>
        <v>0</v>
      </c>
      <c r="L54" s="147">
        <f>IFERROR(SUMIFS(Исход!$O:$O,Исход!$A:$A,L$1,Исход!$B:$B,$A54)/L4,0)</f>
        <v>0</v>
      </c>
      <c r="M54" s="147">
        <f>IFERROR(SUMIFS(Исход!$O:$O,Исход!$A:$A,M$1,Исход!$B:$B,$A54)/M4,0)</f>
        <v>0</v>
      </c>
      <c r="N54" s="147">
        <f>IFERROR(SUMIFS(Исход!$O:$O,Исход!$A:$A,N$1,Исход!$B:$B,$A54)/N4,0)</f>
        <v>0</v>
      </c>
      <c r="O54" s="147">
        <f>IFERROR(SUMIFS(Исход!$O:$O,Исход!$A:$A,O$1,Исход!$B:$B,$A54)/O4,0)</f>
        <v>0</v>
      </c>
      <c r="P54" s="147">
        <f>IFERROR(SUMIFS(Исход!$O:$O,Исход!$A:$A,P$1,Исход!$B:$B,$A54)/P4,0)</f>
        <v>0</v>
      </c>
      <c r="Q54" s="147">
        <f>IFERROR(SUMIFS(Исход!$O:$O,Исход!$A:$A,Q$1,Исход!$B:$B,$A54)/Q4,0)</f>
        <v>0</v>
      </c>
      <c r="R54" s="147">
        <f>IFERROR(SUMIFS(Исход!$O:$O,Исход!$A:$A,R$1,Исход!$B:$B,$A54)/R4,0)</f>
        <v>0</v>
      </c>
      <c r="S54" s="147">
        <f>IFERROR(SUMIFS(Исход!$O:$O,Исход!$A:$A,S$1,Исход!$B:$B,$A54)/S4,0)</f>
        <v>0</v>
      </c>
      <c r="T54" s="147">
        <f>IFERROR(SUMIFS(Исход!$O:$O,Исход!$A:$A,T$1,Исход!$B:$B,$A54)/T4,0)</f>
        <v>0</v>
      </c>
      <c r="U54" s="147">
        <f>IFERROR(SUMIFS(Исход!$O:$O,Исход!$A:$A,U$1,Исход!$B:$B,$A54)/U4,0)</f>
        <v>0</v>
      </c>
      <c r="V54" s="147">
        <f>IFERROR(SUMIFS(Исход!$O:$O,Исход!$A:$A,V$1,Исход!$B:$B,$A54)/V4,0)</f>
        <v>0</v>
      </c>
      <c r="W54" s="147">
        <f>IFERROR(SUMIFS(Исход!$O:$O,Исход!$A:$A,W$1,Исход!$B:$B,$A54)/W4,0)</f>
        <v>0</v>
      </c>
      <c r="X54" s="147">
        <f>IFERROR(SUMIFS(Исход!$O:$O,Исход!$A:$A,X$1,Исход!$B:$B,$A54)/X4,0)</f>
        <v>0</v>
      </c>
      <c r="Y54" s="147">
        <f>IFERROR(SUMIFS(Исход!$O:$O,Исход!$A:$A,Y$1,Исход!$B:$B,$A54)/Y4,0)</f>
        <v>0</v>
      </c>
      <c r="Z54" s="147">
        <f>IFERROR(SUMIFS(Исход!$O:$O,Исход!$A:$A,Z$1,Исход!$B:$B,$A54)/Z4,0)</f>
        <v>0</v>
      </c>
      <c r="AA54" s="147">
        <f>IFERROR(SUMIFS(Исход!$O:$O,Исход!$A:$A,AA$1,Исход!$B:$B,$A54)/AA4,0)</f>
        <v>0</v>
      </c>
      <c r="AB54" s="147">
        <f>IFERROR(SUMIFS(Исход!$O:$O,Исход!$A:$A,AB$1,Исход!$B:$B,$A54)/AB4,0)</f>
        <v>0</v>
      </c>
      <c r="AC54" s="147">
        <f>IFERROR(SUMIFS(Исход!$O:$O,Исход!$A:$A,AC$1,Исход!$B:$B,$A54)/AC4,0)</f>
        <v>0</v>
      </c>
      <c r="AD54" s="147">
        <f>IFERROR(SUMIFS(Исход!$O:$O,Исход!$A:$A,AD$1,Исход!$B:$B,$A54)/AD4,0)</f>
        <v>0</v>
      </c>
      <c r="AE54" s="147">
        <f>IFERROR(SUMIFS(Исход!$O:$O,Исход!$A:$A,AE$1,Исход!$B:$B,$A54)/AE4,0)</f>
        <v>0</v>
      </c>
      <c r="AF54" s="147">
        <f>IFERROR(SUMIFS(Исход!$O:$O,Исход!$A:$A,AF$1,Исход!$B:$B,$A54)/AF4,0)</f>
        <v>0</v>
      </c>
      <c r="AG54" s="148">
        <f>IFERROR(SUMIFS(Исход!$O:$O,Исход!$A:$A,AG$1,Исход!$B:$B,$A54)/AG4,0)</f>
        <v>0</v>
      </c>
    </row>
    <row r="55" spans="1:33" hidden="1" outlineLevel="1" x14ac:dyDescent="0.25">
      <c r="A55" s="102">
        <v>2.0833333333333332E-2</v>
      </c>
      <c r="B55" s="128">
        <v>4.1666666666666664E-2</v>
      </c>
      <c r="C55" s="149">
        <f>IFERROR(SUMIFS(Исход!$O:$O,Исход!$A:$A,C$1,Исход!$B:$B,$A55)/C5,0)</f>
        <v>0</v>
      </c>
      <c r="D55" s="150">
        <f>IFERROR(SUMIFS(Исход!$O:$O,Исход!$A:$A,D$1,Исход!$B:$B,$A55)/D5,0)</f>
        <v>0</v>
      </c>
      <c r="E55" s="150">
        <f>IFERROR(SUMIFS(Исход!$O:$O,Исход!$A:$A,E$1,Исход!$B:$B,$A55)/E5,0)</f>
        <v>0</v>
      </c>
      <c r="F55" s="150">
        <f>IFERROR(SUMIFS(Исход!$O:$O,Исход!$A:$A,F$1,Исход!$B:$B,$A55)/F5,0)</f>
        <v>0</v>
      </c>
      <c r="G55" s="150">
        <f>IFERROR(SUMIFS(Исход!$O:$O,Исход!$A:$A,G$1,Исход!$B:$B,$A55)/G5,0)</f>
        <v>0</v>
      </c>
      <c r="H55" s="150">
        <f>IFERROR(SUMIFS(Исход!$O:$O,Исход!$A:$A,H$1,Исход!$B:$B,$A55)/H5,0)</f>
        <v>0</v>
      </c>
      <c r="I55" s="150">
        <f>IFERROR(SUMIFS(Исход!$O:$O,Исход!$A:$A,I$1,Исход!$B:$B,$A55)/I5,0)</f>
        <v>0</v>
      </c>
      <c r="J55" s="150">
        <f>IFERROR(SUMIFS(Исход!$O:$O,Исход!$A:$A,J$1,Исход!$B:$B,$A55)/J5,0)</f>
        <v>0</v>
      </c>
      <c r="K55" s="150">
        <f>IFERROR(SUMIFS(Исход!$O:$O,Исход!$A:$A,K$1,Исход!$B:$B,$A55)/K5,0)</f>
        <v>0</v>
      </c>
      <c r="L55" s="150">
        <f>IFERROR(SUMIFS(Исход!$O:$O,Исход!$A:$A,L$1,Исход!$B:$B,$A55)/L5,0)</f>
        <v>0</v>
      </c>
      <c r="M55" s="150">
        <f>IFERROR(SUMIFS(Исход!$O:$O,Исход!$A:$A,M$1,Исход!$B:$B,$A55)/M5,0)</f>
        <v>0</v>
      </c>
      <c r="N55" s="150">
        <f>IFERROR(SUMIFS(Исход!$O:$O,Исход!$A:$A,N$1,Исход!$B:$B,$A55)/N5,0)</f>
        <v>0</v>
      </c>
      <c r="O55" s="150">
        <f>IFERROR(SUMIFS(Исход!$O:$O,Исход!$A:$A,O$1,Исход!$B:$B,$A55)/O5,0)</f>
        <v>0</v>
      </c>
      <c r="P55" s="150">
        <f>IFERROR(SUMIFS(Исход!$O:$O,Исход!$A:$A,P$1,Исход!$B:$B,$A55)/P5,0)</f>
        <v>0</v>
      </c>
      <c r="Q55" s="150">
        <f>IFERROR(SUMIFS(Исход!$O:$O,Исход!$A:$A,Q$1,Исход!$B:$B,$A55)/Q5,0)</f>
        <v>0</v>
      </c>
      <c r="R55" s="150">
        <f>IFERROR(SUMIFS(Исход!$O:$O,Исход!$A:$A,R$1,Исход!$B:$B,$A55)/R5,0)</f>
        <v>0</v>
      </c>
      <c r="S55" s="150">
        <f>IFERROR(SUMIFS(Исход!$O:$O,Исход!$A:$A,S$1,Исход!$B:$B,$A55)/S5,0)</f>
        <v>0</v>
      </c>
      <c r="T55" s="150">
        <f>IFERROR(SUMIFS(Исход!$O:$O,Исход!$A:$A,T$1,Исход!$B:$B,$A55)/T5,0)</f>
        <v>0</v>
      </c>
      <c r="U55" s="150">
        <f>IFERROR(SUMIFS(Исход!$O:$O,Исход!$A:$A,U$1,Исход!$B:$B,$A55)/U5,0)</f>
        <v>0</v>
      </c>
      <c r="V55" s="150">
        <f>IFERROR(SUMIFS(Исход!$O:$O,Исход!$A:$A,V$1,Исход!$B:$B,$A55)/V5,0)</f>
        <v>0</v>
      </c>
      <c r="W55" s="150">
        <f>IFERROR(SUMIFS(Исход!$O:$O,Исход!$A:$A,W$1,Исход!$B:$B,$A55)/W5,0)</f>
        <v>0</v>
      </c>
      <c r="X55" s="150">
        <f>IFERROR(SUMIFS(Исход!$O:$O,Исход!$A:$A,X$1,Исход!$B:$B,$A55)/X5,0)</f>
        <v>0</v>
      </c>
      <c r="Y55" s="150">
        <f>IFERROR(SUMIFS(Исход!$O:$O,Исход!$A:$A,Y$1,Исход!$B:$B,$A55)/Y5,0)</f>
        <v>0</v>
      </c>
      <c r="Z55" s="150">
        <f>IFERROR(SUMIFS(Исход!$O:$O,Исход!$A:$A,Z$1,Исход!$B:$B,$A55)/Z5,0)</f>
        <v>0</v>
      </c>
      <c r="AA55" s="150">
        <f>IFERROR(SUMIFS(Исход!$O:$O,Исход!$A:$A,AA$1,Исход!$B:$B,$A55)/AA5,0)</f>
        <v>0</v>
      </c>
      <c r="AB55" s="150">
        <f>IFERROR(SUMIFS(Исход!$O:$O,Исход!$A:$A,AB$1,Исход!$B:$B,$A55)/AB5,0)</f>
        <v>0</v>
      </c>
      <c r="AC55" s="150">
        <f>IFERROR(SUMIFS(Исход!$O:$O,Исход!$A:$A,AC$1,Исход!$B:$B,$A55)/AC5,0)</f>
        <v>0</v>
      </c>
      <c r="AD55" s="150">
        <f>IFERROR(SUMIFS(Исход!$O:$O,Исход!$A:$A,AD$1,Исход!$B:$B,$A55)/AD5,0)</f>
        <v>0</v>
      </c>
      <c r="AE55" s="150">
        <f>IFERROR(SUMIFS(Исход!$O:$O,Исход!$A:$A,AE$1,Исход!$B:$B,$A55)/AE5,0)</f>
        <v>0</v>
      </c>
      <c r="AF55" s="150">
        <f>IFERROR(SUMIFS(Исход!$O:$O,Исход!$A:$A,AF$1,Исход!$B:$B,$A55)/AF5,0)</f>
        <v>0</v>
      </c>
      <c r="AG55" s="151">
        <f>IFERROR(SUMIFS(Исход!$O:$O,Исход!$A:$A,AG$1,Исход!$B:$B,$A55)/AG5,0)</f>
        <v>0</v>
      </c>
    </row>
    <row r="56" spans="1:33" hidden="1" outlineLevel="1" x14ac:dyDescent="0.25">
      <c r="A56" s="102">
        <v>4.1666666666666664E-2</v>
      </c>
      <c r="B56" s="128">
        <v>6.25E-2</v>
      </c>
      <c r="C56" s="149">
        <f>IFERROR(SUMIFS(Исход!$O:$O,Исход!$A:$A,C$1,Исход!$B:$B,$A56)/C6,0)</f>
        <v>0</v>
      </c>
      <c r="D56" s="150">
        <f>IFERROR(SUMIFS(Исход!$O:$O,Исход!$A:$A,D$1,Исход!$B:$B,$A56)/D6,0)</f>
        <v>0</v>
      </c>
      <c r="E56" s="150">
        <f>IFERROR(SUMIFS(Исход!$O:$O,Исход!$A:$A,E$1,Исход!$B:$B,$A56)/E6,0)</f>
        <v>0</v>
      </c>
      <c r="F56" s="150">
        <f>IFERROR(SUMIFS(Исход!$O:$O,Исход!$A:$A,F$1,Исход!$B:$B,$A56)/F6,0)</f>
        <v>0</v>
      </c>
      <c r="G56" s="150">
        <f>IFERROR(SUMIFS(Исход!$O:$O,Исход!$A:$A,G$1,Исход!$B:$B,$A56)/G6,0)</f>
        <v>0</v>
      </c>
      <c r="H56" s="150">
        <f>IFERROR(SUMIFS(Исход!$O:$O,Исход!$A:$A,H$1,Исход!$B:$B,$A56)/H6,0)</f>
        <v>0</v>
      </c>
      <c r="I56" s="150">
        <f>IFERROR(SUMIFS(Исход!$O:$O,Исход!$A:$A,I$1,Исход!$B:$B,$A56)/I6,0)</f>
        <v>0</v>
      </c>
      <c r="J56" s="150">
        <f>IFERROR(SUMIFS(Исход!$O:$O,Исход!$A:$A,J$1,Исход!$B:$B,$A56)/J6,0)</f>
        <v>0</v>
      </c>
      <c r="K56" s="150">
        <f>IFERROR(SUMIFS(Исход!$O:$O,Исход!$A:$A,K$1,Исход!$B:$B,$A56)/K6,0)</f>
        <v>0</v>
      </c>
      <c r="L56" s="150">
        <f>IFERROR(SUMIFS(Исход!$O:$O,Исход!$A:$A,L$1,Исход!$B:$B,$A56)/L6,0)</f>
        <v>0</v>
      </c>
      <c r="M56" s="150">
        <f>IFERROR(SUMIFS(Исход!$O:$O,Исход!$A:$A,M$1,Исход!$B:$B,$A56)/M6,0)</f>
        <v>0</v>
      </c>
      <c r="N56" s="150">
        <f>IFERROR(SUMIFS(Исход!$O:$O,Исход!$A:$A,N$1,Исход!$B:$B,$A56)/N6,0)</f>
        <v>0</v>
      </c>
      <c r="O56" s="150">
        <f>IFERROR(SUMIFS(Исход!$O:$O,Исход!$A:$A,O$1,Исход!$B:$B,$A56)/O6,0)</f>
        <v>0</v>
      </c>
      <c r="P56" s="150">
        <f>IFERROR(SUMIFS(Исход!$O:$O,Исход!$A:$A,P$1,Исход!$B:$B,$A56)/P6,0)</f>
        <v>0</v>
      </c>
      <c r="Q56" s="150">
        <f>IFERROR(SUMIFS(Исход!$O:$O,Исход!$A:$A,Q$1,Исход!$B:$B,$A56)/Q6,0)</f>
        <v>0</v>
      </c>
      <c r="R56" s="150">
        <f>IFERROR(SUMIFS(Исход!$O:$O,Исход!$A:$A,R$1,Исход!$B:$B,$A56)/R6,0)</f>
        <v>0</v>
      </c>
      <c r="S56" s="150">
        <f>IFERROR(SUMIFS(Исход!$O:$O,Исход!$A:$A,S$1,Исход!$B:$B,$A56)/S6,0)</f>
        <v>0</v>
      </c>
      <c r="T56" s="150">
        <f>IFERROR(SUMIFS(Исход!$O:$O,Исход!$A:$A,T$1,Исход!$B:$B,$A56)/T6,0)</f>
        <v>0</v>
      </c>
      <c r="U56" s="150">
        <f>IFERROR(SUMIFS(Исход!$O:$O,Исход!$A:$A,U$1,Исход!$B:$B,$A56)/U6,0)</f>
        <v>0</v>
      </c>
      <c r="V56" s="150">
        <f>IFERROR(SUMIFS(Исход!$O:$O,Исход!$A:$A,V$1,Исход!$B:$B,$A56)/V6,0)</f>
        <v>0</v>
      </c>
      <c r="W56" s="150">
        <f>IFERROR(SUMIFS(Исход!$O:$O,Исход!$A:$A,W$1,Исход!$B:$B,$A56)/W6,0)</f>
        <v>0</v>
      </c>
      <c r="X56" s="150">
        <f>IFERROR(SUMIFS(Исход!$O:$O,Исход!$A:$A,X$1,Исход!$B:$B,$A56)/X6,0)</f>
        <v>0</v>
      </c>
      <c r="Y56" s="150">
        <f>IFERROR(SUMIFS(Исход!$O:$O,Исход!$A:$A,Y$1,Исход!$B:$B,$A56)/Y6,0)</f>
        <v>0</v>
      </c>
      <c r="Z56" s="150">
        <f>IFERROR(SUMIFS(Исход!$O:$O,Исход!$A:$A,Z$1,Исход!$B:$B,$A56)/Z6,0)</f>
        <v>0</v>
      </c>
      <c r="AA56" s="150">
        <f>IFERROR(SUMIFS(Исход!$O:$O,Исход!$A:$A,AA$1,Исход!$B:$B,$A56)/AA6,0)</f>
        <v>0</v>
      </c>
      <c r="AB56" s="150">
        <f>IFERROR(SUMIFS(Исход!$O:$O,Исход!$A:$A,AB$1,Исход!$B:$B,$A56)/AB6,0)</f>
        <v>0</v>
      </c>
      <c r="AC56" s="150">
        <f>IFERROR(SUMIFS(Исход!$O:$O,Исход!$A:$A,AC$1,Исход!$B:$B,$A56)/AC6,0)</f>
        <v>0</v>
      </c>
      <c r="AD56" s="150">
        <f>IFERROR(SUMIFS(Исход!$O:$O,Исход!$A:$A,AD$1,Исход!$B:$B,$A56)/AD6,0)</f>
        <v>0</v>
      </c>
      <c r="AE56" s="150">
        <f>IFERROR(SUMIFS(Исход!$O:$O,Исход!$A:$A,AE$1,Исход!$B:$B,$A56)/AE6,0)</f>
        <v>0</v>
      </c>
      <c r="AF56" s="150">
        <f>IFERROR(SUMIFS(Исход!$O:$O,Исход!$A:$A,AF$1,Исход!$B:$B,$A56)/AF6,0)</f>
        <v>0</v>
      </c>
      <c r="AG56" s="151">
        <f>IFERROR(SUMIFS(Исход!$O:$O,Исход!$A:$A,AG$1,Исход!$B:$B,$A56)/AG6,0)</f>
        <v>0</v>
      </c>
    </row>
    <row r="57" spans="1:33" hidden="1" outlineLevel="1" x14ac:dyDescent="0.25">
      <c r="A57" s="102">
        <v>6.25E-2</v>
      </c>
      <c r="B57" s="128">
        <v>8.3333333333333329E-2</v>
      </c>
      <c r="C57" s="149">
        <f>IFERROR(SUMIFS(Исход!$O:$O,Исход!$A:$A,C$1,Исход!$B:$B,$A57)/C7,0)</f>
        <v>0</v>
      </c>
      <c r="D57" s="150">
        <f>IFERROR(SUMIFS(Исход!$O:$O,Исход!$A:$A,D$1,Исход!$B:$B,$A57)/D7,0)</f>
        <v>0</v>
      </c>
      <c r="E57" s="150">
        <f>IFERROR(SUMIFS(Исход!$O:$O,Исход!$A:$A,E$1,Исход!$B:$B,$A57)/E7,0)</f>
        <v>0</v>
      </c>
      <c r="F57" s="150">
        <f>IFERROR(SUMIFS(Исход!$O:$O,Исход!$A:$A,F$1,Исход!$B:$B,$A57)/F7,0)</f>
        <v>0</v>
      </c>
      <c r="G57" s="150">
        <f>IFERROR(SUMIFS(Исход!$O:$O,Исход!$A:$A,G$1,Исход!$B:$B,$A57)/G7,0)</f>
        <v>0</v>
      </c>
      <c r="H57" s="150">
        <f>IFERROR(SUMIFS(Исход!$O:$O,Исход!$A:$A,H$1,Исход!$B:$B,$A57)/H7,0)</f>
        <v>0</v>
      </c>
      <c r="I57" s="150">
        <f>IFERROR(SUMIFS(Исход!$O:$O,Исход!$A:$A,I$1,Исход!$B:$B,$A57)/I7,0)</f>
        <v>0</v>
      </c>
      <c r="J57" s="150">
        <f>IFERROR(SUMIFS(Исход!$O:$O,Исход!$A:$A,J$1,Исход!$B:$B,$A57)/J7,0)</f>
        <v>0</v>
      </c>
      <c r="K57" s="150">
        <f>IFERROR(SUMIFS(Исход!$O:$O,Исход!$A:$A,K$1,Исход!$B:$B,$A57)/K7,0)</f>
        <v>0</v>
      </c>
      <c r="L57" s="150">
        <f>IFERROR(SUMIFS(Исход!$O:$O,Исход!$A:$A,L$1,Исход!$B:$B,$A57)/L7,0)</f>
        <v>0</v>
      </c>
      <c r="M57" s="150">
        <f>IFERROR(SUMIFS(Исход!$O:$O,Исход!$A:$A,M$1,Исход!$B:$B,$A57)/M7,0)</f>
        <v>0</v>
      </c>
      <c r="N57" s="150">
        <f>IFERROR(SUMIFS(Исход!$O:$O,Исход!$A:$A,N$1,Исход!$B:$B,$A57)/N7,0)</f>
        <v>0</v>
      </c>
      <c r="O57" s="150">
        <f>IFERROR(SUMIFS(Исход!$O:$O,Исход!$A:$A,O$1,Исход!$B:$B,$A57)/O7,0)</f>
        <v>0</v>
      </c>
      <c r="P57" s="150">
        <f>IFERROR(SUMIFS(Исход!$O:$O,Исход!$A:$A,P$1,Исход!$B:$B,$A57)/P7,0)</f>
        <v>0</v>
      </c>
      <c r="Q57" s="150">
        <f>IFERROR(SUMIFS(Исход!$O:$O,Исход!$A:$A,Q$1,Исход!$B:$B,$A57)/Q7,0)</f>
        <v>0</v>
      </c>
      <c r="R57" s="150">
        <f>IFERROR(SUMIFS(Исход!$O:$O,Исход!$A:$A,R$1,Исход!$B:$B,$A57)/R7,0)</f>
        <v>0</v>
      </c>
      <c r="S57" s="150">
        <f>IFERROR(SUMIFS(Исход!$O:$O,Исход!$A:$A,S$1,Исход!$B:$B,$A57)/S7,0)</f>
        <v>0</v>
      </c>
      <c r="T57" s="150">
        <f>IFERROR(SUMIFS(Исход!$O:$O,Исход!$A:$A,T$1,Исход!$B:$B,$A57)/T7,0)</f>
        <v>0</v>
      </c>
      <c r="U57" s="150">
        <f>IFERROR(SUMIFS(Исход!$O:$O,Исход!$A:$A,U$1,Исход!$B:$B,$A57)/U7,0)</f>
        <v>0</v>
      </c>
      <c r="V57" s="150">
        <f>IFERROR(SUMIFS(Исход!$O:$O,Исход!$A:$A,V$1,Исход!$B:$B,$A57)/V7,0)</f>
        <v>0</v>
      </c>
      <c r="W57" s="150">
        <f>IFERROR(SUMIFS(Исход!$O:$O,Исход!$A:$A,W$1,Исход!$B:$B,$A57)/W7,0)</f>
        <v>0</v>
      </c>
      <c r="X57" s="150">
        <f>IFERROR(SUMIFS(Исход!$O:$O,Исход!$A:$A,X$1,Исход!$B:$B,$A57)/X7,0)</f>
        <v>0</v>
      </c>
      <c r="Y57" s="150">
        <f>IFERROR(SUMIFS(Исход!$O:$O,Исход!$A:$A,Y$1,Исход!$B:$B,$A57)/Y7,0)</f>
        <v>0</v>
      </c>
      <c r="Z57" s="150">
        <f>IFERROR(SUMIFS(Исход!$O:$O,Исход!$A:$A,Z$1,Исход!$B:$B,$A57)/Z7,0)</f>
        <v>0</v>
      </c>
      <c r="AA57" s="150">
        <f>IFERROR(SUMIFS(Исход!$O:$O,Исход!$A:$A,AA$1,Исход!$B:$B,$A57)/AA7,0)</f>
        <v>0</v>
      </c>
      <c r="AB57" s="150">
        <f>IFERROR(SUMIFS(Исход!$O:$O,Исход!$A:$A,AB$1,Исход!$B:$B,$A57)/AB7,0)</f>
        <v>0</v>
      </c>
      <c r="AC57" s="150">
        <f>IFERROR(SUMIFS(Исход!$O:$O,Исход!$A:$A,AC$1,Исход!$B:$B,$A57)/AC7,0)</f>
        <v>0</v>
      </c>
      <c r="AD57" s="150">
        <f>IFERROR(SUMIFS(Исход!$O:$O,Исход!$A:$A,AD$1,Исход!$B:$B,$A57)/AD7,0)</f>
        <v>0</v>
      </c>
      <c r="AE57" s="150">
        <f>IFERROR(SUMIFS(Исход!$O:$O,Исход!$A:$A,AE$1,Исход!$B:$B,$A57)/AE7,0)</f>
        <v>0</v>
      </c>
      <c r="AF57" s="150">
        <f>IFERROR(SUMIFS(Исход!$O:$O,Исход!$A:$A,AF$1,Исход!$B:$B,$A57)/AF7,0)</f>
        <v>0</v>
      </c>
      <c r="AG57" s="151">
        <f>IFERROR(SUMIFS(Исход!$O:$O,Исход!$A:$A,AG$1,Исход!$B:$B,$A57)/AG7,0)</f>
        <v>0</v>
      </c>
    </row>
    <row r="58" spans="1:33" hidden="1" outlineLevel="1" x14ac:dyDescent="0.25">
      <c r="A58" s="102">
        <v>8.3333333333333329E-2</v>
      </c>
      <c r="B58" s="128">
        <v>0.10416666666666667</v>
      </c>
      <c r="C58" s="149">
        <f>IFERROR(SUMIFS(Исход!$O:$O,Исход!$A:$A,C$1,Исход!$B:$B,$A58)/C8,0)</f>
        <v>0</v>
      </c>
      <c r="D58" s="150">
        <f>IFERROR(SUMIFS(Исход!$O:$O,Исход!$A:$A,D$1,Исход!$B:$B,$A58)/D8,0)</f>
        <v>0</v>
      </c>
      <c r="E58" s="150">
        <f>IFERROR(SUMIFS(Исход!$O:$O,Исход!$A:$A,E$1,Исход!$B:$B,$A58)/E8,0)</f>
        <v>0</v>
      </c>
      <c r="F58" s="150">
        <f>IFERROR(SUMIFS(Исход!$O:$O,Исход!$A:$A,F$1,Исход!$B:$B,$A58)/F8,0)</f>
        <v>0</v>
      </c>
      <c r="G58" s="150">
        <f>IFERROR(SUMIFS(Исход!$O:$O,Исход!$A:$A,G$1,Исход!$B:$B,$A58)/G8,0)</f>
        <v>0</v>
      </c>
      <c r="H58" s="150">
        <f>IFERROR(SUMIFS(Исход!$O:$O,Исход!$A:$A,H$1,Исход!$B:$B,$A58)/H8,0)</f>
        <v>0</v>
      </c>
      <c r="I58" s="150">
        <f>IFERROR(SUMIFS(Исход!$O:$O,Исход!$A:$A,I$1,Исход!$B:$B,$A58)/I8,0)</f>
        <v>0</v>
      </c>
      <c r="J58" s="150">
        <f>IFERROR(SUMIFS(Исход!$O:$O,Исход!$A:$A,J$1,Исход!$B:$B,$A58)/J8,0)</f>
        <v>0</v>
      </c>
      <c r="K58" s="150">
        <f>IFERROR(SUMIFS(Исход!$O:$O,Исход!$A:$A,K$1,Исход!$B:$B,$A58)/K8,0)</f>
        <v>0</v>
      </c>
      <c r="L58" s="150">
        <f>IFERROR(SUMIFS(Исход!$O:$O,Исход!$A:$A,L$1,Исход!$B:$B,$A58)/L8,0)</f>
        <v>0</v>
      </c>
      <c r="M58" s="150">
        <f>IFERROR(SUMIFS(Исход!$O:$O,Исход!$A:$A,M$1,Исход!$B:$B,$A58)/M8,0)</f>
        <v>0</v>
      </c>
      <c r="N58" s="150">
        <f>IFERROR(SUMIFS(Исход!$O:$O,Исход!$A:$A,N$1,Исход!$B:$B,$A58)/N8,0)</f>
        <v>0</v>
      </c>
      <c r="O58" s="150">
        <f>IFERROR(SUMIFS(Исход!$O:$O,Исход!$A:$A,O$1,Исход!$B:$B,$A58)/O8,0)</f>
        <v>0</v>
      </c>
      <c r="P58" s="150">
        <f>IFERROR(SUMIFS(Исход!$O:$O,Исход!$A:$A,P$1,Исход!$B:$B,$A58)/P8,0)</f>
        <v>0</v>
      </c>
      <c r="Q58" s="150">
        <f>IFERROR(SUMIFS(Исход!$O:$O,Исход!$A:$A,Q$1,Исход!$B:$B,$A58)/Q8,0)</f>
        <v>0</v>
      </c>
      <c r="R58" s="150">
        <f>IFERROR(SUMIFS(Исход!$O:$O,Исход!$A:$A,R$1,Исход!$B:$B,$A58)/R8,0)</f>
        <v>0</v>
      </c>
      <c r="S58" s="150">
        <f>IFERROR(SUMIFS(Исход!$O:$O,Исход!$A:$A,S$1,Исход!$B:$B,$A58)/S8,0)</f>
        <v>0</v>
      </c>
      <c r="T58" s="150">
        <f>IFERROR(SUMIFS(Исход!$O:$O,Исход!$A:$A,T$1,Исход!$B:$B,$A58)/T8,0)</f>
        <v>0</v>
      </c>
      <c r="U58" s="150">
        <f>IFERROR(SUMIFS(Исход!$O:$O,Исход!$A:$A,U$1,Исход!$B:$B,$A58)/U8,0)</f>
        <v>0</v>
      </c>
      <c r="V58" s="150">
        <f>IFERROR(SUMIFS(Исход!$O:$O,Исход!$A:$A,V$1,Исход!$B:$B,$A58)/V8,0)</f>
        <v>0</v>
      </c>
      <c r="W58" s="150">
        <f>IFERROR(SUMIFS(Исход!$O:$O,Исход!$A:$A,W$1,Исход!$B:$B,$A58)/W8,0)</f>
        <v>0</v>
      </c>
      <c r="X58" s="150">
        <f>IFERROR(SUMIFS(Исход!$O:$O,Исход!$A:$A,X$1,Исход!$B:$B,$A58)/X8,0)</f>
        <v>0</v>
      </c>
      <c r="Y58" s="150">
        <f>IFERROR(SUMIFS(Исход!$O:$O,Исход!$A:$A,Y$1,Исход!$B:$B,$A58)/Y8,0)</f>
        <v>0</v>
      </c>
      <c r="Z58" s="150">
        <f>IFERROR(SUMIFS(Исход!$O:$O,Исход!$A:$A,Z$1,Исход!$B:$B,$A58)/Z8,0)</f>
        <v>0</v>
      </c>
      <c r="AA58" s="150">
        <f>IFERROR(SUMIFS(Исход!$O:$O,Исход!$A:$A,AA$1,Исход!$B:$B,$A58)/AA8,0)</f>
        <v>0</v>
      </c>
      <c r="AB58" s="150">
        <f>IFERROR(SUMIFS(Исход!$O:$O,Исход!$A:$A,AB$1,Исход!$B:$B,$A58)/AB8,0)</f>
        <v>0</v>
      </c>
      <c r="AC58" s="150">
        <f>IFERROR(SUMIFS(Исход!$O:$O,Исход!$A:$A,AC$1,Исход!$B:$B,$A58)/AC8,0)</f>
        <v>0</v>
      </c>
      <c r="AD58" s="150">
        <f>IFERROR(SUMIFS(Исход!$O:$O,Исход!$A:$A,AD$1,Исход!$B:$B,$A58)/AD8,0)</f>
        <v>0</v>
      </c>
      <c r="AE58" s="150">
        <f>IFERROR(SUMIFS(Исход!$O:$O,Исход!$A:$A,AE$1,Исход!$B:$B,$A58)/AE8,0)</f>
        <v>0</v>
      </c>
      <c r="AF58" s="150">
        <f>IFERROR(SUMIFS(Исход!$O:$O,Исход!$A:$A,AF$1,Исход!$B:$B,$A58)/AF8,0)</f>
        <v>0</v>
      </c>
      <c r="AG58" s="151">
        <f>IFERROR(SUMIFS(Исход!$O:$O,Исход!$A:$A,AG$1,Исход!$B:$B,$A58)/AG8,0)</f>
        <v>0</v>
      </c>
    </row>
    <row r="59" spans="1:33" hidden="1" outlineLevel="1" x14ac:dyDescent="0.25">
      <c r="A59" s="102">
        <v>0.10416666666666667</v>
      </c>
      <c r="B59" s="128">
        <v>0.125</v>
      </c>
      <c r="C59" s="149">
        <f>IFERROR(SUMIFS(Исход!$O:$O,Исход!$A:$A,C$1,Исход!$B:$B,$A59)/C9,0)</f>
        <v>0</v>
      </c>
      <c r="D59" s="150">
        <f>IFERROR(SUMIFS(Исход!$O:$O,Исход!$A:$A,D$1,Исход!$B:$B,$A59)/D9,0)</f>
        <v>0</v>
      </c>
      <c r="E59" s="150">
        <f>IFERROR(SUMIFS(Исход!$O:$O,Исход!$A:$A,E$1,Исход!$B:$B,$A59)/E9,0)</f>
        <v>0</v>
      </c>
      <c r="F59" s="150">
        <f>IFERROR(SUMIFS(Исход!$O:$O,Исход!$A:$A,F$1,Исход!$B:$B,$A59)/F9,0)</f>
        <v>0</v>
      </c>
      <c r="G59" s="150">
        <f>IFERROR(SUMIFS(Исход!$O:$O,Исход!$A:$A,G$1,Исход!$B:$B,$A59)/G9,0)</f>
        <v>0</v>
      </c>
      <c r="H59" s="150">
        <f>IFERROR(SUMIFS(Исход!$O:$O,Исход!$A:$A,H$1,Исход!$B:$B,$A59)/H9,0)</f>
        <v>0</v>
      </c>
      <c r="I59" s="150">
        <f>IFERROR(SUMIFS(Исход!$O:$O,Исход!$A:$A,I$1,Исход!$B:$B,$A59)/I9,0)</f>
        <v>0</v>
      </c>
      <c r="J59" s="150">
        <f>IFERROR(SUMIFS(Исход!$O:$O,Исход!$A:$A,J$1,Исход!$B:$B,$A59)/J9,0)</f>
        <v>0</v>
      </c>
      <c r="K59" s="150">
        <f>IFERROR(SUMIFS(Исход!$O:$O,Исход!$A:$A,K$1,Исход!$B:$B,$A59)/K9,0)</f>
        <v>0</v>
      </c>
      <c r="L59" s="150">
        <f>IFERROR(SUMIFS(Исход!$O:$O,Исход!$A:$A,L$1,Исход!$B:$B,$A59)/L9,0)</f>
        <v>0</v>
      </c>
      <c r="M59" s="150">
        <f>IFERROR(SUMIFS(Исход!$O:$O,Исход!$A:$A,M$1,Исход!$B:$B,$A59)/M9,0)</f>
        <v>0</v>
      </c>
      <c r="N59" s="150">
        <f>IFERROR(SUMIFS(Исход!$O:$O,Исход!$A:$A,N$1,Исход!$B:$B,$A59)/N9,0)</f>
        <v>0</v>
      </c>
      <c r="O59" s="150">
        <f>IFERROR(SUMIFS(Исход!$O:$O,Исход!$A:$A,O$1,Исход!$B:$B,$A59)/O9,0)</f>
        <v>0</v>
      </c>
      <c r="P59" s="150">
        <f>IFERROR(SUMIFS(Исход!$O:$O,Исход!$A:$A,P$1,Исход!$B:$B,$A59)/P9,0)</f>
        <v>0</v>
      </c>
      <c r="Q59" s="150">
        <f>IFERROR(SUMIFS(Исход!$O:$O,Исход!$A:$A,Q$1,Исход!$B:$B,$A59)/Q9,0)</f>
        <v>0</v>
      </c>
      <c r="R59" s="150">
        <f>IFERROR(SUMIFS(Исход!$O:$O,Исход!$A:$A,R$1,Исход!$B:$B,$A59)/R9,0)</f>
        <v>0</v>
      </c>
      <c r="S59" s="150">
        <f>IFERROR(SUMIFS(Исход!$O:$O,Исход!$A:$A,S$1,Исход!$B:$B,$A59)/S9,0)</f>
        <v>0</v>
      </c>
      <c r="T59" s="150">
        <f>IFERROR(SUMIFS(Исход!$O:$O,Исход!$A:$A,T$1,Исход!$B:$B,$A59)/T9,0)</f>
        <v>0</v>
      </c>
      <c r="U59" s="150">
        <f>IFERROR(SUMIFS(Исход!$O:$O,Исход!$A:$A,U$1,Исход!$B:$B,$A59)/U9,0)</f>
        <v>0</v>
      </c>
      <c r="V59" s="150">
        <f>IFERROR(SUMIFS(Исход!$O:$O,Исход!$A:$A,V$1,Исход!$B:$B,$A59)/V9,0)</f>
        <v>0</v>
      </c>
      <c r="W59" s="150">
        <f>IFERROR(SUMIFS(Исход!$O:$O,Исход!$A:$A,W$1,Исход!$B:$B,$A59)/W9,0)</f>
        <v>0</v>
      </c>
      <c r="X59" s="150">
        <f>IFERROR(SUMIFS(Исход!$O:$O,Исход!$A:$A,X$1,Исход!$B:$B,$A59)/X9,0)</f>
        <v>0</v>
      </c>
      <c r="Y59" s="150">
        <f>IFERROR(SUMIFS(Исход!$O:$O,Исход!$A:$A,Y$1,Исход!$B:$B,$A59)/Y9,0)</f>
        <v>0</v>
      </c>
      <c r="Z59" s="150">
        <f>IFERROR(SUMIFS(Исход!$O:$O,Исход!$A:$A,Z$1,Исход!$B:$B,$A59)/Z9,0)</f>
        <v>0</v>
      </c>
      <c r="AA59" s="150">
        <f>IFERROR(SUMIFS(Исход!$O:$O,Исход!$A:$A,AA$1,Исход!$B:$B,$A59)/AA9,0)</f>
        <v>0</v>
      </c>
      <c r="AB59" s="150">
        <f>IFERROR(SUMIFS(Исход!$O:$O,Исход!$A:$A,AB$1,Исход!$B:$B,$A59)/AB9,0)</f>
        <v>0</v>
      </c>
      <c r="AC59" s="150">
        <f>IFERROR(SUMIFS(Исход!$O:$O,Исход!$A:$A,AC$1,Исход!$B:$B,$A59)/AC9,0)</f>
        <v>0</v>
      </c>
      <c r="AD59" s="150">
        <f>IFERROR(SUMIFS(Исход!$O:$O,Исход!$A:$A,AD$1,Исход!$B:$B,$A59)/AD9,0)</f>
        <v>0</v>
      </c>
      <c r="AE59" s="150">
        <f>IFERROR(SUMIFS(Исход!$O:$O,Исход!$A:$A,AE$1,Исход!$B:$B,$A59)/AE9,0)</f>
        <v>0</v>
      </c>
      <c r="AF59" s="150">
        <f>IFERROR(SUMIFS(Исход!$O:$O,Исход!$A:$A,AF$1,Исход!$B:$B,$A59)/AF9,0)</f>
        <v>0</v>
      </c>
      <c r="AG59" s="151">
        <f>IFERROR(SUMIFS(Исход!$O:$O,Исход!$A:$A,AG$1,Исход!$B:$B,$A59)/AG9,0)</f>
        <v>0</v>
      </c>
    </row>
    <row r="60" spans="1:33" hidden="1" outlineLevel="1" x14ac:dyDescent="0.25">
      <c r="A60" s="102">
        <v>0.125</v>
      </c>
      <c r="B60" s="128">
        <v>0.14583333333333334</v>
      </c>
      <c r="C60" s="149">
        <f>IFERROR(SUMIFS(Исход!$O:$O,Исход!$A:$A,C$1,Исход!$B:$B,$A60)/C10,0)</f>
        <v>0</v>
      </c>
      <c r="D60" s="150">
        <f>IFERROR(SUMIFS(Исход!$O:$O,Исход!$A:$A,D$1,Исход!$B:$B,$A60)/D10,0)</f>
        <v>0</v>
      </c>
      <c r="E60" s="150">
        <f>IFERROR(SUMIFS(Исход!$O:$O,Исход!$A:$A,E$1,Исход!$B:$B,$A60)/E10,0)</f>
        <v>0</v>
      </c>
      <c r="F60" s="150">
        <f>IFERROR(SUMIFS(Исход!$O:$O,Исход!$A:$A,F$1,Исход!$B:$B,$A60)/F10,0)</f>
        <v>0</v>
      </c>
      <c r="G60" s="150">
        <f>IFERROR(SUMIFS(Исход!$O:$O,Исход!$A:$A,G$1,Исход!$B:$B,$A60)/G10,0)</f>
        <v>0</v>
      </c>
      <c r="H60" s="150">
        <f>IFERROR(SUMIFS(Исход!$O:$O,Исход!$A:$A,H$1,Исход!$B:$B,$A60)/H10,0)</f>
        <v>0</v>
      </c>
      <c r="I60" s="150">
        <f>IFERROR(SUMIFS(Исход!$O:$O,Исход!$A:$A,I$1,Исход!$B:$B,$A60)/I10,0)</f>
        <v>0</v>
      </c>
      <c r="J60" s="150">
        <f>IFERROR(SUMIFS(Исход!$O:$O,Исход!$A:$A,J$1,Исход!$B:$B,$A60)/J10,0)</f>
        <v>0</v>
      </c>
      <c r="K60" s="150">
        <f>IFERROR(SUMIFS(Исход!$O:$O,Исход!$A:$A,K$1,Исход!$B:$B,$A60)/K10,0)</f>
        <v>0</v>
      </c>
      <c r="L60" s="150">
        <f>IFERROR(SUMIFS(Исход!$O:$O,Исход!$A:$A,L$1,Исход!$B:$B,$A60)/L10,0)</f>
        <v>0</v>
      </c>
      <c r="M60" s="150">
        <f>IFERROR(SUMIFS(Исход!$O:$O,Исход!$A:$A,M$1,Исход!$B:$B,$A60)/M10,0)</f>
        <v>0</v>
      </c>
      <c r="N60" s="150">
        <f>IFERROR(SUMIFS(Исход!$O:$O,Исход!$A:$A,N$1,Исход!$B:$B,$A60)/N10,0)</f>
        <v>0</v>
      </c>
      <c r="O60" s="150">
        <f>IFERROR(SUMIFS(Исход!$O:$O,Исход!$A:$A,O$1,Исход!$B:$B,$A60)/O10,0)</f>
        <v>0</v>
      </c>
      <c r="P60" s="150">
        <f>IFERROR(SUMIFS(Исход!$O:$O,Исход!$A:$A,P$1,Исход!$B:$B,$A60)/P10,0)</f>
        <v>0</v>
      </c>
      <c r="Q60" s="150">
        <f>IFERROR(SUMIFS(Исход!$O:$O,Исход!$A:$A,Q$1,Исход!$B:$B,$A60)/Q10,0)</f>
        <v>0</v>
      </c>
      <c r="R60" s="150">
        <f>IFERROR(SUMIFS(Исход!$O:$O,Исход!$A:$A,R$1,Исход!$B:$B,$A60)/R10,0)</f>
        <v>0</v>
      </c>
      <c r="S60" s="150">
        <f>IFERROR(SUMIFS(Исход!$O:$O,Исход!$A:$A,S$1,Исход!$B:$B,$A60)/S10,0)</f>
        <v>0</v>
      </c>
      <c r="T60" s="150">
        <f>IFERROR(SUMIFS(Исход!$O:$O,Исход!$A:$A,T$1,Исход!$B:$B,$A60)/T10,0)</f>
        <v>0</v>
      </c>
      <c r="U60" s="150">
        <f>IFERROR(SUMIFS(Исход!$O:$O,Исход!$A:$A,U$1,Исход!$B:$B,$A60)/U10,0)</f>
        <v>0</v>
      </c>
      <c r="V60" s="150">
        <f>IFERROR(SUMIFS(Исход!$O:$O,Исход!$A:$A,V$1,Исход!$B:$B,$A60)/V10,0)</f>
        <v>0</v>
      </c>
      <c r="W60" s="150">
        <f>IFERROR(SUMIFS(Исход!$O:$O,Исход!$A:$A,W$1,Исход!$B:$B,$A60)/W10,0)</f>
        <v>0</v>
      </c>
      <c r="X60" s="150">
        <f>IFERROR(SUMIFS(Исход!$O:$O,Исход!$A:$A,X$1,Исход!$B:$B,$A60)/X10,0)</f>
        <v>0</v>
      </c>
      <c r="Y60" s="150">
        <f>IFERROR(SUMIFS(Исход!$O:$O,Исход!$A:$A,Y$1,Исход!$B:$B,$A60)/Y10,0)</f>
        <v>0</v>
      </c>
      <c r="Z60" s="150">
        <f>IFERROR(SUMIFS(Исход!$O:$O,Исход!$A:$A,Z$1,Исход!$B:$B,$A60)/Z10,0)</f>
        <v>0</v>
      </c>
      <c r="AA60" s="150">
        <f>IFERROR(SUMIFS(Исход!$O:$O,Исход!$A:$A,AA$1,Исход!$B:$B,$A60)/AA10,0)</f>
        <v>0</v>
      </c>
      <c r="AB60" s="150">
        <f>IFERROR(SUMIFS(Исход!$O:$O,Исход!$A:$A,AB$1,Исход!$B:$B,$A60)/AB10,0)</f>
        <v>0</v>
      </c>
      <c r="AC60" s="150">
        <f>IFERROR(SUMIFS(Исход!$O:$O,Исход!$A:$A,AC$1,Исход!$B:$B,$A60)/AC10,0)</f>
        <v>0</v>
      </c>
      <c r="AD60" s="150">
        <f>IFERROR(SUMIFS(Исход!$O:$O,Исход!$A:$A,AD$1,Исход!$B:$B,$A60)/AD10,0)</f>
        <v>0</v>
      </c>
      <c r="AE60" s="150">
        <f>IFERROR(SUMIFS(Исход!$O:$O,Исход!$A:$A,AE$1,Исход!$B:$B,$A60)/AE10,0)</f>
        <v>0</v>
      </c>
      <c r="AF60" s="150">
        <f>IFERROR(SUMIFS(Исход!$O:$O,Исход!$A:$A,AF$1,Исход!$B:$B,$A60)/AF10,0)</f>
        <v>0</v>
      </c>
      <c r="AG60" s="151">
        <f>IFERROR(SUMIFS(Исход!$O:$O,Исход!$A:$A,AG$1,Исход!$B:$B,$A60)/AG10,0)</f>
        <v>0</v>
      </c>
    </row>
    <row r="61" spans="1:33" hidden="1" outlineLevel="1" x14ac:dyDescent="0.25">
      <c r="A61" s="102">
        <v>0.14583333333333334</v>
      </c>
      <c r="B61" s="128">
        <v>0.16666666666666666</v>
      </c>
      <c r="C61" s="149">
        <f>IFERROR(SUMIFS(Исход!$O:$O,Исход!$A:$A,C$1,Исход!$B:$B,$A61)/C11,0)</f>
        <v>0</v>
      </c>
      <c r="D61" s="150">
        <f>IFERROR(SUMIFS(Исход!$O:$O,Исход!$A:$A,D$1,Исход!$B:$B,$A61)/D11,0)</f>
        <v>0</v>
      </c>
      <c r="E61" s="150">
        <f>IFERROR(SUMIFS(Исход!$O:$O,Исход!$A:$A,E$1,Исход!$B:$B,$A61)/E11,0)</f>
        <v>0</v>
      </c>
      <c r="F61" s="150">
        <f>IFERROR(SUMIFS(Исход!$O:$O,Исход!$A:$A,F$1,Исход!$B:$B,$A61)/F11,0)</f>
        <v>0</v>
      </c>
      <c r="G61" s="150">
        <f>IFERROR(SUMIFS(Исход!$O:$O,Исход!$A:$A,G$1,Исход!$B:$B,$A61)/G11,0)</f>
        <v>0</v>
      </c>
      <c r="H61" s="150">
        <f>IFERROR(SUMIFS(Исход!$O:$O,Исход!$A:$A,H$1,Исход!$B:$B,$A61)/H11,0)</f>
        <v>0</v>
      </c>
      <c r="I61" s="150">
        <f>IFERROR(SUMIFS(Исход!$O:$O,Исход!$A:$A,I$1,Исход!$B:$B,$A61)/I11,0)</f>
        <v>0</v>
      </c>
      <c r="J61" s="150">
        <f>IFERROR(SUMIFS(Исход!$O:$O,Исход!$A:$A,J$1,Исход!$B:$B,$A61)/J11,0)</f>
        <v>0</v>
      </c>
      <c r="K61" s="150">
        <f>IFERROR(SUMIFS(Исход!$O:$O,Исход!$A:$A,K$1,Исход!$B:$B,$A61)/K11,0)</f>
        <v>0</v>
      </c>
      <c r="L61" s="150">
        <f>IFERROR(SUMIFS(Исход!$O:$O,Исход!$A:$A,L$1,Исход!$B:$B,$A61)/L11,0)</f>
        <v>0</v>
      </c>
      <c r="M61" s="150">
        <f>IFERROR(SUMIFS(Исход!$O:$O,Исход!$A:$A,M$1,Исход!$B:$B,$A61)/M11,0)</f>
        <v>0</v>
      </c>
      <c r="N61" s="150">
        <f>IFERROR(SUMIFS(Исход!$O:$O,Исход!$A:$A,N$1,Исход!$B:$B,$A61)/N11,0)</f>
        <v>0</v>
      </c>
      <c r="O61" s="150">
        <f>IFERROR(SUMIFS(Исход!$O:$O,Исход!$A:$A,O$1,Исход!$B:$B,$A61)/O11,0)</f>
        <v>0</v>
      </c>
      <c r="P61" s="150">
        <f>IFERROR(SUMIFS(Исход!$O:$O,Исход!$A:$A,P$1,Исход!$B:$B,$A61)/P11,0)</f>
        <v>0</v>
      </c>
      <c r="Q61" s="150">
        <f>IFERROR(SUMIFS(Исход!$O:$O,Исход!$A:$A,Q$1,Исход!$B:$B,$A61)/Q11,0)</f>
        <v>0</v>
      </c>
      <c r="R61" s="150">
        <f>IFERROR(SUMIFS(Исход!$O:$O,Исход!$A:$A,R$1,Исход!$B:$B,$A61)/R11,0)</f>
        <v>0</v>
      </c>
      <c r="S61" s="150">
        <f>IFERROR(SUMIFS(Исход!$O:$O,Исход!$A:$A,S$1,Исход!$B:$B,$A61)/S11,0)</f>
        <v>0</v>
      </c>
      <c r="T61" s="150">
        <f>IFERROR(SUMIFS(Исход!$O:$O,Исход!$A:$A,T$1,Исход!$B:$B,$A61)/T11,0)</f>
        <v>0</v>
      </c>
      <c r="U61" s="150">
        <f>IFERROR(SUMIFS(Исход!$O:$O,Исход!$A:$A,U$1,Исход!$B:$B,$A61)/U11,0)</f>
        <v>0</v>
      </c>
      <c r="V61" s="150">
        <f>IFERROR(SUMIFS(Исход!$O:$O,Исход!$A:$A,V$1,Исход!$B:$B,$A61)/V11,0)</f>
        <v>0</v>
      </c>
      <c r="W61" s="150">
        <f>IFERROR(SUMIFS(Исход!$O:$O,Исход!$A:$A,W$1,Исход!$B:$B,$A61)/W11,0)</f>
        <v>0</v>
      </c>
      <c r="X61" s="150">
        <f>IFERROR(SUMIFS(Исход!$O:$O,Исход!$A:$A,X$1,Исход!$B:$B,$A61)/X11,0)</f>
        <v>0</v>
      </c>
      <c r="Y61" s="150">
        <f>IFERROR(SUMIFS(Исход!$O:$O,Исход!$A:$A,Y$1,Исход!$B:$B,$A61)/Y11,0)</f>
        <v>0</v>
      </c>
      <c r="Z61" s="150">
        <f>IFERROR(SUMIFS(Исход!$O:$O,Исход!$A:$A,Z$1,Исход!$B:$B,$A61)/Z11,0)</f>
        <v>0</v>
      </c>
      <c r="AA61" s="150">
        <f>IFERROR(SUMIFS(Исход!$O:$O,Исход!$A:$A,AA$1,Исход!$B:$B,$A61)/AA11,0)</f>
        <v>0</v>
      </c>
      <c r="AB61" s="150">
        <f>IFERROR(SUMIFS(Исход!$O:$O,Исход!$A:$A,AB$1,Исход!$B:$B,$A61)/AB11,0)</f>
        <v>0</v>
      </c>
      <c r="AC61" s="150">
        <f>IFERROR(SUMIFS(Исход!$O:$O,Исход!$A:$A,AC$1,Исход!$B:$B,$A61)/AC11,0)</f>
        <v>0</v>
      </c>
      <c r="AD61" s="150">
        <f>IFERROR(SUMIFS(Исход!$O:$O,Исход!$A:$A,AD$1,Исход!$B:$B,$A61)/AD11,0)</f>
        <v>0</v>
      </c>
      <c r="AE61" s="150">
        <f>IFERROR(SUMIFS(Исход!$O:$O,Исход!$A:$A,AE$1,Исход!$B:$B,$A61)/AE11,0)</f>
        <v>0</v>
      </c>
      <c r="AF61" s="150">
        <f>IFERROR(SUMIFS(Исход!$O:$O,Исход!$A:$A,AF$1,Исход!$B:$B,$A61)/AF11,0)</f>
        <v>0</v>
      </c>
      <c r="AG61" s="151">
        <f>IFERROR(SUMIFS(Исход!$O:$O,Исход!$A:$A,AG$1,Исход!$B:$B,$A61)/AG11,0)</f>
        <v>0</v>
      </c>
    </row>
    <row r="62" spans="1:33" hidden="1" outlineLevel="1" x14ac:dyDescent="0.25">
      <c r="A62" s="102">
        <v>0.16666666666666666</v>
      </c>
      <c r="B62" s="128">
        <v>0.1875</v>
      </c>
      <c r="C62" s="149">
        <f>IFERROR(SUMIFS(Исход!$O:$O,Исход!$A:$A,C$1,Исход!$B:$B,$A62)/C12,0)</f>
        <v>0</v>
      </c>
      <c r="D62" s="150">
        <f>IFERROR(SUMIFS(Исход!$O:$O,Исход!$A:$A,D$1,Исход!$B:$B,$A62)/D12,0)</f>
        <v>0</v>
      </c>
      <c r="E62" s="150">
        <f>IFERROR(SUMIFS(Исход!$O:$O,Исход!$A:$A,E$1,Исход!$B:$B,$A62)/E12,0)</f>
        <v>0</v>
      </c>
      <c r="F62" s="150">
        <f>IFERROR(SUMIFS(Исход!$O:$O,Исход!$A:$A,F$1,Исход!$B:$B,$A62)/F12,0)</f>
        <v>0</v>
      </c>
      <c r="G62" s="150">
        <f>IFERROR(SUMIFS(Исход!$O:$O,Исход!$A:$A,G$1,Исход!$B:$B,$A62)/G12,0)</f>
        <v>0</v>
      </c>
      <c r="H62" s="150">
        <f>IFERROR(SUMIFS(Исход!$O:$O,Исход!$A:$A,H$1,Исход!$B:$B,$A62)/H12,0)</f>
        <v>0</v>
      </c>
      <c r="I62" s="150">
        <f>IFERROR(SUMIFS(Исход!$O:$O,Исход!$A:$A,I$1,Исход!$B:$B,$A62)/I12,0)</f>
        <v>0</v>
      </c>
      <c r="J62" s="150">
        <f>IFERROR(SUMIFS(Исход!$O:$O,Исход!$A:$A,J$1,Исход!$B:$B,$A62)/J12,0)</f>
        <v>0</v>
      </c>
      <c r="K62" s="150">
        <f>IFERROR(SUMIFS(Исход!$O:$O,Исход!$A:$A,K$1,Исход!$B:$B,$A62)/K12,0)</f>
        <v>0</v>
      </c>
      <c r="L62" s="150">
        <f>IFERROR(SUMIFS(Исход!$O:$O,Исход!$A:$A,L$1,Исход!$B:$B,$A62)/L12,0)</f>
        <v>0</v>
      </c>
      <c r="M62" s="150">
        <f>IFERROR(SUMIFS(Исход!$O:$O,Исход!$A:$A,M$1,Исход!$B:$B,$A62)/M12,0)</f>
        <v>0</v>
      </c>
      <c r="N62" s="150">
        <f>IFERROR(SUMIFS(Исход!$O:$O,Исход!$A:$A,N$1,Исход!$B:$B,$A62)/N12,0)</f>
        <v>0</v>
      </c>
      <c r="O62" s="150">
        <f>IFERROR(SUMIFS(Исход!$O:$O,Исход!$A:$A,O$1,Исход!$B:$B,$A62)/O12,0)</f>
        <v>0</v>
      </c>
      <c r="P62" s="150">
        <f>IFERROR(SUMIFS(Исход!$O:$O,Исход!$A:$A,P$1,Исход!$B:$B,$A62)/P12,0)</f>
        <v>0</v>
      </c>
      <c r="Q62" s="150">
        <f>IFERROR(SUMIFS(Исход!$O:$O,Исход!$A:$A,Q$1,Исход!$B:$B,$A62)/Q12,0)</f>
        <v>0</v>
      </c>
      <c r="R62" s="150">
        <f>IFERROR(SUMIFS(Исход!$O:$O,Исход!$A:$A,R$1,Исход!$B:$B,$A62)/R12,0)</f>
        <v>0</v>
      </c>
      <c r="S62" s="150">
        <f>IFERROR(SUMIFS(Исход!$O:$O,Исход!$A:$A,S$1,Исход!$B:$B,$A62)/S12,0)</f>
        <v>0</v>
      </c>
      <c r="T62" s="150">
        <f>IFERROR(SUMIFS(Исход!$O:$O,Исход!$A:$A,T$1,Исход!$B:$B,$A62)/T12,0)</f>
        <v>0</v>
      </c>
      <c r="U62" s="150">
        <f>IFERROR(SUMIFS(Исход!$O:$O,Исход!$A:$A,U$1,Исход!$B:$B,$A62)/U12,0)</f>
        <v>0</v>
      </c>
      <c r="V62" s="150">
        <f>IFERROR(SUMIFS(Исход!$O:$O,Исход!$A:$A,V$1,Исход!$B:$B,$A62)/V12,0)</f>
        <v>0</v>
      </c>
      <c r="W62" s="150">
        <f>IFERROR(SUMIFS(Исход!$O:$O,Исход!$A:$A,W$1,Исход!$B:$B,$A62)/W12,0)</f>
        <v>0</v>
      </c>
      <c r="X62" s="150">
        <f>IFERROR(SUMIFS(Исход!$O:$O,Исход!$A:$A,X$1,Исход!$B:$B,$A62)/X12,0)</f>
        <v>0</v>
      </c>
      <c r="Y62" s="150">
        <f>IFERROR(SUMIFS(Исход!$O:$O,Исход!$A:$A,Y$1,Исход!$B:$B,$A62)/Y12,0)</f>
        <v>0</v>
      </c>
      <c r="Z62" s="150">
        <f>IFERROR(SUMIFS(Исход!$O:$O,Исход!$A:$A,Z$1,Исход!$B:$B,$A62)/Z12,0)</f>
        <v>0</v>
      </c>
      <c r="AA62" s="150">
        <f>IFERROR(SUMIFS(Исход!$O:$O,Исход!$A:$A,AA$1,Исход!$B:$B,$A62)/AA12,0)</f>
        <v>0</v>
      </c>
      <c r="AB62" s="150">
        <f>IFERROR(SUMIFS(Исход!$O:$O,Исход!$A:$A,AB$1,Исход!$B:$B,$A62)/AB12,0)</f>
        <v>0</v>
      </c>
      <c r="AC62" s="150">
        <f>IFERROR(SUMIFS(Исход!$O:$O,Исход!$A:$A,AC$1,Исход!$B:$B,$A62)/AC12,0)</f>
        <v>0</v>
      </c>
      <c r="AD62" s="150">
        <f>IFERROR(SUMIFS(Исход!$O:$O,Исход!$A:$A,AD$1,Исход!$B:$B,$A62)/AD12,0)</f>
        <v>0</v>
      </c>
      <c r="AE62" s="150">
        <f>IFERROR(SUMIFS(Исход!$O:$O,Исход!$A:$A,AE$1,Исход!$B:$B,$A62)/AE12,0)</f>
        <v>0</v>
      </c>
      <c r="AF62" s="150">
        <f>IFERROR(SUMIFS(Исход!$O:$O,Исход!$A:$A,AF$1,Исход!$B:$B,$A62)/AF12,0)</f>
        <v>0</v>
      </c>
      <c r="AG62" s="151">
        <f>IFERROR(SUMIFS(Исход!$O:$O,Исход!$A:$A,AG$1,Исход!$B:$B,$A62)/AG12,0)</f>
        <v>0</v>
      </c>
    </row>
    <row r="63" spans="1:33" hidden="1" outlineLevel="1" x14ac:dyDescent="0.25">
      <c r="A63" s="102">
        <v>0.1875</v>
      </c>
      <c r="B63" s="128">
        <v>0.20833333333333334</v>
      </c>
      <c r="C63" s="149">
        <f>IFERROR(SUMIFS(Исход!$O:$O,Исход!$A:$A,C$1,Исход!$B:$B,$A63)/C13,0)</f>
        <v>0</v>
      </c>
      <c r="D63" s="150">
        <f>IFERROR(SUMIFS(Исход!$O:$O,Исход!$A:$A,D$1,Исход!$B:$B,$A63)/D13,0)</f>
        <v>0</v>
      </c>
      <c r="E63" s="150">
        <f>IFERROR(SUMIFS(Исход!$O:$O,Исход!$A:$A,E$1,Исход!$B:$B,$A63)/E13,0)</f>
        <v>0</v>
      </c>
      <c r="F63" s="150">
        <f>IFERROR(SUMIFS(Исход!$O:$O,Исход!$A:$A,F$1,Исход!$B:$B,$A63)/F13,0)</f>
        <v>0</v>
      </c>
      <c r="G63" s="150">
        <f>IFERROR(SUMIFS(Исход!$O:$O,Исход!$A:$A,G$1,Исход!$B:$B,$A63)/G13,0)</f>
        <v>0</v>
      </c>
      <c r="H63" s="150">
        <f>IFERROR(SUMIFS(Исход!$O:$O,Исход!$A:$A,H$1,Исход!$B:$B,$A63)/H13,0)</f>
        <v>0</v>
      </c>
      <c r="I63" s="150">
        <f>IFERROR(SUMIFS(Исход!$O:$O,Исход!$A:$A,I$1,Исход!$B:$B,$A63)/I13,0)</f>
        <v>0</v>
      </c>
      <c r="J63" s="150">
        <f>IFERROR(SUMIFS(Исход!$O:$O,Исход!$A:$A,J$1,Исход!$B:$B,$A63)/J13,0)</f>
        <v>0</v>
      </c>
      <c r="K63" s="150">
        <f>IFERROR(SUMIFS(Исход!$O:$O,Исход!$A:$A,K$1,Исход!$B:$B,$A63)/K13,0)</f>
        <v>0</v>
      </c>
      <c r="L63" s="150">
        <f>IFERROR(SUMIFS(Исход!$O:$O,Исход!$A:$A,L$1,Исход!$B:$B,$A63)/L13,0)</f>
        <v>0</v>
      </c>
      <c r="M63" s="150">
        <f>IFERROR(SUMIFS(Исход!$O:$O,Исход!$A:$A,M$1,Исход!$B:$B,$A63)/M13,0)</f>
        <v>0</v>
      </c>
      <c r="N63" s="150">
        <f>IFERROR(SUMIFS(Исход!$O:$O,Исход!$A:$A,N$1,Исход!$B:$B,$A63)/N13,0)</f>
        <v>0</v>
      </c>
      <c r="O63" s="150">
        <f>IFERROR(SUMIFS(Исход!$O:$O,Исход!$A:$A,O$1,Исход!$B:$B,$A63)/O13,0)</f>
        <v>0</v>
      </c>
      <c r="P63" s="150">
        <f>IFERROR(SUMIFS(Исход!$O:$O,Исход!$A:$A,P$1,Исход!$B:$B,$A63)/P13,0)</f>
        <v>0</v>
      </c>
      <c r="Q63" s="150">
        <f>IFERROR(SUMIFS(Исход!$O:$O,Исход!$A:$A,Q$1,Исход!$B:$B,$A63)/Q13,0)</f>
        <v>0</v>
      </c>
      <c r="R63" s="150">
        <f>IFERROR(SUMIFS(Исход!$O:$O,Исход!$A:$A,R$1,Исход!$B:$B,$A63)/R13,0)</f>
        <v>0</v>
      </c>
      <c r="S63" s="150">
        <f>IFERROR(SUMIFS(Исход!$O:$O,Исход!$A:$A,S$1,Исход!$B:$B,$A63)/S13,0)</f>
        <v>0</v>
      </c>
      <c r="T63" s="150">
        <f>IFERROR(SUMIFS(Исход!$O:$O,Исход!$A:$A,T$1,Исход!$B:$B,$A63)/T13,0)</f>
        <v>0</v>
      </c>
      <c r="U63" s="150">
        <f>IFERROR(SUMIFS(Исход!$O:$O,Исход!$A:$A,U$1,Исход!$B:$B,$A63)/U13,0)</f>
        <v>0</v>
      </c>
      <c r="V63" s="150">
        <f>IFERROR(SUMIFS(Исход!$O:$O,Исход!$A:$A,V$1,Исход!$B:$B,$A63)/V13,0)</f>
        <v>0</v>
      </c>
      <c r="W63" s="150">
        <f>IFERROR(SUMIFS(Исход!$O:$O,Исход!$A:$A,W$1,Исход!$B:$B,$A63)/W13,0)</f>
        <v>0</v>
      </c>
      <c r="X63" s="150">
        <f>IFERROR(SUMIFS(Исход!$O:$O,Исход!$A:$A,X$1,Исход!$B:$B,$A63)/X13,0)</f>
        <v>0</v>
      </c>
      <c r="Y63" s="150">
        <f>IFERROR(SUMIFS(Исход!$O:$O,Исход!$A:$A,Y$1,Исход!$B:$B,$A63)/Y13,0)</f>
        <v>0</v>
      </c>
      <c r="Z63" s="150">
        <f>IFERROR(SUMIFS(Исход!$O:$O,Исход!$A:$A,Z$1,Исход!$B:$B,$A63)/Z13,0)</f>
        <v>0</v>
      </c>
      <c r="AA63" s="150">
        <f>IFERROR(SUMIFS(Исход!$O:$O,Исход!$A:$A,AA$1,Исход!$B:$B,$A63)/AA13,0)</f>
        <v>0</v>
      </c>
      <c r="AB63" s="150">
        <f>IFERROR(SUMIFS(Исход!$O:$O,Исход!$A:$A,AB$1,Исход!$B:$B,$A63)/AB13,0)</f>
        <v>0</v>
      </c>
      <c r="AC63" s="150">
        <f>IFERROR(SUMIFS(Исход!$O:$O,Исход!$A:$A,AC$1,Исход!$B:$B,$A63)/AC13,0)</f>
        <v>0</v>
      </c>
      <c r="AD63" s="150">
        <f>IFERROR(SUMIFS(Исход!$O:$O,Исход!$A:$A,AD$1,Исход!$B:$B,$A63)/AD13,0)</f>
        <v>0</v>
      </c>
      <c r="AE63" s="150">
        <f>IFERROR(SUMIFS(Исход!$O:$O,Исход!$A:$A,AE$1,Исход!$B:$B,$A63)/AE13,0)</f>
        <v>0</v>
      </c>
      <c r="AF63" s="150">
        <f>IFERROR(SUMIFS(Исход!$O:$O,Исход!$A:$A,AF$1,Исход!$B:$B,$A63)/AF13,0)</f>
        <v>0</v>
      </c>
      <c r="AG63" s="151">
        <f>IFERROR(SUMIFS(Исход!$O:$O,Исход!$A:$A,AG$1,Исход!$B:$B,$A63)/AG13,0)</f>
        <v>0</v>
      </c>
    </row>
    <row r="64" spans="1:33" hidden="1" outlineLevel="1" x14ac:dyDescent="0.25">
      <c r="A64" s="102">
        <v>0.20833333333333334</v>
      </c>
      <c r="B64" s="128">
        <v>0.22916666666666666</v>
      </c>
      <c r="C64" s="149">
        <f>IFERROR(SUMIFS(Исход!$O:$O,Исход!$A:$A,C$1,Исход!$B:$B,$A64)/C14,0)</f>
        <v>0</v>
      </c>
      <c r="D64" s="150">
        <f>IFERROR(SUMIFS(Исход!$O:$O,Исход!$A:$A,D$1,Исход!$B:$B,$A64)/D14,0)</f>
        <v>0</v>
      </c>
      <c r="E64" s="150">
        <f>IFERROR(SUMIFS(Исход!$O:$O,Исход!$A:$A,E$1,Исход!$B:$B,$A64)/E14,0)</f>
        <v>0</v>
      </c>
      <c r="F64" s="150">
        <f>IFERROR(SUMIFS(Исход!$O:$O,Исход!$A:$A,F$1,Исход!$B:$B,$A64)/F14,0)</f>
        <v>0</v>
      </c>
      <c r="G64" s="150">
        <f>IFERROR(SUMIFS(Исход!$O:$O,Исход!$A:$A,G$1,Исход!$B:$B,$A64)/G14,0)</f>
        <v>0</v>
      </c>
      <c r="H64" s="150">
        <f>IFERROR(SUMIFS(Исход!$O:$O,Исход!$A:$A,H$1,Исход!$B:$B,$A64)/H14,0)</f>
        <v>0</v>
      </c>
      <c r="I64" s="150">
        <f>IFERROR(SUMIFS(Исход!$O:$O,Исход!$A:$A,I$1,Исход!$B:$B,$A64)/I14,0)</f>
        <v>0</v>
      </c>
      <c r="J64" s="150">
        <f>IFERROR(SUMIFS(Исход!$O:$O,Исход!$A:$A,J$1,Исход!$B:$B,$A64)/J14,0)</f>
        <v>0</v>
      </c>
      <c r="K64" s="150">
        <f>IFERROR(SUMIFS(Исход!$O:$O,Исход!$A:$A,K$1,Исход!$B:$B,$A64)/K14,0)</f>
        <v>0</v>
      </c>
      <c r="L64" s="150">
        <f>IFERROR(SUMIFS(Исход!$O:$O,Исход!$A:$A,L$1,Исход!$B:$B,$A64)/L14,0)</f>
        <v>0</v>
      </c>
      <c r="M64" s="150">
        <f>IFERROR(SUMIFS(Исход!$O:$O,Исход!$A:$A,M$1,Исход!$B:$B,$A64)/M14,0)</f>
        <v>0</v>
      </c>
      <c r="N64" s="150">
        <f>IFERROR(SUMIFS(Исход!$O:$O,Исход!$A:$A,N$1,Исход!$B:$B,$A64)/N14,0)</f>
        <v>0</v>
      </c>
      <c r="O64" s="150">
        <f>IFERROR(SUMIFS(Исход!$O:$O,Исход!$A:$A,O$1,Исход!$B:$B,$A64)/O14,0)</f>
        <v>0</v>
      </c>
      <c r="P64" s="150">
        <f>IFERROR(SUMIFS(Исход!$O:$O,Исход!$A:$A,P$1,Исход!$B:$B,$A64)/P14,0)</f>
        <v>0</v>
      </c>
      <c r="Q64" s="150">
        <f>IFERROR(SUMIFS(Исход!$O:$O,Исход!$A:$A,Q$1,Исход!$B:$B,$A64)/Q14,0)</f>
        <v>0</v>
      </c>
      <c r="R64" s="150">
        <f>IFERROR(SUMIFS(Исход!$O:$O,Исход!$A:$A,R$1,Исход!$B:$B,$A64)/R14,0)</f>
        <v>0</v>
      </c>
      <c r="S64" s="150">
        <f>IFERROR(SUMIFS(Исход!$O:$O,Исход!$A:$A,S$1,Исход!$B:$B,$A64)/S14,0)</f>
        <v>0</v>
      </c>
      <c r="T64" s="150">
        <f>IFERROR(SUMIFS(Исход!$O:$O,Исход!$A:$A,T$1,Исход!$B:$B,$A64)/T14,0)</f>
        <v>0</v>
      </c>
      <c r="U64" s="150">
        <f>IFERROR(SUMIFS(Исход!$O:$O,Исход!$A:$A,U$1,Исход!$B:$B,$A64)/U14,0)</f>
        <v>0</v>
      </c>
      <c r="V64" s="150">
        <f>IFERROR(SUMIFS(Исход!$O:$O,Исход!$A:$A,V$1,Исход!$B:$B,$A64)/V14,0)</f>
        <v>0</v>
      </c>
      <c r="W64" s="150">
        <f>IFERROR(SUMIFS(Исход!$O:$O,Исход!$A:$A,W$1,Исход!$B:$B,$A64)/W14,0)</f>
        <v>0</v>
      </c>
      <c r="X64" s="150">
        <f>IFERROR(SUMIFS(Исход!$O:$O,Исход!$A:$A,X$1,Исход!$B:$B,$A64)/X14,0)</f>
        <v>0</v>
      </c>
      <c r="Y64" s="150">
        <f>IFERROR(SUMIFS(Исход!$O:$O,Исход!$A:$A,Y$1,Исход!$B:$B,$A64)/Y14,0)</f>
        <v>0</v>
      </c>
      <c r="Z64" s="150">
        <f>IFERROR(SUMIFS(Исход!$O:$O,Исход!$A:$A,Z$1,Исход!$B:$B,$A64)/Z14,0)</f>
        <v>0</v>
      </c>
      <c r="AA64" s="150">
        <f>IFERROR(SUMIFS(Исход!$O:$O,Исход!$A:$A,AA$1,Исход!$B:$B,$A64)/AA14,0)</f>
        <v>0</v>
      </c>
      <c r="AB64" s="150">
        <f>IFERROR(SUMIFS(Исход!$O:$O,Исход!$A:$A,AB$1,Исход!$B:$B,$A64)/AB14,0)</f>
        <v>0</v>
      </c>
      <c r="AC64" s="150">
        <f>IFERROR(SUMIFS(Исход!$O:$O,Исход!$A:$A,AC$1,Исход!$B:$B,$A64)/AC14,0)</f>
        <v>0</v>
      </c>
      <c r="AD64" s="150">
        <f>IFERROR(SUMIFS(Исход!$O:$O,Исход!$A:$A,AD$1,Исход!$B:$B,$A64)/AD14,0)</f>
        <v>0</v>
      </c>
      <c r="AE64" s="150">
        <f>IFERROR(SUMIFS(Исход!$O:$O,Исход!$A:$A,AE$1,Исход!$B:$B,$A64)/AE14,0)</f>
        <v>0</v>
      </c>
      <c r="AF64" s="150">
        <f>IFERROR(SUMIFS(Исход!$O:$O,Исход!$A:$A,AF$1,Исход!$B:$B,$A64)/AF14,0)</f>
        <v>0</v>
      </c>
      <c r="AG64" s="151">
        <f>IFERROR(SUMIFS(Исход!$O:$O,Исход!$A:$A,AG$1,Исход!$B:$B,$A64)/AG14,0)</f>
        <v>0</v>
      </c>
    </row>
    <row r="65" spans="1:33" hidden="1" outlineLevel="1" x14ac:dyDescent="0.25">
      <c r="A65" s="102">
        <v>0.22916666666666666</v>
      </c>
      <c r="B65" s="128">
        <v>0.25</v>
      </c>
      <c r="C65" s="149">
        <f>IFERROR(SUMIFS(Исход!$O:$O,Исход!$A:$A,C$1,Исход!$B:$B,$A65)/C15,0)</f>
        <v>0</v>
      </c>
      <c r="D65" s="150">
        <f>IFERROR(SUMIFS(Исход!$O:$O,Исход!$A:$A,D$1,Исход!$B:$B,$A65)/D15,0)</f>
        <v>0</v>
      </c>
      <c r="E65" s="150">
        <f>IFERROR(SUMIFS(Исход!$O:$O,Исход!$A:$A,E$1,Исход!$B:$B,$A65)/E15,0)</f>
        <v>0</v>
      </c>
      <c r="F65" s="150">
        <f>IFERROR(SUMIFS(Исход!$O:$O,Исход!$A:$A,F$1,Исход!$B:$B,$A65)/F15,0)</f>
        <v>0</v>
      </c>
      <c r="G65" s="150">
        <f>IFERROR(SUMIFS(Исход!$O:$O,Исход!$A:$A,G$1,Исход!$B:$B,$A65)/G15,0)</f>
        <v>0</v>
      </c>
      <c r="H65" s="150">
        <f>IFERROR(SUMIFS(Исход!$O:$O,Исход!$A:$A,H$1,Исход!$B:$B,$A65)/H15,0)</f>
        <v>0</v>
      </c>
      <c r="I65" s="150">
        <f>IFERROR(SUMIFS(Исход!$O:$O,Исход!$A:$A,I$1,Исход!$B:$B,$A65)/I15,0)</f>
        <v>0</v>
      </c>
      <c r="J65" s="150">
        <f>IFERROR(SUMIFS(Исход!$O:$O,Исход!$A:$A,J$1,Исход!$B:$B,$A65)/J15,0)</f>
        <v>0</v>
      </c>
      <c r="K65" s="150">
        <f>IFERROR(SUMIFS(Исход!$O:$O,Исход!$A:$A,K$1,Исход!$B:$B,$A65)/K15,0)</f>
        <v>0</v>
      </c>
      <c r="L65" s="150">
        <f>IFERROR(SUMIFS(Исход!$O:$O,Исход!$A:$A,L$1,Исход!$B:$B,$A65)/L15,0)</f>
        <v>0</v>
      </c>
      <c r="M65" s="150">
        <f>IFERROR(SUMIFS(Исход!$O:$O,Исход!$A:$A,M$1,Исход!$B:$B,$A65)/M15,0)</f>
        <v>0</v>
      </c>
      <c r="N65" s="150">
        <f>IFERROR(SUMIFS(Исход!$O:$O,Исход!$A:$A,N$1,Исход!$B:$B,$A65)/N15,0)</f>
        <v>0</v>
      </c>
      <c r="O65" s="150">
        <f>IFERROR(SUMIFS(Исход!$O:$O,Исход!$A:$A,O$1,Исход!$B:$B,$A65)/O15,0)</f>
        <v>0</v>
      </c>
      <c r="P65" s="150">
        <f>IFERROR(SUMIFS(Исход!$O:$O,Исход!$A:$A,P$1,Исход!$B:$B,$A65)/P15,0)</f>
        <v>0</v>
      </c>
      <c r="Q65" s="150">
        <f>IFERROR(SUMIFS(Исход!$O:$O,Исход!$A:$A,Q$1,Исход!$B:$B,$A65)/Q15,0)</f>
        <v>0</v>
      </c>
      <c r="R65" s="150">
        <f>IFERROR(SUMIFS(Исход!$O:$O,Исход!$A:$A,R$1,Исход!$B:$B,$A65)/R15,0)</f>
        <v>0</v>
      </c>
      <c r="S65" s="150">
        <f>IFERROR(SUMIFS(Исход!$O:$O,Исход!$A:$A,S$1,Исход!$B:$B,$A65)/S15,0)</f>
        <v>0</v>
      </c>
      <c r="T65" s="150">
        <f>IFERROR(SUMIFS(Исход!$O:$O,Исход!$A:$A,T$1,Исход!$B:$B,$A65)/T15,0)</f>
        <v>0</v>
      </c>
      <c r="U65" s="150">
        <f>IFERROR(SUMIFS(Исход!$O:$O,Исход!$A:$A,U$1,Исход!$B:$B,$A65)/U15,0)</f>
        <v>0</v>
      </c>
      <c r="V65" s="150">
        <f>IFERROR(SUMIFS(Исход!$O:$O,Исход!$A:$A,V$1,Исход!$B:$B,$A65)/V15,0)</f>
        <v>0</v>
      </c>
      <c r="W65" s="150">
        <f>IFERROR(SUMIFS(Исход!$O:$O,Исход!$A:$A,W$1,Исход!$B:$B,$A65)/W15,0)</f>
        <v>0</v>
      </c>
      <c r="X65" s="150">
        <f>IFERROR(SUMIFS(Исход!$O:$O,Исход!$A:$A,X$1,Исход!$B:$B,$A65)/X15,0)</f>
        <v>0</v>
      </c>
      <c r="Y65" s="150">
        <f>IFERROR(SUMIFS(Исход!$O:$O,Исход!$A:$A,Y$1,Исход!$B:$B,$A65)/Y15,0)</f>
        <v>0</v>
      </c>
      <c r="Z65" s="150">
        <f>IFERROR(SUMIFS(Исход!$O:$O,Исход!$A:$A,Z$1,Исход!$B:$B,$A65)/Z15,0)</f>
        <v>0</v>
      </c>
      <c r="AA65" s="150">
        <f>IFERROR(SUMIFS(Исход!$O:$O,Исход!$A:$A,AA$1,Исход!$B:$B,$A65)/AA15,0)</f>
        <v>0</v>
      </c>
      <c r="AB65" s="150">
        <f>IFERROR(SUMIFS(Исход!$O:$O,Исход!$A:$A,AB$1,Исход!$B:$B,$A65)/AB15,0)</f>
        <v>0</v>
      </c>
      <c r="AC65" s="150">
        <f>IFERROR(SUMIFS(Исход!$O:$O,Исход!$A:$A,AC$1,Исход!$B:$B,$A65)/AC15,0)</f>
        <v>0</v>
      </c>
      <c r="AD65" s="150">
        <f>IFERROR(SUMIFS(Исход!$O:$O,Исход!$A:$A,AD$1,Исход!$B:$B,$A65)/AD15,0)</f>
        <v>0</v>
      </c>
      <c r="AE65" s="150">
        <f>IFERROR(SUMIFS(Исход!$O:$O,Исход!$A:$A,AE$1,Исход!$B:$B,$A65)/AE15,0)</f>
        <v>0</v>
      </c>
      <c r="AF65" s="150">
        <f>IFERROR(SUMIFS(Исход!$O:$O,Исход!$A:$A,AF$1,Исход!$B:$B,$A65)/AF15,0)</f>
        <v>0</v>
      </c>
      <c r="AG65" s="151">
        <f>IFERROR(SUMIFS(Исход!$O:$O,Исход!$A:$A,AG$1,Исход!$B:$B,$A65)/AG15,0)</f>
        <v>0</v>
      </c>
    </row>
    <row r="66" spans="1:33" hidden="1" outlineLevel="1" x14ac:dyDescent="0.25">
      <c r="A66" s="102">
        <v>0.25</v>
      </c>
      <c r="B66" s="128">
        <v>0.27083333333333331</v>
      </c>
      <c r="C66" s="149">
        <f>IFERROR(SUMIFS(Исход!$O:$O,Исход!$A:$A,C$1,Исход!$B:$B,$A66)/C16,0)</f>
        <v>0</v>
      </c>
      <c r="D66" s="150">
        <f>IFERROR(SUMIFS(Исход!$O:$O,Исход!$A:$A,D$1,Исход!$B:$B,$A66)/D16,0)</f>
        <v>0</v>
      </c>
      <c r="E66" s="150">
        <f>IFERROR(SUMIFS(Исход!$O:$O,Исход!$A:$A,E$1,Исход!$B:$B,$A66)/E16,0)</f>
        <v>0</v>
      </c>
      <c r="F66" s="150">
        <f>IFERROR(SUMIFS(Исход!$O:$O,Исход!$A:$A,F$1,Исход!$B:$B,$A66)/F16,0)</f>
        <v>0</v>
      </c>
      <c r="G66" s="150">
        <f>IFERROR(SUMIFS(Исход!$O:$O,Исход!$A:$A,G$1,Исход!$B:$B,$A66)/G16,0)</f>
        <v>0</v>
      </c>
      <c r="H66" s="150">
        <f>IFERROR(SUMIFS(Исход!$O:$O,Исход!$A:$A,H$1,Исход!$B:$B,$A66)/H16,0)</f>
        <v>0</v>
      </c>
      <c r="I66" s="150">
        <f>IFERROR(SUMIFS(Исход!$O:$O,Исход!$A:$A,I$1,Исход!$B:$B,$A66)/I16,0)</f>
        <v>0</v>
      </c>
      <c r="J66" s="150">
        <f>IFERROR(SUMIFS(Исход!$O:$O,Исход!$A:$A,J$1,Исход!$B:$B,$A66)/J16,0)</f>
        <v>0</v>
      </c>
      <c r="K66" s="150">
        <f>IFERROR(SUMIFS(Исход!$O:$O,Исход!$A:$A,K$1,Исход!$B:$B,$A66)/K16,0)</f>
        <v>0</v>
      </c>
      <c r="L66" s="150">
        <f>IFERROR(SUMIFS(Исход!$O:$O,Исход!$A:$A,L$1,Исход!$B:$B,$A66)/L16,0)</f>
        <v>0</v>
      </c>
      <c r="M66" s="150">
        <f>IFERROR(SUMIFS(Исход!$O:$O,Исход!$A:$A,M$1,Исход!$B:$B,$A66)/M16,0)</f>
        <v>0</v>
      </c>
      <c r="N66" s="150">
        <f>IFERROR(SUMIFS(Исход!$O:$O,Исход!$A:$A,N$1,Исход!$B:$B,$A66)/N16,0)</f>
        <v>0</v>
      </c>
      <c r="O66" s="150">
        <f>IFERROR(SUMIFS(Исход!$O:$O,Исход!$A:$A,O$1,Исход!$B:$B,$A66)/O16,0)</f>
        <v>0</v>
      </c>
      <c r="P66" s="150">
        <f>IFERROR(SUMIFS(Исход!$O:$O,Исход!$A:$A,P$1,Исход!$B:$B,$A66)/P16,0)</f>
        <v>0</v>
      </c>
      <c r="Q66" s="150">
        <f>IFERROR(SUMIFS(Исход!$O:$O,Исход!$A:$A,Q$1,Исход!$B:$B,$A66)/Q16,0)</f>
        <v>0</v>
      </c>
      <c r="R66" s="150">
        <f>IFERROR(SUMIFS(Исход!$O:$O,Исход!$A:$A,R$1,Исход!$B:$B,$A66)/R16,0)</f>
        <v>0</v>
      </c>
      <c r="S66" s="150">
        <f>IFERROR(SUMIFS(Исход!$O:$O,Исход!$A:$A,S$1,Исход!$B:$B,$A66)/S16,0)</f>
        <v>0</v>
      </c>
      <c r="T66" s="150">
        <f>IFERROR(SUMIFS(Исход!$O:$O,Исход!$A:$A,T$1,Исход!$B:$B,$A66)/T16,0)</f>
        <v>0</v>
      </c>
      <c r="U66" s="150">
        <f>IFERROR(SUMIFS(Исход!$O:$O,Исход!$A:$A,U$1,Исход!$B:$B,$A66)/U16,0)</f>
        <v>0</v>
      </c>
      <c r="V66" s="150">
        <f>IFERROR(SUMIFS(Исход!$O:$O,Исход!$A:$A,V$1,Исход!$B:$B,$A66)/V16,0)</f>
        <v>0</v>
      </c>
      <c r="W66" s="150">
        <f>IFERROR(SUMIFS(Исход!$O:$O,Исход!$A:$A,W$1,Исход!$B:$B,$A66)/W16,0)</f>
        <v>0</v>
      </c>
      <c r="X66" s="150">
        <f>IFERROR(SUMIFS(Исход!$O:$O,Исход!$A:$A,X$1,Исход!$B:$B,$A66)/X16,0)</f>
        <v>0</v>
      </c>
      <c r="Y66" s="150">
        <f>IFERROR(SUMIFS(Исход!$O:$O,Исход!$A:$A,Y$1,Исход!$B:$B,$A66)/Y16,0)</f>
        <v>0</v>
      </c>
      <c r="Z66" s="150">
        <f>IFERROR(SUMIFS(Исход!$O:$O,Исход!$A:$A,Z$1,Исход!$B:$B,$A66)/Z16,0)</f>
        <v>0</v>
      </c>
      <c r="AA66" s="150">
        <f>IFERROR(SUMIFS(Исход!$O:$O,Исход!$A:$A,AA$1,Исход!$B:$B,$A66)/AA16,0)</f>
        <v>0</v>
      </c>
      <c r="AB66" s="150">
        <f>IFERROR(SUMIFS(Исход!$O:$O,Исход!$A:$A,AB$1,Исход!$B:$B,$A66)/AB16,0)</f>
        <v>0</v>
      </c>
      <c r="AC66" s="150">
        <f>IFERROR(SUMIFS(Исход!$O:$O,Исход!$A:$A,AC$1,Исход!$B:$B,$A66)/AC16,0)</f>
        <v>0</v>
      </c>
      <c r="AD66" s="150">
        <f>IFERROR(SUMIFS(Исход!$O:$O,Исход!$A:$A,AD$1,Исход!$B:$B,$A66)/AD16,0)</f>
        <v>0</v>
      </c>
      <c r="AE66" s="150">
        <f>IFERROR(SUMIFS(Исход!$O:$O,Исход!$A:$A,AE$1,Исход!$B:$B,$A66)/AE16,0)</f>
        <v>0</v>
      </c>
      <c r="AF66" s="150">
        <f>IFERROR(SUMIFS(Исход!$O:$O,Исход!$A:$A,AF$1,Исход!$B:$B,$A66)/AF16,0)</f>
        <v>0</v>
      </c>
      <c r="AG66" s="151">
        <f>IFERROR(SUMIFS(Исход!$O:$O,Исход!$A:$A,AG$1,Исход!$B:$B,$A66)/AG16,0)</f>
        <v>0</v>
      </c>
    </row>
    <row r="67" spans="1:33" ht="15.75" hidden="1" outlineLevel="1" thickBot="1" x14ac:dyDescent="0.3">
      <c r="A67" s="104">
        <v>0.27083333333333331</v>
      </c>
      <c r="B67" s="131">
        <v>0.29166666666666669</v>
      </c>
      <c r="C67" s="152">
        <f>IFERROR(SUMIFS(Исход!$O:$O,Исход!$A:$A,C$1,Исход!$B:$B,$A67)/C17,0)</f>
        <v>0</v>
      </c>
      <c r="D67" s="153">
        <f>IFERROR(SUMIFS(Исход!$O:$O,Исход!$A:$A,D$1,Исход!$B:$B,$A67)/D17,0)</f>
        <v>0</v>
      </c>
      <c r="E67" s="153">
        <f>IFERROR(SUMIFS(Исход!$O:$O,Исход!$A:$A,E$1,Исход!$B:$B,$A67)/E17,0)</f>
        <v>0</v>
      </c>
      <c r="F67" s="153">
        <f>IFERROR(SUMIFS(Исход!$O:$O,Исход!$A:$A,F$1,Исход!$B:$B,$A67)/F17,0)</f>
        <v>0</v>
      </c>
      <c r="G67" s="153">
        <f>IFERROR(SUMIFS(Исход!$O:$O,Исход!$A:$A,G$1,Исход!$B:$B,$A67)/G17,0)</f>
        <v>0</v>
      </c>
      <c r="H67" s="153">
        <f>IFERROR(SUMIFS(Исход!$O:$O,Исход!$A:$A,H$1,Исход!$B:$B,$A67)/H17,0)</f>
        <v>0</v>
      </c>
      <c r="I67" s="153">
        <f>IFERROR(SUMIFS(Исход!$O:$O,Исход!$A:$A,I$1,Исход!$B:$B,$A67)/I17,0)</f>
        <v>0</v>
      </c>
      <c r="J67" s="153">
        <f>IFERROR(SUMIFS(Исход!$O:$O,Исход!$A:$A,J$1,Исход!$B:$B,$A67)/J17,0)</f>
        <v>0</v>
      </c>
      <c r="K67" s="153">
        <f>IFERROR(SUMIFS(Исход!$O:$O,Исход!$A:$A,K$1,Исход!$B:$B,$A67)/K17,0)</f>
        <v>0</v>
      </c>
      <c r="L67" s="153">
        <f>IFERROR(SUMIFS(Исход!$O:$O,Исход!$A:$A,L$1,Исход!$B:$B,$A67)/L17,0)</f>
        <v>0</v>
      </c>
      <c r="M67" s="153">
        <f>IFERROR(SUMIFS(Исход!$O:$O,Исход!$A:$A,M$1,Исход!$B:$B,$A67)/M17,0)</f>
        <v>0</v>
      </c>
      <c r="N67" s="153">
        <f>IFERROR(SUMIFS(Исход!$O:$O,Исход!$A:$A,N$1,Исход!$B:$B,$A67)/N17,0)</f>
        <v>0</v>
      </c>
      <c r="O67" s="153">
        <f>IFERROR(SUMIFS(Исход!$O:$O,Исход!$A:$A,O$1,Исход!$B:$B,$A67)/O17,0)</f>
        <v>0</v>
      </c>
      <c r="P67" s="153">
        <f>IFERROR(SUMIFS(Исход!$O:$O,Исход!$A:$A,P$1,Исход!$B:$B,$A67)/P17,0)</f>
        <v>0</v>
      </c>
      <c r="Q67" s="153">
        <f>IFERROR(SUMIFS(Исход!$O:$O,Исход!$A:$A,Q$1,Исход!$B:$B,$A67)/Q17,0)</f>
        <v>0</v>
      </c>
      <c r="R67" s="153">
        <f>IFERROR(SUMIFS(Исход!$O:$O,Исход!$A:$A,R$1,Исход!$B:$B,$A67)/R17,0)</f>
        <v>0</v>
      </c>
      <c r="S67" s="153">
        <f>IFERROR(SUMIFS(Исход!$O:$O,Исход!$A:$A,S$1,Исход!$B:$B,$A67)/S17,0)</f>
        <v>0</v>
      </c>
      <c r="T67" s="153">
        <f>IFERROR(SUMIFS(Исход!$O:$O,Исход!$A:$A,T$1,Исход!$B:$B,$A67)/T17,0)</f>
        <v>0</v>
      </c>
      <c r="U67" s="153">
        <f>IFERROR(SUMIFS(Исход!$O:$O,Исход!$A:$A,U$1,Исход!$B:$B,$A67)/U17,0)</f>
        <v>0</v>
      </c>
      <c r="V67" s="153">
        <f>IFERROR(SUMIFS(Исход!$O:$O,Исход!$A:$A,V$1,Исход!$B:$B,$A67)/V17,0)</f>
        <v>0</v>
      </c>
      <c r="W67" s="153">
        <f>IFERROR(SUMIFS(Исход!$O:$O,Исход!$A:$A,W$1,Исход!$B:$B,$A67)/W17,0)</f>
        <v>0</v>
      </c>
      <c r="X67" s="153">
        <f>IFERROR(SUMIFS(Исход!$O:$O,Исход!$A:$A,X$1,Исход!$B:$B,$A67)/X17,0)</f>
        <v>0</v>
      </c>
      <c r="Y67" s="153">
        <f>IFERROR(SUMIFS(Исход!$O:$O,Исход!$A:$A,Y$1,Исход!$B:$B,$A67)/Y17,0)</f>
        <v>0</v>
      </c>
      <c r="Z67" s="153">
        <f>IFERROR(SUMIFS(Исход!$O:$O,Исход!$A:$A,Z$1,Исход!$B:$B,$A67)/Z17,0)</f>
        <v>0</v>
      </c>
      <c r="AA67" s="153">
        <f>IFERROR(SUMIFS(Исход!$O:$O,Исход!$A:$A,AA$1,Исход!$B:$B,$A67)/AA17,0)</f>
        <v>0</v>
      </c>
      <c r="AB67" s="153">
        <f>IFERROR(SUMIFS(Исход!$O:$O,Исход!$A:$A,AB$1,Исход!$B:$B,$A67)/AB17,0)</f>
        <v>0</v>
      </c>
      <c r="AC67" s="153">
        <f>IFERROR(SUMIFS(Исход!$O:$O,Исход!$A:$A,AC$1,Исход!$B:$B,$A67)/AC17,0)</f>
        <v>0</v>
      </c>
      <c r="AD67" s="153">
        <f>IFERROR(SUMIFS(Исход!$O:$O,Исход!$A:$A,AD$1,Исход!$B:$B,$A67)/AD17,0)</f>
        <v>0</v>
      </c>
      <c r="AE67" s="153">
        <f>IFERROR(SUMIFS(Исход!$O:$O,Исход!$A:$A,AE$1,Исход!$B:$B,$A67)/AE17,0)</f>
        <v>0</v>
      </c>
      <c r="AF67" s="153">
        <f>IFERROR(SUMIFS(Исход!$O:$O,Исход!$A:$A,AF$1,Исход!$B:$B,$A67)/AF17,0)</f>
        <v>0</v>
      </c>
      <c r="AG67" s="154">
        <f>IFERROR(SUMIFS(Исход!$O:$O,Исход!$A:$A,AG$1,Исход!$B:$B,$A67)/AG17,0)</f>
        <v>0</v>
      </c>
    </row>
    <row r="68" spans="1:33" hidden="1" outlineLevel="1" x14ac:dyDescent="0.25">
      <c r="A68" s="106">
        <v>0.29166666666666669</v>
      </c>
      <c r="B68" s="124">
        <v>0.3125</v>
      </c>
      <c r="C68" s="144">
        <f>IFERROR(SUMIFS(Исход!$O:$O,Исход!$A:$A,C$1,Исход!$B:$B,$A68)/C18,0)</f>
        <v>0</v>
      </c>
      <c r="D68" s="141">
        <f>IFERROR(SUMIFS(Исход!$O:$O,Исход!$A:$A,D$1,Исход!$B:$B,$A68)/D18,0)</f>
        <v>0</v>
      </c>
      <c r="E68" s="141">
        <f>IFERROR(SUMIFS(Исход!$O:$O,Исход!$A:$A,E$1,Исход!$B:$B,$A68)/E18,0)</f>
        <v>0</v>
      </c>
      <c r="F68" s="141">
        <f>IFERROR(SUMIFS(Исход!$O:$O,Исход!$A:$A,F$1,Исход!$B:$B,$A68)/F18,0)</f>
        <v>0</v>
      </c>
      <c r="G68" s="141">
        <f>IFERROR(SUMIFS(Исход!$O:$O,Исход!$A:$A,G$1,Исход!$B:$B,$A68)/G18,0)</f>
        <v>0</v>
      </c>
      <c r="H68" s="141">
        <f>IFERROR(SUMIFS(Исход!$O:$O,Исход!$A:$A,H$1,Исход!$B:$B,$A68)/H18,0)</f>
        <v>0</v>
      </c>
      <c r="I68" s="141">
        <f>IFERROR(SUMIFS(Исход!$O:$O,Исход!$A:$A,I$1,Исход!$B:$B,$A68)/I18,0)</f>
        <v>0</v>
      </c>
      <c r="J68" s="141">
        <f>IFERROR(SUMIFS(Исход!$O:$O,Исход!$A:$A,J$1,Исход!$B:$B,$A68)/J18,0)</f>
        <v>0</v>
      </c>
      <c r="K68" s="141">
        <f>IFERROR(SUMIFS(Исход!$O:$O,Исход!$A:$A,K$1,Исход!$B:$B,$A68)/K18,0)</f>
        <v>0</v>
      </c>
      <c r="L68" s="141">
        <f>IFERROR(SUMIFS(Исход!$O:$O,Исход!$A:$A,L$1,Исход!$B:$B,$A68)/L18,0)</f>
        <v>0</v>
      </c>
      <c r="M68" s="141">
        <f>IFERROR(SUMIFS(Исход!$O:$O,Исход!$A:$A,M$1,Исход!$B:$B,$A68)/M18,0)</f>
        <v>0</v>
      </c>
      <c r="N68" s="141">
        <f>IFERROR(SUMIFS(Исход!$O:$O,Исход!$A:$A,N$1,Исход!$B:$B,$A68)/N18,0)</f>
        <v>0</v>
      </c>
      <c r="O68" s="141">
        <f>IFERROR(SUMIFS(Исход!$O:$O,Исход!$A:$A,O$1,Исход!$B:$B,$A68)/O18,0)</f>
        <v>0</v>
      </c>
      <c r="P68" s="141">
        <f>IFERROR(SUMIFS(Исход!$O:$O,Исход!$A:$A,P$1,Исход!$B:$B,$A68)/P18,0)</f>
        <v>0</v>
      </c>
      <c r="Q68" s="141">
        <f>IFERROR(SUMIFS(Исход!$O:$O,Исход!$A:$A,Q$1,Исход!$B:$B,$A68)/Q18,0)</f>
        <v>0</v>
      </c>
      <c r="R68" s="141">
        <f>IFERROR(SUMIFS(Исход!$O:$O,Исход!$A:$A,R$1,Исход!$B:$B,$A68)/R18,0)</f>
        <v>0</v>
      </c>
      <c r="S68" s="141">
        <f>IFERROR(SUMIFS(Исход!$O:$O,Исход!$A:$A,S$1,Исход!$B:$B,$A68)/S18,0)</f>
        <v>0</v>
      </c>
      <c r="T68" s="141">
        <f>IFERROR(SUMIFS(Исход!$O:$O,Исход!$A:$A,T$1,Исход!$B:$B,$A68)/T18,0)</f>
        <v>0</v>
      </c>
      <c r="U68" s="141">
        <f>IFERROR(SUMIFS(Исход!$O:$O,Исход!$A:$A,U$1,Исход!$B:$B,$A68)/U18,0)</f>
        <v>0</v>
      </c>
      <c r="V68" s="141">
        <f>IFERROR(SUMIFS(Исход!$O:$O,Исход!$A:$A,V$1,Исход!$B:$B,$A68)/V18,0)</f>
        <v>0</v>
      </c>
      <c r="W68" s="141">
        <f>IFERROR(SUMIFS(Исход!$O:$O,Исход!$A:$A,W$1,Исход!$B:$B,$A68)/W18,0)</f>
        <v>0</v>
      </c>
      <c r="X68" s="141">
        <f>IFERROR(SUMIFS(Исход!$O:$O,Исход!$A:$A,X$1,Исход!$B:$B,$A68)/X18,0)</f>
        <v>0</v>
      </c>
      <c r="Y68" s="141">
        <f>IFERROR(SUMIFS(Исход!$O:$O,Исход!$A:$A,Y$1,Исход!$B:$B,$A68)/Y18,0)</f>
        <v>0</v>
      </c>
      <c r="Z68" s="141">
        <f>IFERROR(SUMIFS(Исход!$O:$O,Исход!$A:$A,Z$1,Исход!$B:$B,$A68)/Z18,0)</f>
        <v>0</v>
      </c>
      <c r="AA68" s="141">
        <f>IFERROR(SUMIFS(Исход!$O:$O,Исход!$A:$A,AA$1,Исход!$B:$B,$A68)/AA18,0)</f>
        <v>0</v>
      </c>
      <c r="AB68" s="141">
        <f>IFERROR(SUMIFS(Исход!$O:$O,Исход!$A:$A,AB$1,Исход!$B:$B,$A68)/AB18,0)</f>
        <v>0</v>
      </c>
      <c r="AC68" s="141">
        <f>IFERROR(SUMIFS(Исход!$O:$O,Исход!$A:$A,AC$1,Исход!$B:$B,$A68)/AC18,0)</f>
        <v>0</v>
      </c>
      <c r="AD68" s="141">
        <f>IFERROR(SUMIFS(Исход!$O:$O,Исход!$A:$A,AD$1,Исход!$B:$B,$A68)/AD18,0)</f>
        <v>0</v>
      </c>
      <c r="AE68" s="141">
        <f>IFERROR(SUMIFS(Исход!$O:$O,Исход!$A:$A,AE$1,Исход!$B:$B,$A68)/AE18,0)</f>
        <v>0</v>
      </c>
      <c r="AF68" s="141">
        <f>IFERROR(SUMIFS(Исход!$O:$O,Исход!$A:$A,AF$1,Исход!$B:$B,$A68)/AF18,0)</f>
        <v>0</v>
      </c>
      <c r="AG68" s="145">
        <f>IFERROR(SUMIFS(Исход!$O:$O,Исход!$A:$A,AG$1,Исход!$B:$B,$A68)/AG18,0)</f>
        <v>0</v>
      </c>
    </row>
    <row r="69" spans="1:33" hidden="1" outlineLevel="1" x14ac:dyDescent="0.25">
      <c r="A69" s="103">
        <v>0.3125</v>
      </c>
      <c r="B69" s="123">
        <v>0.33333333333333331</v>
      </c>
      <c r="C69" s="143">
        <f>IFERROR(SUMIFS(Исход!$O:$O,Исход!$A:$A,C$1,Исход!$B:$B,$A69)/C19,0)</f>
        <v>0</v>
      </c>
      <c r="D69" s="4">
        <f>IFERROR(SUMIFS(Исход!$O:$O,Исход!$A:$A,D$1,Исход!$B:$B,$A69)/D19,0)</f>
        <v>0</v>
      </c>
      <c r="E69" s="4">
        <f>IFERROR(SUMIFS(Исход!$O:$O,Исход!$A:$A,E$1,Исход!$B:$B,$A69)/E19,0)</f>
        <v>0</v>
      </c>
      <c r="F69" s="4">
        <f>IFERROR(SUMIFS(Исход!$O:$O,Исход!$A:$A,F$1,Исход!$B:$B,$A69)/F19,0)</f>
        <v>0</v>
      </c>
      <c r="G69" s="4">
        <f>IFERROR(SUMIFS(Исход!$O:$O,Исход!$A:$A,G$1,Исход!$B:$B,$A69)/G19,0)</f>
        <v>0</v>
      </c>
      <c r="H69" s="4">
        <f>IFERROR(SUMIFS(Исход!$O:$O,Исход!$A:$A,H$1,Исход!$B:$B,$A69)/H19,0)</f>
        <v>0</v>
      </c>
      <c r="I69" s="4">
        <f>IFERROR(SUMIFS(Исход!$O:$O,Исход!$A:$A,I$1,Исход!$B:$B,$A69)/I19,0)</f>
        <v>0</v>
      </c>
      <c r="J69" s="4">
        <f>IFERROR(SUMIFS(Исход!$O:$O,Исход!$A:$A,J$1,Исход!$B:$B,$A69)/J19,0)</f>
        <v>0</v>
      </c>
      <c r="K69" s="4">
        <f>IFERROR(SUMIFS(Исход!$O:$O,Исход!$A:$A,K$1,Исход!$B:$B,$A69)/K19,0)</f>
        <v>0</v>
      </c>
      <c r="L69" s="4">
        <f>IFERROR(SUMIFS(Исход!$O:$O,Исход!$A:$A,L$1,Исход!$B:$B,$A69)/L19,0)</f>
        <v>0</v>
      </c>
      <c r="M69" s="4">
        <f>IFERROR(SUMIFS(Исход!$O:$O,Исход!$A:$A,M$1,Исход!$B:$B,$A69)/M19,0)</f>
        <v>0</v>
      </c>
      <c r="N69" s="4">
        <f>IFERROR(SUMIFS(Исход!$O:$O,Исход!$A:$A,N$1,Исход!$B:$B,$A69)/N19,0)</f>
        <v>0</v>
      </c>
      <c r="O69" s="4">
        <f>IFERROR(SUMIFS(Исход!$O:$O,Исход!$A:$A,O$1,Исход!$B:$B,$A69)/O19,0)</f>
        <v>0</v>
      </c>
      <c r="P69" s="4">
        <f>IFERROR(SUMIFS(Исход!$O:$O,Исход!$A:$A,P$1,Исход!$B:$B,$A69)/P19,0)</f>
        <v>0</v>
      </c>
      <c r="Q69" s="4">
        <f>IFERROR(SUMIFS(Исход!$O:$O,Исход!$A:$A,Q$1,Исход!$B:$B,$A69)/Q19,0)</f>
        <v>0</v>
      </c>
      <c r="R69" s="4">
        <f>IFERROR(SUMIFS(Исход!$O:$O,Исход!$A:$A,R$1,Исход!$B:$B,$A69)/R19,0)</f>
        <v>0</v>
      </c>
      <c r="S69" s="4">
        <f>IFERROR(SUMIFS(Исход!$O:$O,Исход!$A:$A,S$1,Исход!$B:$B,$A69)/S19,0)</f>
        <v>0</v>
      </c>
      <c r="T69" s="4">
        <f>IFERROR(SUMIFS(Исход!$O:$O,Исход!$A:$A,T$1,Исход!$B:$B,$A69)/T19,0)</f>
        <v>0</v>
      </c>
      <c r="U69" s="4">
        <f>IFERROR(SUMIFS(Исход!$O:$O,Исход!$A:$A,U$1,Исход!$B:$B,$A69)/U19,0)</f>
        <v>0</v>
      </c>
      <c r="V69" s="4">
        <f>IFERROR(SUMIFS(Исход!$O:$O,Исход!$A:$A,V$1,Исход!$B:$B,$A69)/V19,0)</f>
        <v>0</v>
      </c>
      <c r="W69" s="4">
        <f>IFERROR(SUMIFS(Исход!$O:$O,Исход!$A:$A,W$1,Исход!$B:$B,$A69)/W19,0)</f>
        <v>0</v>
      </c>
      <c r="X69" s="4">
        <f>IFERROR(SUMIFS(Исход!$O:$O,Исход!$A:$A,X$1,Исход!$B:$B,$A69)/X19,0)</f>
        <v>0</v>
      </c>
      <c r="Y69" s="4">
        <f>IFERROR(SUMIFS(Исход!$O:$O,Исход!$A:$A,Y$1,Исход!$B:$B,$A69)/Y19,0)</f>
        <v>0</v>
      </c>
      <c r="Z69" s="4">
        <f>IFERROR(SUMIFS(Исход!$O:$O,Исход!$A:$A,Z$1,Исход!$B:$B,$A69)/Z19,0)</f>
        <v>0</v>
      </c>
      <c r="AA69" s="4">
        <f>IFERROR(SUMIFS(Исход!$O:$O,Исход!$A:$A,AA$1,Исход!$B:$B,$A69)/AA19,0)</f>
        <v>0</v>
      </c>
      <c r="AB69" s="4">
        <f>IFERROR(SUMIFS(Исход!$O:$O,Исход!$A:$A,AB$1,Исход!$B:$B,$A69)/AB19,0)</f>
        <v>0</v>
      </c>
      <c r="AC69" s="4">
        <f>IFERROR(SUMIFS(Исход!$O:$O,Исход!$A:$A,AC$1,Исход!$B:$B,$A69)/AC19,0)</f>
        <v>0</v>
      </c>
      <c r="AD69" s="4">
        <f>IFERROR(SUMIFS(Исход!$O:$O,Исход!$A:$A,AD$1,Исход!$B:$B,$A69)/AD19,0)</f>
        <v>0</v>
      </c>
      <c r="AE69" s="4">
        <f>IFERROR(SUMIFS(Исход!$O:$O,Исход!$A:$A,AE$1,Исход!$B:$B,$A69)/AE19,0)</f>
        <v>0</v>
      </c>
      <c r="AF69" s="4">
        <f>IFERROR(SUMIFS(Исход!$O:$O,Исход!$A:$A,AF$1,Исход!$B:$B,$A69)/AF19,0)</f>
        <v>0</v>
      </c>
      <c r="AG69" s="142">
        <f>IFERROR(SUMIFS(Исход!$O:$O,Исход!$A:$A,AG$1,Исход!$B:$B,$A69)/AG19,0)</f>
        <v>0</v>
      </c>
    </row>
    <row r="70" spans="1:33" hidden="1" outlineLevel="1" x14ac:dyDescent="0.25">
      <c r="A70" s="103">
        <v>0.33333333333333331</v>
      </c>
      <c r="B70" s="123">
        <v>0.35416666666666669</v>
      </c>
      <c r="C70" s="143">
        <f>IFERROR(SUMIFS(Исход!$O:$O,Исход!$A:$A,C$1,Исход!$B:$B,$A70)/C20,0)</f>
        <v>0</v>
      </c>
      <c r="D70" s="4">
        <f>IFERROR(SUMIFS(Исход!$O:$O,Исход!$A:$A,D$1,Исход!$B:$B,$A70)/D20,0)</f>
        <v>0</v>
      </c>
      <c r="E70" s="4">
        <f>IFERROR(SUMIFS(Исход!$O:$O,Исход!$A:$A,E$1,Исход!$B:$B,$A70)/E20,0)</f>
        <v>0</v>
      </c>
      <c r="F70" s="4">
        <f>IFERROR(SUMIFS(Исход!$O:$O,Исход!$A:$A,F$1,Исход!$B:$B,$A70)/F20,0)</f>
        <v>0</v>
      </c>
      <c r="G70" s="4">
        <f>IFERROR(SUMIFS(Исход!$O:$O,Исход!$A:$A,G$1,Исход!$B:$B,$A70)/G20,0)</f>
        <v>0</v>
      </c>
      <c r="H70" s="4">
        <f>IFERROR(SUMIFS(Исход!$O:$O,Исход!$A:$A,H$1,Исход!$B:$B,$A70)/H20,0)</f>
        <v>0</v>
      </c>
      <c r="I70" s="4">
        <f>IFERROR(SUMIFS(Исход!$O:$O,Исход!$A:$A,I$1,Исход!$B:$B,$A70)/I20,0)</f>
        <v>0</v>
      </c>
      <c r="J70" s="4">
        <f>IFERROR(SUMIFS(Исход!$O:$O,Исход!$A:$A,J$1,Исход!$B:$B,$A70)/J20,0)</f>
        <v>0</v>
      </c>
      <c r="K70" s="4">
        <f>IFERROR(SUMIFS(Исход!$O:$O,Исход!$A:$A,K$1,Исход!$B:$B,$A70)/K20,0)</f>
        <v>0</v>
      </c>
      <c r="L70" s="4">
        <f>IFERROR(SUMIFS(Исход!$O:$O,Исход!$A:$A,L$1,Исход!$B:$B,$A70)/L20,0)</f>
        <v>0</v>
      </c>
      <c r="M70" s="4">
        <f>IFERROR(SUMIFS(Исход!$O:$O,Исход!$A:$A,M$1,Исход!$B:$B,$A70)/M20,0)</f>
        <v>0</v>
      </c>
      <c r="N70" s="4">
        <f>IFERROR(SUMIFS(Исход!$O:$O,Исход!$A:$A,N$1,Исход!$B:$B,$A70)/N20,0)</f>
        <v>0</v>
      </c>
      <c r="O70" s="4">
        <f>IFERROR(SUMIFS(Исход!$O:$O,Исход!$A:$A,O$1,Исход!$B:$B,$A70)/O20,0)</f>
        <v>0</v>
      </c>
      <c r="P70" s="4">
        <f>IFERROR(SUMIFS(Исход!$O:$O,Исход!$A:$A,P$1,Исход!$B:$B,$A70)/P20,0)</f>
        <v>0</v>
      </c>
      <c r="Q70" s="4">
        <f>IFERROR(SUMIFS(Исход!$O:$O,Исход!$A:$A,Q$1,Исход!$B:$B,$A70)/Q20,0)</f>
        <v>0</v>
      </c>
      <c r="R70" s="4">
        <f>IFERROR(SUMIFS(Исход!$O:$O,Исход!$A:$A,R$1,Исход!$B:$B,$A70)/R20,0)</f>
        <v>0</v>
      </c>
      <c r="S70" s="4">
        <f>IFERROR(SUMIFS(Исход!$O:$O,Исход!$A:$A,S$1,Исход!$B:$B,$A70)/S20,0)</f>
        <v>0</v>
      </c>
      <c r="T70" s="4">
        <f>IFERROR(SUMIFS(Исход!$O:$O,Исход!$A:$A,T$1,Исход!$B:$B,$A70)/T20,0)</f>
        <v>0</v>
      </c>
      <c r="U70" s="4">
        <f>IFERROR(SUMIFS(Исход!$O:$O,Исход!$A:$A,U$1,Исход!$B:$B,$A70)/U20,0)</f>
        <v>0</v>
      </c>
      <c r="V70" s="4">
        <f>IFERROR(SUMIFS(Исход!$O:$O,Исход!$A:$A,V$1,Исход!$B:$B,$A70)/V20,0)</f>
        <v>0</v>
      </c>
      <c r="W70" s="4">
        <f>IFERROR(SUMIFS(Исход!$O:$O,Исход!$A:$A,W$1,Исход!$B:$B,$A70)/W20,0)</f>
        <v>0</v>
      </c>
      <c r="X70" s="4">
        <f>IFERROR(SUMIFS(Исход!$O:$O,Исход!$A:$A,X$1,Исход!$B:$B,$A70)/X20,0)</f>
        <v>0</v>
      </c>
      <c r="Y70" s="4">
        <f>IFERROR(SUMIFS(Исход!$O:$O,Исход!$A:$A,Y$1,Исход!$B:$B,$A70)/Y20,0)</f>
        <v>0</v>
      </c>
      <c r="Z70" s="4">
        <f>IFERROR(SUMIFS(Исход!$O:$O,Исход!$A:$A,Z$1,Исход!$B:$B,$A70)/Z20,0)</f>
        <v>0</v>
      </c>
      <c r="AA70" s="4">
        <f>IFERROR(SUMIFS(Исход!$O:$O,Исход!$A:$A,AA$1,Исход!$B:$B,$A70)/AA20,0)</f>
        <v>0</v>
      </c>
      <c r="AB70" s="4">
        <f>IFERROR(SUMIFS(Исход!$O:$O,Исход!$A:$A,AB$1,Исход!$B:$B,$A70)/AB20,0)</f>
        <v>0</v>
      </c>
      <c r="AC70" s="4">
        <f>IFERROR(SUMIFS(Исход!$O:$O,Исход!$A:$A,AC$1,Исход!$B:$B,$A70)/AC20,0)</f>
        <v>0</v>
      </c>
      <c r="AD70" s="4">
        <f>IFERROR(SUMIFS(Исход!$O:$O,Исход!$A:$A,AD$1,Исход!$B:$B,$A70)/AD20,0)</f>
        <v>0</v>
      </c>
      <c r="AE70" s="4">
        <f>IFERROR(SUMIFS(Исход!$O:$O,Исход!$A:$A,AE$1,Исход!$B:$B,$A70)/AE20,0)</f>
        <v>0</v>
      </c>
      <c r="AF70" s="4">
        <f>IFERROR(SUMIFS(Исход!$O:$O,Исход!$A:$A,AF$1,Исход!$B:$B,$A70)/AF20,0)</f>
        <v>0</v>
      </c>
      <c r="AG70" s="142">
        <f>IFERROR(SUMIFS(Исход!$O:$O,Исход!$A:$A,AG$1,Исход!$B:$B,$A70)/AG20,0)</f>
        <v>0</v>
      </c>
    </row>
    <row r="71" spans="1:33" hidden="1" outlineLevel="1" x14ac:dyDescent="0.25">
      <c r="A71" s="103">
        <v>0.35416666666666669</v>
      </c>
      <c r="B71" s="123">
        <v>0.375</v>
      </c>
      <c r="C71" s="143">
        <f>IFERROR(SUMIFS(Исход!$O:$O,Исход!$A:$A,C$1,Исход!$B:$B,$A71)/C21,0)</f>
        <v>0</v>
      </c>
      <c r="D71" s="4">
        <f>IFERROR(SUMIFS(Исход!$O:$O,Исход!$A:$A,D$1,Исход!$B:$B,$A71)/D21,0)</f>
        <v>0</v>
      </c>
      <c r="E71" s="4">
        <f>IFERROR(SUMIFS(Исход!$O:$O,Исход!$A:$A,E$1,Исход!$B:$B,$A71)/E21,0)</f>
        <v>0</v>
      </c>
      <c r="F71" s="4">
        <f>IFERROR(SUMIFS(Исход!$O:$O,Исход!$A:$A,F$1,Исход!$B:$B,$A71)/F21,0)</f>
        <v>0</v>
      </c>
      <c r="G71" s="4">
        <f>IFERROR(SUMIFS(Исход!$O:$O,Исход!$A:$A,G$1,Исход!$B:$B,$A71)/G21,0)</f>
        <v>0</v>
      </c>
      <c r="H71" s="4">
        <f>IFERROR(SUMIFS(Исход!$O:$O,Исход!$A:$A,H$1,Исход!$B:$B,$A71)/H21,0)</f>
        <v>0</v>
      </c>
      <c r="I71" s="4">
        <f>IFERROR(SUMIFS(Исход!$O:$O,Исход!$A:$A,I$1,Исход!$B:$B,$A71)/I21,0)</f>
        <v>0</v>
      </c>
      <c r="J71" s="4">
        <f>IFERROR(SUMIFS(Исход!$O:$O,Исход!$A:$A,J$1,Исход!$B:$B,$A71)/J21,0)</f>
        <v>0</v>
      </c>
      <c r="K71" s="4">
        <f>IFERROR(SUMIFS(Исход!$O:$O,Исход!$A:$A,K$1,Исход!$B:$B,$A71)/K21,0)</f>
        <v>0</v>
      </c>
      <c r="L71" s="4">
        <f>IFERROR(SUMIFS(Исход!$O:$O,Исход!$A:$A,L$1,Исход!$B:$B,$A71)/L21,0)</f>
        <v>0</v>
      </c>
      <c r="M71" s="4">
        <f>IFERROR(SUMIFS(Исход!$O:$O,Исход!$A:$A,M$1,Исход!$B:$B,$A71)/M21,0)</f>
        <v>0</v>
      </c>
      <c r="N71" s="4">
        <f>IFERROR(SUMIFS(Исход!$O:$O,Исход!$A:$A,N$1,Исход!$B:$B,$A71)/N21,0)</f>
        <v>0</v>
      </c>
      <c r="O71" s="4">
        <f>IFERROR(SUMIFS(Исход!$O:$O,Исход!$A:$A,O$1,Исход!$B:$B,$A71)/O21,0)</f>
        <v>0</v>
      </c>
      <c r="P71" s="4">
        <f>IFERROR(SUMIFS(Исход!$O:$O,Исход!$A:$A,P$1,Исход!$B:$B,$A71)/P21,0)</f>
        <v>0</v>
      </c>
      <c r="Q71" s="4">
        <f>IFERROR(SUMIFS(Исход!$O:$O,Исход!$A:$A,Q$1,Исход!$B:$B,$A71)/Q21,0)</f>
        <v>0</v>
      </c>
      <c r="R71" s="4">
        <f>IFERROR(SUMIFS(Исход!$O:$O,Исход!$A:$A,R$1,Исход!$B:$B,$A71)/R21,0)</f>
        <v>0</v>
      </c>
      <c r="S71" s="4">
        <f>IFERROR(SUMIFS(Исход!$O:$O,Исход!$A:$A,S$1,Исход!$B:$B,$A71)/S21,0)</f>
        <v>0</v>
      </c>
      <c r="T71" s="4">
        <f>IFERROR(SUMIFS(Исход!$O:$O,Исход!$A:$A,T$1,Исход!$B:$B,$A71)/T21,0)</f>
        <v>0</v>
      </c>
      <c r="U71" s="4">
        <f>IFERROR(SUMIFS(Исход!$O:$O,Исход!$A:$A,U$1,Исход!$B:$B,$A71)/U21,0)</f>
        <v>0</v>
      </c>
      <c r="V71" s="4">
        <f>IFERROR(SUMIFS(Исход!$O:$O,Исход!$A:$A,V$1,Исход!$B:$B,$A71)/V21,0)</f>
        <v>0</v>
      </c>
      <c r="W71" s="4">
        <f>IFERROR(SUMIFS(Исход!$O:$O,Исход!$A:$A,W$1,Исход!$B:$B,$A71)/W21,0)</f>
        <v>0</v>
      </c>
      <c r="X71" s="4">
        <f>IFERROR(SUMIFS(Исход!$O:$O,Исход!$A:$A,X$1,Исход!$B:$B,$A71)/X21,0)</f>
        <v>0</v>
      </c>
      <c r="Y71" s="4">
        <f>IFERROR(SUMIFS(Исход!$O:$O,Исход!$A:$A,Y$1,Исход!$B:$B,$A71)/Y21,0)</f>
        <v>0</v>
      </c>
      <c r="Z71" s="4">
        <f>IFERROR(SUMIFS(Исход!$O:$O,Исход!$A:$A,Z$1,Исход!$B:$B,$A71)/Z21,0)</f>
        <v>0</v>
      </c>
      <c r="AA71" s="4">
        <f>IFERROR(SUMIFS(Исход!$O:$O,Исход!$A:$A,AA$1,Исход!$B:$B,$A71)/AA21,0)</f>
        <v>0</v>
      </c>
      <c r="AB71" s="4">
        <f>IFERROR(SUMIFS(Исход!$O:$O,Исход!$A:$A,AB$1,Исход!$B:$B,$A71)/AB21,0)</f>
        <v>0</v>
      </c>
      <c r="AC71" s="4">
        <f>IFERROR(SUMIFS(Исход!$O:$O,Исход!$A:$A,AC$1,Исход!$B:$B,$A71)/AC21,0)</f>
        <v>0</v>
      </c>
      <c r="AD71" s="4">
        <f>IFERROR(SUMIFS(Исход!$O:$O,Исход!$A:$A,AD$1,Исход!$B:$B,$A71)/AD21,0)</f>
        <v>0</v>
      </c>
      <c r="AE71" s="4">
        <f>IFERROR(SUMIFS(Исход!$O:$O,Исход!$A:$A,AE$1,Исход!$B:$B,$A71)/AE21,0)</f>
        <v>0</v>
      </c>
      <c r="AF71" s="4">
        <f>IFERROR(SUMIFS(Исход!$O:$O,Исход!$A:$A,AF$1,Исход!$B:$B,$A71)/AF21,0)</f>
        <v>0</v>
      </c>
      <c r="AG71" s="142">
        <f>IFERROR(SUMIFS(Исход!$O:$O,Исход!$A:$A,AG$1,Исход!$B:$B,$A71)/AG21,0)</f>
        <v>0</v>
      </c>
    </row>
    <row r="72" spans="1:33" hidden="1" outlineLevel="1" x14ac:dyDescent="0.25">
      <c r="A72" s="103">
        <v>0.375</v>
      </c>
      <c r="B72" s="123">
        <v>0.39583333333333331</v>
      </c>
      <c r="C72" s="143">
        <f>IFERROR(SUMIFS(Исход!$O:$O,Исход!$A:$A,C$1,Исход!$B:$B,$A72)/C22,0)</f>
        <v>0</v>
      </c>
      <c r="D72" s="4">
        <f>IFERROR(SUMIFS(Исход!$O:$O,Исход!$A:$A,D$1,Исход!$B:$B,$A72)/D22,0)</f>
        <v>0</v>
      </c>
      <c r="E72" s="4">
        <f>IFERROR(SUMIFS(Исход!$O:$O,Исход!$A:$A,E$1,Исход!$B:$B,$A72)/E22,0)</f>
        <v>0</v>
      </c>
      <c r="F72" s="4">
        <f>IFERROR(SUMIFS(Исход!$O:$O,Исход!$A:$A,F$1,Исход!$B:$B,$A72)/F22,0)</f>
        <v>0</v>
      </c>
      <c r="G72" s="4">
        <f>IFERROR(SUMIFS(Исход!$O:$O,Исход!$A:$A,G$1,Исход!$B:$B,$A72)/G22,0)</f>
        <v>0</v>
      </c>
      <c r="H72" s="4">
        <f>IFERROR(SUMIFS(Исход!$O:$O,Исход!$A:$A,H$1,Исход!$B:$B,$A72)/H22,0)</f>
        <v>0</v>
      </c>
      <c r="I72" s="4">
        <f>IFERROR(SUMIFS(Исход!$O:$O,Исход!$A:$A,I$1,Исход!$B:$B,$A72)/I22,0)</f>
        <v>0</v>
      </c>
      <c r="J72" s="4">
        <f>IFERROR(SUMIFS(Исход!$O:$O,Исход!$A:$A,J$1,Исход!$B:$B,$A72)/J22,0)</f>
        <v>0</v>
      </c>
      <c r="K72" s="4">
        <f>IFERROR(SUMIFS(Исход!$O:$O,Исход!$A:$A,K$1,Исход!$B:$B,$A72)/K22,0)</f>
        <v>0</v>
      </c>
      <c r="L72" s="4">
        <f>IFERROR(SUMIFS(Исход!$O:$O,Исход!$A:$A,L$1,Исход!$B:$B,$A72)/L22,0)</f>
        <v>0</v>
      </c>
      <c r="M72" s="4">
        <f>IFERROR(SUMIFS(Исход!$O:$O,Исход!$A:$A,M$1,Исход!$B:$B,$A72)/M22,0)</f>
        <v>0</v>
      </c>
      <c r="N72" s="4">
        <f>IFERROR(SUMIFS(Исход!$O:$O,Исход!$A:$A,N$1,Исход!$B:$B,$A72)/N22,0)</f>
        <v>0</v>
      </c>
      <c r="O72" s="4">
        <f>IFERROR(SUMIFS(Исход!$O:$O,Исход!$A:$A,O$1,Исход!$B:$B,$A72)/O22,0)</f>
        <v>0</v>
      </c>
      <c r="P72" s="4">
        <f>IFERROR(SUMIFS(Исход!$O:$O,Исход!$A:$A,P$1,Исход!$B:$B,$A72)/P22,0)</f>
        <v>0</v>
      </c>
      <c r="Q72" s="4">
        <f>IFERROR(SUMIFS(Исход!$O:$O,Исход!$A:$A,Q$1,Исход!$B:$B,$A72)/Q22,0)</f>
        <v>0</v>
      </c>
      <c r="R72" s="4">
        <f>IFERROR(SUMIFS(Исход!$O:$O,Исход!$A:$A,R$1,Исход!$B:$B,$A72)/R22,0)</f>
        <v>0</v>
      </c>
      <c r="S72" s="4">
        <f>IFERROR(SUMIFS(Исход!$O:$O,Исход!$A:$A,S$1,Исход!$B:$B,$A72)/S22,0)</f>
        <v>0</v>
      </c>
      <c r="T72" s="4">
        <f>IFERROR(SUMIFS(Исход!$O:$O,Исход!$A:$A,T$1,Исход!$B:$B,$A72)/T22,0)</f>
        <v>0</v>
      </c>
      <c r="U72" s="4">
        <f>IFERROR(SUMIFS(Исход!$O:$O,Исход!$A:$A,U$1,Исход!$B:$B,$A72)/U22,0)</f>
        <v>0</v>
      </c>
      <c r="V72" s="4">
        <f>IFERROR(SUMIFS(Исход!$O:$O,Исход!$A:$A,V$1,Исход!$B:$B,$A72)/V22,0)</f>
        <v>0</v>
      </c>
      <c r="W72" s="4">
        <f>IFERROR(SUMIFS(Исход!$O:$O,Исход!$A:$A,W$1,Исход!$B:$B,$A72)/W22,0)</f>
        <v>0</v>
      </c>
      <c r="X72" s="4">
        <f>IFERROR(SUMIFS(Исход!$O:$O,Исход!$A:$A,X$1,Исход!$B:$B,$A72)/X22,0)</f>
        <v>0</v>
      </c>
      <c r="Y72" s="4">
        <f>IFERROR(SUMIFS(Исход!$O:$O,Исход!$A:$A,Y$1,Исход!$B:$B,$A72)/Y22,0)</f>
        <v>0</v>
      </c>
      <c r="Z72" s="4">
        <f>IFERROR(SUMIFS(Исход!$O:$O,Исход!$A:$A,Z$1,Исход!$B:$B,$A72)/Z22,0)</f>
        <v>0</v>
      </c>
      <c r="AA72" s="4">
        <f>IFERROR(SUMIFS(Исход!$O:$O,Исход!$A:$A,AA$1,Исход!$B:$B,$A72)/AA22,0)</f>
        <v>0</v>
      </c>
      <c r="AB72" s="4">
        <f>IFERROR(SUMIFS(Исход!$O:$O,Исход!$A:$A,AB$1,Исход!$B:$B,$A72)/AB22,0)</f>
        <v>0</v>
      </c>
      <c r="AC72" s="4">
        <f>IFERROR(SUMIFS(Исход!$O:$O,Исход!$A:$A,AC$1,Исход!$B:$B,$A72)/AC22,0)</f>
        <v>0</v>
      </c>
      <c r="AD72" s="4">
        <f>IFERROR(SUMIFS(Исход!$O:$O,Исход!$A:$A,AD$1,Исход!$B:$B,$A72)/AD22,0)</f>
        <v>0</v>
      </c>
      <c r="AE72" s="4">
        <f>IFERROR(SUMIFS(Исход!$O:$O,Исход!$A:$A,AE$1,Исход!$B:$B,$A72)/AE22,0)</f>
        <v>0</v>
      </c>
      <c r="AF72" s="4">
        <f>IFERROR(SUMIFS(Исход!$O:$O,Исход!$A:$A,AF$1,Исход!$B:$B,$A72)/AF22,0)</f>
        <v>0</v>
      </c>
      <c r="AG72" s="142">
        <f>IFERROR(SUMIFS(Исход!$O:$O,Исход!$A:$A,AG$1,Исход!$B:$B,$A72)/AG22,0)</f>
        <v>0</v>
      </c>
    </row>
    <row r="73" spans="1:33" hidden="1" outlineLevel="1" x14ac:dyDescent="0.25">
      <c r="A73" s="103">
        <v>0.39583333333333331</v>
      </c>
      <c r="B73" s="123">
        <v>0.41666666666666669</v>
      </c>
      <c r="C73" s="143">
        <f>IFERROR(SUMIFS(Исход!$O:$O,Исход!$A:$A,C$1,Исход!$B:$B,$A73)/C23,0)</f>
        <v>0</v>
      </c>
      <c r="D73" s="4">
        <f>IFERROR(SUMIFS(Исход!$O:$O,Исход!$A:$A,D$1,Исход!$B:$B,$A73)/D23,0)</f>
        <v>0</v>
      </c>
      <c r="E73" s="4">
        <f>IFERROR(SUMIFS(Исход!$O:$O,Исход!$A:$A,E$1,Исход!$B:$B,$A73)/E23,0)</f>
        <v>0</v>
      </c>
      <c r="F73" s="4">
        <f>IFERROR(SUMIFS(Исход!$O:$O,Исход!$A:$A,F$1,Исход!$B:$B,$A73)/F23,0)</f>
        <v>0</v>
      </c>
      <c r="G73" s="4">
        <f>IFERROR(SUMIFS(Исход!$O:$O,Исход!$A:$A,G$1,Исход!$B:$B,$A73)/G23,0)</f>
        <v>0</v>
      </c>
      <c r="H73" s="4">
        <f>IFERROR(SUMIFS(Исход!$O:$O,Исход!$A:$A,H$1,Исход!$B:$B,$A73)/H23,0)</f>
        <v>0</v>
      </c>
      <c r="I73" s="4">
        <f>IFERROR(SUMIFS(Исход!$O:$O,Исход!$A:$A,I$1,Исход!$B:$B,$A73)/I23,0)</f>
        <v>0</v>
      </c>
      <c r="J73" s="4">
        <f>IFERROR(SUMIFS(Исход!$O:$O,Исход!$A:$A,J$1,Исход!$B:$B,$A73)/J23,0)</f>
        <v>0</v>
      </c>
      <c r="K73" s="4">
        <f>IFERROR(SUMIFS(Исход!$O:$O,Исход!$A:$A,K$1,Исход!$B:$B,$A73)/K23,0)</f>
        <v>0</v>
      </c>
      <c r="L73" s="4">
        <f>IFERROR(SUMIFS(Исход!$O:$O,Исход!$A:$A,L$1,Исход!$B:$B,$A73)/L23,0)</f>
        <v>0</v>
      </c>
      <c r="M73" s="4">
        <f>IFERROR(SUMIFS(Исход!$O:$O,Исход!$A:$A,M$1,Исход!$B:$B,$A73)/M23,0)</f>
        <v>0</v>
      </c>
      <c r="N73" s="4">
        <f>IFERROR(SUMIFS(Исход!$O:$O,Исход!$A:$A,N$1,Исход!$B:$B,$A73)/N23,0)</f>
        <v>0</v>
      </c>
      <c r="O73" s="4">
        <f>IFERROR(SUMIFS(Исход!$O:$O,Исход!$A:$A,O$1,Исход!$B:$B,$A73)/O23,0)</f>
        <v>0</v>
      </c>
      <c r="P73" s="4">
        <f>IFERROR(SUMIFS(Исход!$O:$O,Исход!$A:$A,P$1,Исход!$B:$B,$A73)/P23,0)</f>
        <v>0</v>
      </c>
      <c r="Q73" s="4">
        <f>IFERROR(SUMIFS(Исход!$O:$O,Исход!$A:$A,Q$1,Исход!$B:$B,$A73)/Q23,0)</f>
        <v>0</v>
      </c>
      <c r="R73" s="4">
        <f>IFERROR(SUMIFS(Исход!$O:$O,Исход!$A:$A,R$1,Исход!$B:$B,$A73)/R23,0)</f>
        <v>0</v>
      </c>
      <c r="S73" s="4">
        <f>IFERROR(SUMIFS(Исход!$O:$O,Исход!$A:$A,S$1,Исход!$B:$B,$A73)/S23,0)</f>
        <v>0</v>
      </c>
      <c r="T73" s="4">
        <f>IFERROR(SUMIFS(Исход!$O:$O,Исход!$A:$A,T$1,Исход!$B:$B,$A73)/T23,0)</f>
        <v>0</v>
      </c>
      <c r="U73" s="4">
        <f>IFERROR(SUMIFS(Исход!$O:$O,Исход!$A:$A,U$1,Исход!$B:$B,$A73)/U23,0)</f>
        <v>0</v>
      </c>
      <c r="V73" s="4">
        <f>IFERROR(SUMIFS(Исход!$O:$O,Исход!$A:$A,V$1,Исход!$B:$B,$A73)/V23,0)</f>
        <v>0</v>
      </c>
      <c r="W73" s="4">
        <f>IFERROR(SUMIFS(Исход!$O:$O,Исход!$A:$A,W$1,Исход!$B:$B,$A73)/W23,0)</f>
        <v>0</v>
      </c>
      <c r="X73" s="4">
        <f>IFERROR(SUMIFS(Исход!$O:$O,Исход!$A:$A,X$1,Исход!$B:$B,$A73)/X23,0)</f>
        <v>0</v>
      </c>
      <c r="Y73" s="4">
        <f>IFERROR(SUMIFS(Исход!$O:$O,Исход!$A:$A,Y$1,Исход!$B:$B,$A73)/Y23,0)</f>
        <v>0</v>
      </c>
      <c r="Z73" s="4">
        <f>IFERROR(SUMIFS(Исход!$O:$O,Исход!$A:$A,Z$1,Исход!$B:$B,$A73)/Z23,0)</f>
        <v>0</v>
      </c>
      <c r="AA73" s="4">
        <f>IFERROR(SUMIFS(Исход!$O:$O,Исход!$A:$A,AA$1,Исход!$B:$B,$A73)/AA23,0)</f>
        <v>0</v>
      </c>
      <c r="AB73" s="4">
        <f>IFERROR(SUMIFS(Исход!$O:$O,Исход!$A:$A,AB$1,Исход!$B:$B,$A73)/AB23,0)</f>
        <v>0</v>
      </c>
      <c r="AC73" s="4">
        <f>IFERROR(SUMIFS(Исход!$O:$O,Исход!$A:$A,AC$1,Исход!$B:$B,$A73)/AC23,0)</f>
        <v>0</v>
      </c>
      <c r="AD73" s="4">
        <f>IFERROR(SUMIFS(Исход!$O:$O,Исход!$A:$A,AD$1,Исход!$B:$B,$A73)/AD23,0)</f>
        <v>0</v>
      </c>
      <c r="AE73" s="4">
        <f>IFERROR(SUMIFS(Исход!$O:$O,Исход!$A:$A,AE$1,Исход!$B:$B,$A73)/AE23,0)</f>
        <v>0</v>
      </c>
      <c r="AF73" s="4">
        <f>IFERROR(SUMIFS(Исход!$O:$O,Исход!$A:$A,AF$1,Исход!$B:$B,$A73)/AF23,0)</f>
        <v>0</v>
      </c>
      <c r="AG73" s="142">
        <f>IFERROR(SUMIFS(Исход!$O:$O,Исход!$A:$A,AG$1,Исход!$B:$B,$A73)/AG23,0)</f>
        <v>0</v>
      </c>
    </row>
    <row r="74" spans="1:33" hidden="1" outlineLevel="1" x14ac:dyDescent="0.25">
      <c r="A74" s="103">
        <v>0.41666666666666669</v>
      </c>
      <c r="B74" s="123">
        <v>0.4375</v>
      </c>
      <c r="C74" s="143">
        <f>IFERROR(SUMIFS(Исход!$O:$O,Исход!$A:$A,C$1,Исход!$B:$B,$A74)/C24,0)</f>
        <v>0</v>
      </c>
      <c r="D74" s="4">
        <f>IFERROR(SUMIFS(Исход!$O:$O,Исход!$A:$A,D$1,Исход!$B:$B,$A74)/D24,0)</f>
        <v>0</v>
      </c>
      <c r="E74" s="4">
        <f>IFERROR(SUMIFS(Исход!$O:$O,Исход!$A:$A,E$1,Исход!$B:$B,$A74)/E24,0)</f>
        <v>0</v>
      </c>
      <c r="F74" s="4">
        <f>IFERROR(SUMIFS(Исход!$O:$O,Исход!$A:$A,F$1,Исход!$B:$B,$A74)/F24,0)</f>
        <v>0</v>
      </c>
      <c r="G74" s="4">
        <f>IFERROR(SUMIFS(Исход!$O:$O,Исход!$A:$A,G$1,Исход!$B:$B,$A74)/G24,0)</f>
        <v>0</v>
      </c>
      <c r="H74" s="4">
        <f>IFERROR(SUMIFS(Исход!$O:$O,Исход!$A:$A,H$1,Исход!$B:$B,$A74)/H24,0)</f>
        <v>0</v>
      </c>
      <c r="I74" s="4">
        <f>IFERROR(SUMIFS(Исход!$O:$O,Исход!$A:$A,I$1,Исход!$B:$B,$A74)/I24,0)</f>
        <v>0</v>
      </c>
      <c r="J74" s="4">
        <f>IFERROR(SUMIFS(Исход!$O:$O,Исход!$A:$A,J$1,Исход!$B:$B,$A74)/J24,0)</f>
        <v>0</v>
      </c>
      <c r="K74" s="4">
        <f>IFERROR(SUMIFS(Исход!$O:$O,Исход!$A:$A,K$1,Исход!$B:$B,$A74)/K24,0)</f>
        <v>0</v>
      </c>
      <c r="L74" s="4">
        <f>IFERROR(SUMIFS(Исход!$O:$O,Исход!$A:$A,L$1,Исход!$B:$B,$A74)/L24,0)</f>
        <v>0</v>
      </c>
      <c r="M74" s="4">
        <f>IFERROR(SUMIFS(Исход!$O:$O,Исход!$A:$A,M$1,Исход!$B:$B,$A74)/M24,0)</f>
        <v>0</v>
      </c>
      <c r="N74" s="4">
        <f>IFERROR(SUMIFS(Исход!$O:$O,Исход!$A:$A,N$1,Исход!$B:$B,$A74)/N24,0)</f>
        <v>0</v>
      </c>
      <c r="O74" s="4">
        <f>IFERROR(SUMIFS(Исход!$O:$O,Исход!$A:$A,O$1,Исход!$B:$B,$A74)/O24,0)</f>
        <v>0</v>
      </c>
      <c r="P74" s="4">
        <f>IFERROR(SUMIFS(Исход!$O:$O,Исход!$A:$A,P$1,Исход!$B:$B,$A74)/P24,0)</f>
        <v>0</v>
      </c>
      <c r="Q74" s="4">
        <f>IFERROR(SUMIFS(Исход!$O:$O,Исход!$A:$A,Q$1,Исход!$B:$B,$A74)/Q24,0)</f>
        <v>0</v>
      </c>
      <c r="R74" s="4">
        <f>IFERROR(SUMIFS(Исход!$O:$O,Исход!$A:$A,R$1,Исход!$B:$B,$A74)/R24,0)</f>
        <v>0</v>
      </c>
      <c r="S74" s="4">
        <f>IFERROR(SUMIFS(Исход!$O:$O,Исход!$A:$A,S$1,Исход!$B:$B,$A74)/S24,0)</f>
        <v>0</v>
      </c>
      <c r="T74" s="4">
        <f>IFERROR(SUMIFS(Исход!$O:$O,Исход!$A:$A,T$1,Исход!$B:$B,$A74)/T24,0)</f>
        <v>0</v>
      </c>
      <c r="U74" s="4">
        <f>IFERROR(SUMIFS(Исход!$O:$O,Исход!$A:$A,U$1,Исход!$B:$B,$A74)/U24,0)</f>
        <v>0</v>
      </c>
      <c r="V74" s="4">
        <f>IFERROR(SUMIFS(Исход!$O:$O,Исход!$A:$A,V$1,Исход!$B:$B,$A74)/V24,0)</f>
        <v>0</v>
      </c>
      <c r="W74" s="4">
        <f>IFERROR(SUMIFS(Исход!$O:$O,Исход!$A:$A,W$1,Исход!$B:$B,$A74)/W24,0)</f>
        <v>0</v>
      </c>
      <c r="X74" s="4">
        <f>IFERROR(SUMIFS(Исход!$O:$O,Исход!$A:$A,X$1,Исход!$B:$B,$A74)/X24,0)</f>
        <v>0</v>
      </c>
      <c r="Y74" s="4">
        <f>IFERROR(SUMIFS(Исход!$O:$O,Исход!$A:$A,Y$1,Исход!$B:$B,$A74)/Y24,0)</f>
        <v>0</v>
      </c>
      <c r="Z74" s="4">
        <f>IFERROR(SUMIFS(Исход!$O:$O,Исход!$A:$A,Z$1,Исход!$B:$B,$A74)/Z24,0)</f>
        <v>0</v>
      </c>
      <c r="AA74" s="4">
        <f>IFERROR(SUMIFS(Исход!$O:$O,Исход!$A:$A,AA$1,Исход!$B:$B,$A74)/AA24,0)</f>
        <v>0</v>
      </c>
      <c r="AB74" s="4">
        <f>IFERROR(SUMIFS(Исход!$O:$O,Исход!$A:$A,AB$1,Исход!$B:$B,$A74)/AB24,0)</f>
        <v>0</v>
      </c>
      <c r="AC74" s="4">
        <f>IFERROR(SUMIFS(Исход!$O:$O,Исход!$A:$A,AC$1,Исход!$B:$B,$A74)/AC24,0)</f>
        <v>0</v>
      </c>
      <c r="AD74" s="4">
        <f>IFERROR(SUMIFS(Исход!$O:$O,Исход!$A:$A,AD$1,Исход!$B:$B,$A74)/AD24,0)</f>
        <v>0</v>
      </c>
      <c r="AE74" s="4">
        <f>IFERROR(SUMIFS(Исход!$O:$O,Исход!$A:$A,AE$1,Исход!$B:$B,$A74)/AE24,0)</f>
        <v>0</v>
      </c>
      <c r="AF74" s="4">
        <f>IFERROR(SUMIFS(Исход!$O:$O,Исход!$A:$A,AF$1,Исход!$B:$B,$A74)/AF24,0)</f>
        <v>0</v>
      </c>
      <c r="AG74" s="142">
        <f>IFERROR(SUMIFS(Исход!$O:$O,Исход!$A:$A,AG$1,Исход!$B:$B,$A74)/AG24,0)</f>
        <v>0</v>
      </c>
    </row>
    <row r="75" spans="1:33" hidden="1" outlineLevel="1" x14ac:dyDescent="0.25">
      <c r="A75" s="103">
        <v>0.4375</v>
      </c>
      <c r="B75" s="123">
        <v>0.45833333333333331</v>
      </c>
      <c r="C75" s="143">
        <f>IFERROR(SUMIFS(Исход!$O:$O,Исход!$A:$A,C$1,Исход!$B:$B,$A75)/C25,0)</f>
        <v>0</v>
      </c>
      <c r="D75" s="4">
        <f>IFERROR(SUMIFS(Исход!$O:$O,Исход!$A:$A,D$1,Исход!$B:$B,$A75)/D25,0)</f>
        <v>0</v>
      </c>
      <c r="E75" s="4">
        <f>IFERROR(SUMIFS(Исход!$O:$O,Исход!$A:$A,E$1,Исход!$B:$B,$A75)/E25,0)</f>
        <v>0</v>
      </c>
      <c r="F75" s="4">
        <f>IFERROR(SUMIFS(Исход!$O:$O,Исход!$A:$A,F$1,Исход!$B:$B,$A75)/F25,0)</f>
        <v>0</v>
      </c>
      <c r="G75" s="4">
        <f>IFERROR(SUMIFS(Исход!$O:$O,Исход!$A:$A,G$1,Исход!$B:$B,$A75)/G25,0)</f>
        <v>0</v>
      </c>
      <c r="H75" s="4">
        <f>IFERROR(SUMIFS(Исход!$O:$O,Исход!$A:$A,H$1,Исход!$B:$B,$A75)/H25,0)</f>
        <v>0</v>
      </c>
      <c r="I75" s="4">
        <f>IFERROR(SUMIFS(Исход!$O:$O,Исход!$A:$A,I$1,Исход!$B:$B,$A75)/I25,0)</f>
        <v>0</v>
      </c>
      <c r="J75" s="4">
        <f>IFERROR(SUMIFS(Исход!$O:$O,Исход!$A:$A,J$1,Исход!$B:$B,$A75)/J25,0)</f>
        <v>0</v>
      </c>
      <c r="K75" s="4">
        <f>IFERROR(SUMIFS(Исход!$O:$O,Исход!$A:$A,K$1,Исход!$B:$B,$A75)/K25,0)</f>
        <v>0</v>
      </c>
      <c r="L75" s="4">
        <f>IFERROR(SUMIFS(Исход!$O:$O,Исход!$A:$A,L$1,Исход!$B:$B,$A75)/L25,0)</f>
        <v>0</v>
      </c>
      <c r="M75" s="4">
        <f>IFERROR(SUMIFS(Исход!$O:$O,Исход!$A:$A,M$1,Исход!$B:$B,$A75)/M25,0)</f>
        <v>0</v>
      </c>
      <c r="N75" s="4">
        <f>IFERROR(SUMIFS(Исход!$O:$O,Исход!$A:$A,N$1,Исход!$B:$B,$A75)/N25,0)</f>
        <v>0</v>
      </c>
      <c r="O75" s="4">
        <f>IFERROR(SUMIFS(Исход!$O:$O,Исход!$A:$A,O$1,Исход!$B:$B,$A75)/O25,0)</f>
        <v>0</v>
      </c>
      <c r="P75" s="4">
        <f>IFERROR(SUMIFS(Исход!$O:$O,Исход!$A:$A,P$1,Исход!$B:$B,$A75)/P25,0)</f>
        <v>0</v>
      </c>
      <c r="Q75" s="4">
        <f>IFERROR(SUMIFS(Исход!$O:$O,Исход!$A:$A,Q$1,Исход!$B:$B,$A75)/Q25,0)</f>
        <v>0</v>
      </c>
      <c r="R75" s="4">
        <f>IFERROR(SUMIFS(Исход!$O:$O,Исход!$A:$A,R$1,Исход!$B:$B,$A75)/R25,0)</f>
        <v>0</v>
      </c>
      <c r="S75" s="4">
        <f>IFERROR(SUMIFS(Исход!$O:$O,Исход!$A:$A,S$1,Исход!$B:$B,$A75)/S25,0)</f>
        <v>0</v>
      </c>
      <c r="T75" s="4">
        <f>IFERROR(SUMIFS(Исход!$O:$O,Исход!$A:$A,T$1,Исход!$B:$B,$A75)/T25,0)</f>
        <v>0</v>
      </c>
      <c r="U75" s="4">
        <f>IFERROR(SUMIFS(Исход!$O:$O,Исход!$A:$A,U$1,Исход!$B:$B,$A75)/U25,0)</f>
        <v>0</v>
      </c>
      <c r="V75" s="4">
        <f>IFERROR(SUMIFS(Исход!$O:$O,Исход!$A:$A,V$1,Исход!$B:$B,$A75)/V25,0)</f>
        <v>0</v>
      </c>
      <c r="W75" s="4">
        <f>IFERROR(SUMIFS(Исход!$O:$O,Исход!$A:$A,W$1,Исход!$B:$B,$A75)/W25,0)</f>
        <v>0</v>
      </c>
      <c r="X75" s="4">
        <f>IFERROR(SUMIFS(Исход!$O:$O,Исход!$A:$A,X$1,Исход!$B:$B,$A75)/X25,0)</f>
        <v>0</v>
      </c>
      <c r="Y75" s="4">
        <f>IFERROR(SUMIFS(Исход!$O:$O,Исход!$A:$A,Y$1,Исход!$B:$B,$A75)/Y25,0)</f>
        <v>0</v>
      </c>
      <c r="Z75" s="4">
        <f>IFERROR(SUMIFS(Исход!$O:$O,Исход!$A:$A,Z$1,Исход!$B:$B,$A75)/Z25,0)</f>
        <v>0</v>
      </c>
      <c r="AA75" s="4">
        <f>IFERROR(SUMIFS(Исход!$O:$O,Исход!$A:$A,AA$1,Исход!$B:$B,$A75)/AA25,0)</f>
        <v>0</v>
      </c>
      <c r="AB75" s="4">
        <f>IFERROR(SUMIFS(Исход!$O:$O,Исход!$A:$A,AB$1,Исход!$B:$B,$A75)/AB25,0)</f>
        <v>0</v>
      </c>
      <c r="AC75" s="4">
        <f>IFERROR(SUMIFS(Исход!$O:$O,Исход!$A:$A,AC$1,Исход!$B:$B,$A75)/AC25,0)</f>
        <v>0</v>
      </c>
      <c r="AD75" s="4">
        <f>IFERROR(SUMIFS(Исход!$O:$O,Исход!$A:$A,AD$1,Исход!$B:$B,$A75)/AD25,0)</f>
        <v>0</v>
      </c>
      <c r="AE75" s="4">
        <f>IFERROR(SUMIFS(Исход!$O:$O,Исход!$A:$A,AE$1,Исход!$B:$B,$A75)/AE25,0)</f>
        <v>0</v>
      </c>
      <c r="AF75" s="4">
        <f>IFERROR(SUMIFS(Исход!$O:$O,Исход!$A:$A,AF$1,Исход!$B:$B,$A75)/AF25,0)</f>
        <v>0</v>
      </c>
      <c r="AG75" s="142">
        <f>IFERROR(SUMIFS(Исход!$O:$O,Исход!$A:$A,AG$1,Исход!$B:$B,$A75)/AG25,0)</f>
        <v>0</v>
      </c>
    </row>
    <row r="76" spans="1:33" hidden="1" outlineLevel="1" x14ac:dyDescent="0.25">
      <c r="A76" s="103">
        <v>0.45833333333333331</v>
      </c>
      <c r="B76" s="123">
        <v>0.47916666666666669</v>
      </c>
      <c r="C76" s="143">
        <f>IFERROR(SUMIFS(Исход!$O:$O,Исход!$A:$A,C$1,Исход!$B:$B,$A76)/C26,0)</f>
        <v>0</v>
      </c>
      <c r="D76" s="4">
        <f>IFERROR(SUMIFS(Исход!$O:$O,Исход!$A:$A,D$1,Исход!$B:$B,$A76)/D26,0)</f>
        <v>0</v>
      </c>
      <c r="E76" s="4">
        <f>IFERROR(SUMIFS(Исход!$O:$O,Исход!$A:$A,E$1,Исход!$B:$B,$A76)/E26,0)</f>
        <v>0</v>
      </c>
      <c r="F76" s="4">
        <f>IFERROR(SUMIFS(Исход!$O:$O,Исход!$A:$A,F$1,Исход!$B:$B,$A76)/F26,0)</f>
        <v>0</v>
      </c>
      <c r="G76" s="4">
        <f>IFERROR(SUMIFS(Исход!$O:$O,Исход!$A:$A,G$1,Исход!$B:$B,$A76)/G26,0)</f>
        <v>0</v>
      </c>
      <c r="H76" s="4">
        <f>IFERROR(SUMIFS(Исход!$O:$O,Исход!$A:$A,H$1,Исход!$B:$B,$A76)/H26,0)</f>
        <v>0</v>
      </c>
      <c r="I76" s="4">
        <f>IFERROR(SUMIFS(Исход!$O:$O,Исход!$A:$A,I$1,Исход!$B:$B,$A76)/I26,0)</f>
        <v>0</v>
      </c>
      <c r="J76" s="4">
        <f>IFERROR(SUMIFS(Исход!$O:$O,Исход!$A:$A,J$1,Исход!$B:$B,$A76)/J26,0)</f>
        <v>0</v>
      </c>
      <c r="K76" s="4">
        <f>IFERROR(SUMIFS(Исход!$O:$O,Исход!$A:$A,K$1,Исход!$B:$B,$A76)/K26,0)</f>
        <v>0</v>
      </c>
      <c r="L76" s="4">
        <f>IFERROR(SUMIFS(Исход!$O:$O,Исход!$A:$A,L$1,Исход!$B:$B,$A76)/L26,0)</f>
        <v>0</v>
      </c>
      <c r="M76" s="4">
        <f>IFERROR(SUMIFS(Исход!$O:$O,Исход!$A:$A,M$1,Исход!$B:$B,$A76)/M26,0)</f>
        <v>0</v>
      </c>
      <c r="N76" s="4">
        <f>IFERROR(SUMIFS(Исход!$O:$O,Исход!$A:$A,N$1,Исход!$B:$B,$A76)/N26,0)</f>
        <v>0</v>
      </c>
      <c r="O76" s="4">
        <f>IFERROR(SUMIFS(Исход!$O:$O,Исход!$A:$A,O$1,Исход!$B:$B,$A76)/O26,0)</f>
        <v>0</v>
      </c>
      <c r="P76" s="4">
        <f>IFERROR(SUMIFS(Исход!$O:$O,Исход!$A:$A,P$1,Исход!$B:$B,$A76)/P26,0)</f>
        <v>0</v>
      </c>
      <c r="Q76" s="4">
        <f>IFERROR(SUMIFS(Исход!$O:$O,Исход!$A:$A,Q$1,Исход!$B:$B,$A76)/Q26,0)</f>
        <v>0</v>
      </c>
      <c r="R76" s="4">
        <f>IFERROR(SUMIFS(Исход!$O:$O,Исход!$A:$A,R$1,Исход!$B:$B,$A76)/R26,0)</f>
        <v>0</v>
      </c>
      <c r="S76" s="4">
        <f>IFERROR(SUMIFS(Исход!$O:$O,Исход!$A:$A,S$1,Исход!$B:$B,$A76)/S26,0)</f>
        <v>0</v>
      </c>
      <c r="T76" s="4">
        <f>IFERROR(SUMIFS(Исход!$O:$O,Исход!$A:$A,T$1,Исход!$B:$B,$A76)/T26,0)</f>
        <v>0</v>
      </c>
      <c r="U76" s="4">
        <f>IFERROR(SUMIFS(Исход!$O:$O,Исход!$A:$A,U$1,Исход!$B:$B,$A76)/U26,0)</f>
        <v>0</v>
      </c>
      <c r="V76" s="4">
        <f>IFERROR(SUMIFS(Исход!$O:$O,Исход!$A:$A,V$1,Исход!$B:$B,$A76)/V26,0)</f>
        <v>0</v>
      </c>
      <c r="W76" s="4">
        <f>IFERROR(SUMIFS(Исход!$O:$O,Исход!$A:$A,W$1,Исход!$B:$B,$A76)/W26,0)</f>
        <v>0</v>
      </c>
      <c r="X76" s="4">
        <f>IFERROR(SUMIFS(Исход!$O:$O,Исход!$A:$A,X$1,Исход!$B:$B,$A76)/X26,0)</f>
        <v>0</v>
      </c>
      <c r="Y76" s="4">
        <f>IFERROR(SUMIFS(Исход!$O:$O,Исход!$A:$A,Y$1,Исход!$B:$B,$A76)/Y26,0)</f>
        <v>0</v>
      </c>
      <c r="Z76" s="4">
        <f>IFERROR(SUMIFS(Исход!$O:$O,Исход!$A:$A,Z$1,Исход!$B:$B,$A76)/Z26,0)</f>
        <v>0</v>
      </c>
      <c r="AA76" s="4">
        <f>IFERROR(SUMIFS(Исход!$O:$O,Исход!$A:$A,AA$1,Исход!$B:$B,$A76)/AA26,0)</f>
        <v>0</v>
      </c>
      <c r="AB76" s="4">
        <f>IFERROR(SUMIFS(Исход!$O:$O,Исход!$A:$A,AB$1,Исход!$B:$B,$A76)/AB26,0)</f>
        <v>0</v>
      </c>
      <c r="AC76" s="4">
        <f>IFERROR(SUMIFS(Исход!$O:$O,Исход!$A:$A,AC$1,Исход!$B:$B,$A76)/AC26,0)</f>
        <v>0</v>
      </c>
      <c r="AD76" s="4">
        <f>IFERROR(SUMIFS(Исход!$O:$O,Исход!$A:$A,AD$1,Исход!$B:$B,$A76)/AD26,0)</f>
        <v>0</v>
      </c>
      <c r="AE76" s="4">
        <f>IFERROR(SUMIFS(Исход!$O:$O,Исход!$A:$A,AE$1,Исход!$B:$B,$A76)/AE26,0)</f>
        <v>0</v>
      </c>
      <c r="AF76" s="4">
        <f>IFERROR(SUMIFS(Исход!$O:$O,Исход!$A:$A,AF$1,Исход!$B:$B,$A76)/AF26,0)</f>
        <v>0</v>
      </c>
      <c r="AG76" s="142">
        <f>IFERROR(SUMIFS(Исход!$O:$O,Исход!$A:$A,AG$1,Исход!$B:$B,$A76)/AG26,0)</f>
        <v>0</v>
      </c>
    </row>
    <row r="77" spans="1:33" hidden="1" outlineLevel="1" x14ac:dyDescent="0.25">
      <c r="A77" s="103">
        <v>0.47916666666666669</v>
      </c>
      <c r="B77" s="123">
        <v>0.5</v>
      </c>
      <c r="C77" s="143">
        <f>IFERROR(SUMIFS(Исход!$O:$O,Исход!$A:$A,C$1,Исход!$B:$B,$A77)/C27,0)</f>
        <v>0</v>
      </c>
      <c r="D77" s="4">
        <f>IFERROR(SUMIFS(Исход!$O:$O,Исход!$A:$A,D$1,Исход!$B:$B,$A77)/D27,0)</f>
        <v>0</v>
      </c>
      <c r="E77" s="4">
        <f>IFERROR(SUMIFS(Исход!$O:$O,Исход!$A:$A,E$1,Исход!$B:$B,$A77)/E27,0)</f>
        <v>0</v>
      </c>
      <c r="F77" s="4">
        <f>IFERROR(SUMIFS(Исход!$O:$O,Исход!$A:$A,F$1,Исход!$B:$B,$A77)/F27,0)</f>
        <v>0</v>
      </c>
      <c r="G77" s="4">
        <f>IFERROR(SUMIFS(Исход!$O:$O,Исход!$A:$A,G$1,Исход!$B:$B,$A77)/G27,0)</f>
        <v>0</v>
      </c>
      <c r="H77" s="4">
        <f>IFERROR(SUMIFS(Исход!$O:$O,Исход!$A:$A,H$1,Исход!$B:$B,$A77)/H27,0)</f>
        <v>0</v>
      </c>
      <c r="I77" s="4">
        <f>IFERROR(SUMIFS(Исход!$O:$O,Исход!$A:$A,I$1,Исход!$B:$B,$A77)/I27,0)</f>
        <v>0</v>
      </c>
      <c r="J77" s="4">
        <f>IFERROR(SUMIFS(Исход!$O:$O,Исход!$A:$A,J$1,Исход!$B:$B,$A77)/J27,0)</f>
        <v>0</v>
      </c>
      <c r="K77" s="4">
        <f>IFERROR(SUMIFS(Исход!$O:$O,Исход!$A:$A,K$1,Исход!$B:$B,$A77)/K27,0)</f>
        <v>0</v>
      </c>
      <c r="L77" s="4">
        <f>IFERROR(SUMIFS(Исход!$O:$O,Исход!$A:$A,L$1,Исход!$B:$B,$A77)/L27,0)</f>
        <v>0</v>
      </c>
      <c r="M77" s="4">
        <f>IFERROR(SUMIFS(Исход!$O:$O,Исход!$A:$A,M$1,Исход!$B:$B,$A77)/M27,0)</f>
        <v>0</v>
      </c>
      <c r="N77" s="4">
        <f>IFERROR(SUMIFS(Исход!$O:$O,Исход!$A:$A,N$1,Исход!$B:$B,$A77)/N27,0)</f>
        <v>0</v>
      </c>
      <c r="O77" s="4">
        <f>IFERROR(SUMIFS(Исход!$O:$O,Исход!$A:$A,O$1,Исход!$B:$B,$A77)/O27,0)</f>
        <v>0</v>
      </c>
      <c r="P77" s="4">
        <f>IFERROR(SUMIFS(Исход!$O:$O,Исход!$A:$A,P$1,Исход!$B:$B,$A77)/P27,0)</f>
        <v>0</v>
      </c>
      <c r="Q77" s="4">
        <f>IFERROR(SUMIFS(Исход!$O:$O,Исход!$A:$A,Q$1,Исход!$B:$B,$A77)/Q27,0)</f>
        <v>0</v>
      </c>
      <c r="R77" s="4">
        <f>IFERROR(SUMIFS(Исход!$O:$O,Исход!$A:$A,R$1,Исход!$B:$B,$A77)/R27,0)</f>
        <v>0</v>
      </c>
      <c r="S77" s="4">
        <f>IFERROR(SUMIFS(Исход!$O:$O,Исход!$A:$A,S$1,Исход!$B:$B,$A77)/S27,0)</f>
        <v>0</v>
      </c>
      <c r="T77" s="4">
        <f>IFERROR(SUMIFS(Исход!$O:$O,Исход!$A:$A,T$1,Исход!$B:$B,$A77)/T27,0)</f>
        <v>0</v>
      </c>
      <c r="U77" s="4">
        <f>IFERROR(SUMIFS(Исход!$O:$O,Исход!$A:$A,U$1,Исход!$B:$B,$A77)/U27,0)</f>
        <v>0</v>
      </c>
      <c r="V77" s="4">
        <f>IFERROR(SUMIFS(Исход!$O:$O,Исход!$A:$A,V$1,Исход!$B:$B,$A77)/V27,0)</f>
        <v>0</v>
      </c>
      <c r="W77" s="4">
        <f>IFERROR(SUMIFS(Исход!$O:$O,Исход!$A:$A,W$1,Исход!$B:$B,$A77)/W27,0)</f>
        <v>0</v>
      </c>
      <c r="X77" s="4">
        <f>IFERROR(SUMIFS(Исход!$O:$O,Исход!$A:$A,X$1,Исход!$B:$B,$A77)/X27,0)</f>
        <v>0</v>
      </c>
      <c r="Y77" s="4">
        <f>IFERROR(SUMIFS(Исход!$O:$O,Исход!$A:$A,Y$1,Исход!$B:$B,$A77)/Y27,0)</f>
        <v>0</v>
      </c>
      <c r="Z77" s="4">
        <f>IFERROR(SUMIFS(Исход!$O:$O,Исход!$A:$A,Z$1,Исход!$B:$B,$A77)/Z27,0)</f>
        <v>0</v>
      </c>
      <c r="AA77" s="4">
        <f>IFERROR(SUMIFS(Исход!$O:$O,Исход!$A:$A,AA$1,Исход!$B:$B,$A77)/AA27,0)</f>
        <v>0</v>
      </c>
      <c r="AB77" s="4">
        <f>IFERROR(SUMIFS(Исход!$O:$O,Исход!$A:$A,AB$1,Исход!$B:$B,$A77)/AB27,0)</f>
        <v>0</v>
      </c>
      <c r="AC77" s="4">
        <f>IFERROR(SUMIFS(Исход!$O:$O,Исход!$A:$A,AC$1,Исход!$B:$B,$A77)/AC27,0)</f>
        <v>0</v>
      </c>
      <c r="AD77" s="4">
        <f>IFERROR(SUMIFS(Исход!$O:$O,Исход!$A:$A,AD$1,Исход!$B:$B,$A77)/AD27,0)</f>
        <v>0</v>
      </c>
      <c r="AE77" s="4">
        <f>IFERROR(SUMIFS(Исход!$O:$O,Исход!$A:$A,AE$1,Исход!$B:$B,$A77)/AE27,0)</f>
        <v>0</v>
      </c>
      <c r="AF77" s="4">
        <f>IFERROR(SUMIFS(Исход!$O:$O,Исход!$A:$A,AF$1,Исход!$B:$B,$A77)/AF27,0)</f>
        <v>0</v>
      </c>
      <c r="AG77" s="142">
        <f>IFERROR(SUMIFS(Исход!$O:$O,Исход!$A:$A,AG$1,Исход!$B:$B,$A77)/AG27,0)</f>
        <v>0</v>
      </c>
    </row>
    <row r="78" spans="1:33" hidden="1" outlineLevel="1" x14ac:dyDescent="0.25">
      <c r="A78" s="103">
        <v>0.5</v>
      </c>
      <c r="B78" s="123">
        <v>0.52083333333333337</v>
      </c>
      <c r="C78" s="143">
        <f>IFERROR(SUMIFS(Исход!$O:$O,Исход!$A:$A,C$1,Исход!$B:$B,$A78)/C28,0)</f>
        <v>0</v>
      </c>
      <c r="D78" s="4">
        <f>IFERROR(SUMIFS(Исход!$O:$O,Исход!$A:$A,D$1,Исход!$B:$B,$A78)/D28,0)</f>
        <v>0</v>
      </c>
      <c r="E78" s="4">
        <f>IFERROR(SUMIFS(Исход!$O:$O,Исход!$A:$A,E$1,Исход!$B:$B,$A78)/E28,0)</f>
        <v>0</v>
      </c>
      <c r="F78" s="4">
        <f>IFERROR(SUMIFS(Исход!$O:$O,Исход!$A:$A,F$1,Исход!$B:$B,$A78)/F28,0)</f>
        <v>0</v>
      </c>
      <c r="G78" s="4">
        <f>IFERROR(SUMIFS(Исход!$O:$O,Исход!$A:$A,G$1,Исход!$B:$B,$A78)/G28,0)</f>
        <v>0</v>
      </c>
      <c r="H78" s="4">
        <f>IFERROR(SUMIFS(Исход!$O:$O,Исход!$A:$A,H$1,Исход!$B:$B,$A78)/H28,0)</f>
        <v>0</v>
      </c>
      <c r="I78" s="4">
        <f>IFERROR(SUMIFS(Исход!$O:$O,Исход!$A:$A,I$1,Исход!$B:$B,$A78)/I28,0)</f>
        <v>0</v>
      </c>
      <c r="J78" s="4">
        <f>IFERROR(SUMIFS(Исход!$O:$O,Исход!$A:$A,J$1,Исход!$B:$B,$A78)/J28,0)</f>
        <v>0</v>
      </c>
      <c r="K78" s="4">
        <f>IFERROR(SUMIFS(Исход!$O:$O,Исход!$A:$A,K$1,Исход!$B:$B,$A78)/K28,0)</f>
        <v>0</v>
      </c>
      <c r="L78" s="4">
        <f>IFERROR(SUMIFS(Исход!$O:$O,Исход!$A:$A,L$1,Исход!$B:$B,$A78)/L28,0)</f>
        <v>0</v>
      </c>
      <c r="M78" s="4">
        <f>IFERROR(SUMIFS(Исход!$O:$O,Исход!$A:$A,M$1,Исход!$B:$B,$A78)/M28,0)</f>
        <v>0</v>
      </c>
      <c r="N78" s="4">
        <f>IFERROR(SUMIFS(Исход!$O:$O,Исход!$A:$A,N$1,Исход!$B:$B,$A78)/N28,0)</f>
        <v>0</v>
      </c>
      <c r="O78" s="4">
        <f>IFERROR(SUMIFS(Исход!$O:$O,Исход!$A:$A,O$1,Исход!$B:$B,$A78)/O28,0)</f>
        <v>0</v>
      </c>
      <c r="P78" s="4">
        <f>IFERROR(SUMIFS(Исход!$O:$O,Исход!$A:$A,P$1,Исход!$B:$B,$A78)/P28,0)</f>
        <v>0</v>
      </c>
      <c r="Q78" s="4">
        <f>IFERROR(SUMIFS(Исход!$O:$O,Исход!$A:$A,Q$1,Исход!$B:$B,$A78)/Q28,0)</f>
        <v>0</v>
      </c>
      <c r="R78" s="4">
        <f>IFERROR(SUMIFS(Исход!$O:$O,Исход!$A:$A,R$1,Исход!$B:$B,$A78)/R28,0)</f>
        <v>0</v>
      </c>
      <c r="S78" s="4">
        <f>IFERROR(SUMIFS(Исход!$O:$O,Исход!$A:$A,S$1,Исход!$B:$B,$A78)/S28,0)</f>
        <v>0</v>
      </c>
      <c r="T78" s="4">
        <f>IFERROR(SUMIFS(Исход!$O:$O,Исход!$A:$A,T$1,Исход!$B:$B,$A78)/T28,0)</f>
        <v>0</v>
      </c>
      <c r="U78" s="4">
        <f>IFERROR(SUMIFS(Исход!$O:$O,Исход!$A:$A,U$1,Исход!$B:$B,$A78)/U28,0)</f>
        <v>0</v>
      </c>
      <c r="V78" s="4">
        <f>IFERROR(SUMIFS(Исход!$O:$O,Исход!$A:$A,V$1,Исход!$B:$B,$A78)/V28,0)</f>
        <v>0</v>
      </c>
      <c r="W78" s="4">
        <f>IFERROR(SUMIFS(Исход!$O:$O,Исход!$A:$A,W$1,Исход!$B:$B,$A78)/W28,0)</f>
        <v>0</v>
      </c>
      <c r="X78" s="4">
        <f>IFERROR(SUMIFS(Исход!$O:$O,Исход!$A:$A,X$1,Исход!$B:$B,$A78)/X28,0)</f>
        <v>0</v>
      </c>
      <c r="Y78" s="4">
        <f>IFERROR(SUMIFS(Исход!$O:$O,Исход!$A:$A,Y$1,Исход!$B:$B,$A78)/Y28,0)</f>
        <v>0</v>
      </c>
      <c r="Z78" s="4">
        <f>IFERROR(SUMIFS(Исход!$O:$O,Исход!$A:$A,Z$1,Исход!$B:$B,$A78)/Z28,0)</f>
        <v>0</v>
      </c>
      <c r="AA78" s="4">
        <f>IFERROR(SUMIFS(Исход!$O:$O,Исход!$A:$A,AA$1,Исход!$B:$B,$A78)/AA28,0)</f>
        <v>0</v>
      </c>
      <c r="AB78" s="4">
        <f>IFERROR(SUMIFS(Исход!$O:$O,Исход!$A:$A,AB$1,Исход!$B:$B,$A78)/AB28,0)</f>
        <v>0</v>
      </c>
      <c r="AC78" s="4">
        <f>IFERROR(SUMIFS(Исход!$O:$O,Исход!$A:$A,AC$1,Исход!$B:$B,$A78)/AC28,0)</f>
        <v>0</v>
      </c>
      <c r="AD78" s="4">
        <f>IFERROR(SUMIFS(Исход!$O:$O,Исход!$A:$A,AD$1,Исход!$B:$B,$A78)/AD28,0)</f>
        <v>0</v>
      </c>
      <c r="AE78" s="4">
        <f>IFERROR(SUMIFS(Исход!$O:$O,Исход!$A:$A,AE$1,Исход!$B:$B,$A78)/AE28,0)</f>
        <v>0</v>
      </c>
      <c r="AF78" s="4">
        <f>IFERROR(SUMIFS(Исход!$O:$O,Исход!$A:$A,AF$1,Исход!$B:$B,$A78)/AF28,0)</f>
        <v>0</v>
      </c>
      <c r="AG78" s="142">
        <f>IFERROR(SUMIFS(Исход!$O:$O,Исход!$A:$A,AG$1,Исход!$B:$B,$A78)/AG28,0)</f>
        <v>0</v>
      </c>
    </row>
    <row r="79" spans="1:33" hidden="1" outlineLevel="1" x14ac:dyDescent="0.25">
      <c r="A79" s="103">
        <v>0.52083333333333337</v>
      </c>
      <c r="B79" s="123">
        <v>0.54166666666666663</v>
      </c>
      <c r="C79" s="143">
        <f>IFERROR(SUMIFS(Исход!$O:$O,Исход!$A:$A,C$1,Исход!$B:$B,$A79)/C29,0)</f>
        <v>0</v>
      </c>
      <c r="D79" s="4">
        <f>IFERROR(SUMIFS(Исход!$O:$O,Исход!$A:$A,D$1,Исход!$B:$B,$A79)/D29,0)</f>
        <v>0</v>
      </c>
      <c r="E79" s="4">
        <f>IFERROR(SUMIFS(Исход!$O:$O,Исход!$A:$A,E$1,Исход!$B:$B,$A79)/E29,0)</f>
        <v>0</v>
      </c>
      <c r="F79" s="4">
        <f>IFERROR(SUMIFS(Исход!$O:$O,Исход!$A:$A,F$1,Исход!$B:$B,$A79)/F29,0)</f>
        <v>0</v>
      </c>
      <c r="G79" s="4">
        <f>IFERROR(SUMIFS(Исход!$O:$O,Исход!$A:$A,G$1,Исход!$B:$B,$A79)/G29,0)</f>
        <v>0</v>
      </c>
      <c r="H79" s="4">
        <f>IFERROR(SUMIFS(Исход!$O:$O,Исход!$A:$A,H$1,Исход!$B:$B,$A79)/H29,0)</f>
        <v>0</v>
      </c>
      <c r="I79" s="4">
        <f>IFERROR(SUMIFS(Исход!$O:$O,Исход!$A:$A,I$1,Исход!$B:$B,$A79)/I29,0)</f>
        <v>0</v>
      </c>
      <c r="J79" s="4">
        <f>IFERROR(SUMIFS(Исход!$O:$O,Исход!$A:$A,J$1,Исход!$B:$B,$A79)/J29,0)</f>
        <v>0</v>
      </c>
      <c r="K79" s="4">
        <f>IFERROR(SUMIFS(Исход!$O:$O,Исход!$A:$A,K$1,Исход!$B:$B,$A79)/K29,0)</f>
        <v>0</v>
      </c>
      <c r="L79" s="4">
        <f>IFERROR(SUMIFS(Исход!$O:$O,Исход!$A:$A,L$1,Исход!$B:$B,$A79)/L29,0)</f>
        <v>0</v>
      </c>
      <c r="M79" s="4">
        <f>IFERROR(SUMIFS(Исход!$O:$O,Исход!$A:$A,M$1,Исход!$B:$B,$A79)/M29,0)</f>
        <v>0</v>
      </c>
      <c r="N79" s="4">
        <f>IFERROR(SUMIFS(Исход!$O:$O,Исход!$A:$A,N$1,Исход!$B:$B,$A79)/N29,0)</f>
        <v>0</v>
      </c>
      <c r="O79" s="4">
        <f>IFERROR(SUMIFS(Исход!$O:$O,Исход!$A:$A,O$1,Исход!$B:$B,$A79)/O29,0)</f>
        <v>0</v>
      </c>
      <c r="P79" s="4">
        <f>IFERROR(SUMIFS(Исход!$O:$O,Исход!$A:$A,P$1,Исход!$B:$B,$A79)/P29,0)</f>
        <v>0</v>
      </c>
      <c r="Q79" s="4">
        <f>IFERROR(SUMIFS(Исход!$O:$O,Исход!$A:$A,Q$1,Исход!$B:$B,$A79)/Q29,0)</f>
        <v>0</v>
      </c>
      <c r="R79" s="4">
        <f>IFERROR(SUMIFS(Исход!$O:$O,Исход!$A:$A,R$1,Исход!$B:$B,$A79)/R29,0)</f>
        <v>0</v>
      </c>
      <c r="S79" s="4">
        <f>IFERROR(SUMIFS(Исход!$O:$O,Исход!$A:$A,S$1,Исход!$B:$B,$A79)/S29,0)</f>
        <v>0</v>
      </c>
      <c r="T79" s="4">
        <f>IFERROR(SUMIFS(Исход!$O:$O,Исход!$A:$A,T$1,Исход!$B:$B,$A79)/T29,0)</f>
        <v>0</v>
      </c>
      <c r="U79" s="4">
        <f>IFERROR(SUMIFS(Исход!$O:$O,Исход!$A:$A,U$1,Исход!$B:$B,$A79)/U29,0)</f>
        <v>0</v>
      </c>
      <c r="V79" s="4">
        <f>IFERROR(SUMIFS(Исход!$O:$O,Исход!$A:$A,V$1,Исход!$B:$B,$A79)/V29,0)</f>
        <v>0</v>
      </c>
      <c r="W79" s="4">
        <f>IFERROR(SUMIFS(Исход!$O:$O,Исход!$A:$A,W$1,Исход!$B:$B,$A79)/W29,0)</f>
        <v>0</v>
      </c>
      <c r="X79" s="4">
        <f>IFERROR(SUMIFS(Исход!$O:$O,Исход!$A:$A,X$1,Исход!$B:$B,$A79)/X29,0)</f>
        <v>0</v>
      </c>
      <c r="Y79" s="4">
        <f>IFERROR(SUMIFS(Исход!$O:$O,Исход!$A:$A,Y$1,Исход!$B:$B,$A79)/Y29,0)</f>
        <v>0</v>
      </c>
      <c r="Z79" s="4">
        <f>IFERROR(SUMIFS(Исход!$O:$O,Исход!$A:$A,Z$1,Исход!$B:$B,$A79)/Z29,0)</f>
        <v>0</v>
      </c>
      <c r="AA79" s="4">
        <f>IFERROR(SUMIFS(Исход!$O:$O,Исход!$A:$A,AA$1,Исход!$B:$B,$A79)/AA29,0)</f>
        <v>0</v>
      </c>
      <c r="AB79" s="4">
        <f>IFERROR(SUMIFS(Исход!$O:$O,Исход!$A:$A,AB$1,Исход!$B:$B,$A79)/AB29,0)</f>
        <v>0</v>
      </c>
      <c r="AC79" s="4">
        <f>IFERROR(SUMIFS(Исход!$O:$O,Исход!$A:$A,AC$1,Исход!$B:$B,$A79)/AC29,0)</f>
        <v>0</v>
      </c>
      <c r="AD79" s="4">
        <f>IFERROR(SUMIFS(Исход!$O:$O,Исход!$A:$A,AD$1,Исход!$B:$B,$A79)/AD29,0)</f>
        <v>0</v>
      </c>
      <c r="AE79" s="4">
        <f>IFERROR(SUMIFS(Исход!$O:$O,Исход!$A:$A,AE$1,Исход!$B:$B,$A79)/AE29,0)</f>
        <v>0</v>
      </c>
      <c r="AF79" s="4">
        <f>IFERROR(SUMIFS(Исход!$O:$O,Исход!$A:$A,AF$1,Исход!$B:$B,$A79)/AF29,0)</f>
        <v>0</v>
      </c>
      <c r="AG79" s="142">
        <f>IFERROR(SUMIFS(Исход!$O:$O,Исход!$A:$A,AG$1,Исход!$B:$B,$A79)/AG29,0)</f>
        <v>0</v>
      </c>
    </row>
    <row r="80" spans="1:33" hidden="1" outlineLevel="1" x14ac:dyDescent="0.25">
      <c r="A80" s="103">
        <v>0.54166666666666663</v>
      </c>
      <c r="B80" s="123">
        <v>0.5625</v>
      </c>
      <c r="C80" s="143">
        <f>IFERROR(SUMIFS(Исход!$O:$O,Исход!$A:$A,C$1,Исход!$B:$B,$A80)/C30,0)</f>
        <v>0</v>
      </c>
      <c r="D80" s="4">
        <f>IFERROR(SUMIFS(Исход!$O:$O,Исход!$A:$A,D$1,Исход!$B:$B,$A80)/D30,0)</f>
        <v>0</v>
      </c>
      <c r="E80" s="4">
        <f>IFERROR(SUMIFS(Исход!$O:$O,Исход!$A:$A,E$1,Исход!$B:$B,$A80)/E30,0)</f>
        <v>0</v>
      </c>
      <c r="F80" s="4">
        <f>IFERROR(SUMIFS(Исход!$O:$O,Исход!$A:$A,F$1,Исход!$B:$B,$A80)/F30,0)</f>
        <v>0</v>
      </c>
      <c r="G80" s="4">
        <f>IFERROR(SUMIFS(Исход!$O:$O,Исход!$A:$A,G$1,Исход!$B:$B,$A80)/G30,0)</f>
        <v>0</v>
      </c>
      <c r="H80" s="4">
        <f>IFERROR(SUMIFS(Исход!$O:$O,Исход!$A:$A,H$1,Исход!$B:$B,$A80)/H30,0)</f>
        <v>0</v>
      </c>
      <c r="I80" s="4">
        <f>IFERROR(SUMIFS(Исход!$O:$O,Исход!$A:$A,I$1,Исход!$B:$B,$A80)/I30,0)</f>
        <v>0</v>
      </c>
      <c r="J80" s="4">
        <f>IFERROR(SUMIFS(Исход!$O:$O,Исход!$A:$A,J$1,Исход!$B:$B,$A80)/J30,0)</f>
        <v>0</v>
      </c>
      <c r="K80" s="4">
        <f>IFERROR(SUMIFS(Исход!$O:$O,Исход!$A:$A,K$1,Исход!$B:$B,$A80)/K30,0)</f>
        <v>0</v>
      </c>
      <c r="L80" s="4">
        <f>IFERROR(SUMIFS(Исход!$O:$O,Исход!$A:$A,L$1,Исход!$B:$B,$A80)/L30,0)</f>
        <v>0</v>
      </c>
      <c r="M80" s="4">
        <f>IFERROR(SUMIFS(Исход!$O:$O,Исход!$A:$A,M$1,Исход!$B:$B,$A80)/M30,0)</f>
        <v>0</v>
      </c>
      <c r="N80" s="4">
        <f>IFERROR(SUMIFS(Исход!$O:$O,Исход!$A:$A,N$1,Исход!$B:$B,$A80)/N30,0)</f>
        <v>0</v>
      </c>
      <c r="O80" s="4">
        <f>IFERROR(SUMIFS(Исход!$O:$O,Исход!$A:$A,O$1,Исход!$B:$B,$A80)/O30,0)</f>
        <v>0</v>
      </c>
      <c r="P80" s="4">
        <f>IFERROR(SUMIFS(Исход!$O:$O,Исход!$A:$A,P$1,Исход!$B:$B,$A80)/P30,0)</f>
        <v>0</v>
      </c>
      <c r="Q80" s="4">
        <f>IFERROR(SUMIFS(Исход!$O:$O,Исход!$A:$A,Q$1,Исход!$B:$B,$A80)/Q30,0)</f>
        <v>0</v>
      </c>
      <c r="R80" s="4">
        <f>IFERROR(SUMIFS(Исход!$O:$O,Исход!$A:$A,R$1,Исход!$B:$B,$A80)/R30,0)</f>
        <v>0</v>
      </c>
      <c r="S80" s="4">
        <f>IFERROR(SUMIFS(Исход!$O:$O,Исход!$A:$A,S$1,Исход!$B:$B,$A80)/S30,0)</f>
        <v>0</v>
      </c>
      <c r="T80" s="4">
        <f>IFERROR(SUMIFS(Исход!$O:$O,Исход!$A:$A,T$1,Исход!$B:$B,$A80)/T30,0)</f>
        <v>0</v>
      </c>
      <c r="U80" s="4">
        <f>IFERROR(SUMIFS(Исход!$O:$O,Исход!$A:$A,U$1,Исход!$B:$B,$A80)/U30,0)</f>
        <v>0</v>
      </c>
      <c r="V80" s="4">
        <f>IFERROR(SUMIFS(Исход!$O:$O,Исход!$A:$A,V$1,Исход!$B:$B,$A80)/V30,0)</f>
        <v>0</v>
      </c>
      <c r="W80" s="4">
        <f>IFERROR(SUMIFS(Исход!$O:$O,Исход!$A:$A,W$1,Исход!$B:$B,$A80)/W30,0)</f>
        <v>0</v>
      </c>
      <c r="X80" s="4">
        <f>IFERROR(SUMIFS(Исход!$O:$O,Исход!$A:$A,X$1,Исход!$B:$B,$A80)/X30,0)</f>
        <v>0</v>
      </c>
      <c r="Y80" s="4">
        <f>IFERROR(SUMIFS(Исход!$O:$O,Исход!$A:$A,Y$1,Исход!$B:$B,$A80)/Y30,0)</f>
        <v>0</v>
      </c>
      <c r="Z80" s="4">
        <f>IFERROR(SUMIFS(Исход!$O:$O,Исход!$A:$A,Z$1,Исход!$B:$B,$A80)/Z30,0)</f>
        <v>0</v>
      </c>
      <c r="AA80" s="4">
        <f>IFERROR(SUMIFS(Исход!$O:$O,Исход!$A:$A,AA$1,Исход!$B:$B,$A80)/AA30,0)</f>
        <v>0</v>
      </c>
      <c r="AB80" s="4">
        <f>IFERROR(SUMIFS(Исход!$O:$O,Исход!$A:$A,AB$1,Исход!$B:$B,$A80)/AB30,0)</f>
        <v>0</v>
      </c>
      <c r="AC80" s="4">
        <f>IFERROR(SUMIFS(Исход!$O:$O,Исход!$A:$A,AC$1,Исход!$B:$B,$A80)/AC30,0)</f>
        <v>0</v>
      </c>
      <c r="AD80" s="4">
        <f>IFERROR(SUMIFS(Исход!$O:$O,Исход!$A:$A,AD$1,Исход!$B:$B,$A80)/AD30,0)</f>
        <v>0</v>
      </c>
      <c r="AE80" s="4">
        <f>IFERROR(SUMIFS(Исход!$O:$O,Исход!$A:$A,AE$1,Исход!$B:$B,$A80)/AE30,0)</f>
        <v>0</v>
      </c>
      <c r="AF80" s="4">
        <f>IFERROR(SUMIFS(Исход!$O:$O,Исход!$A:$A,AF$1,Исход!$B:$B,$A80)/AF30,0)</f>
        <v>0</v>
      </c>
      <c r="AG80" s="142">
        <f>IFERROR(SUMIFS(Исход!$O:$O,Исход!$A:$A,AG$1,Исход!$B:$B,$A80)/AG30,0)</f>
        <v>0</v>
      </c>
    </row>
    <row r="81" spans="1:33" hidden="1" outlineLevel="1" x14ac:dyDescent="0.25">
      <c r="A81" s="103">
        <v>0.5625</v>
      </c>
      <c r="B81" s="123">
        <v>0.58333333333333337</v>
      </c>
      <c r="C81" s="143">
        <f>IFERROR(SUMIFS(Исход!$O:$O,Исход!$A:$A,C$1,Исход!$B:$B,$A81)/C31,0)</f>
        <v>0</v>
      </c>
      <c r="D81" s="4">
        <f>IFERROR(SUMIFS(Исход!$O:$O,Исход!$A:$A,D$1,Исход!$B:$B,$A81)/D31,0)</f>
        <v>0</v>
      </c>
      <c r="E81" s="4">
        <f>IFERROR(SUMIFS(Исход!$O:$O,Исход!$A:$A,E$1,Исход!$B:$B,$A81)/E31,0)</f>
        <v>0</v>
      </c>
      <c r="F81" s="4">
        <f>IFERROR(SUMIFS(Исход!$O:$O,Исход!$A:$A,F$1,Исход!$B:$B,$A81)/F31,0)</f>
        <v>0</v>
      </c>
      <c r="G81" s="4">
        <f>IFERROR(SUMIFS(Исход!$O:$O,Исход!$A:$A,G$1,Исход!$B:$B,$A81)/G31,0)</f>
        <v>0</v>
      </c>
      <c r="H81" s="4">
        <f>IFERROR(SUMIFS(Исход!$O:$O,Исход!$A:$A,H$1,Исход!$B:$B,$A81)/H31,0)</f>
        <v>0</v>
      </c>
      <c r="I81" s="4">
        <f>IFERROR(SUMIFS(Исход!$O:$O,Исход!$A:$A,I$1,Исход!$B:$B,$A81)/I31,0)</f>
        <v>0</v>
      </c>
      <c r="J81" s="4">
        <f>IFERROR(SUMIFS(Исход!$O:$O,Исход!$A:$A,J$1,Исход!$B:$B,$A81)/J31,0)</f>
        <v>0</v>
      </c>
      <c r="K81" s="4">
        <f>IFERROR(SUMIFS(Исход!$O:$O,Исход!$A:$A,K$1,Исход!$B:$B,$A81)/K31,0)</f>
        <v>0</v>
      </c>
      <c r="L81" s="4">
        <f>IFERROR(SUMIFS(Исход!$O:$O,Исход!$A:$A,L$1,Исход!$B:$B,$A81)/L31,0)</f>
        <v>0</v>
      </c>
      <c r="M81" s="4">
        <f>IFERROR(SUMIFS(Исход!$O:$O,Исход!$A:$A,M$1,Исход!$B:$B,$A81)/M31,0)</f>
        <v>0</v>
      </c>
      <c r="N81" s="4">
        <f>IFERROR(SUMIFS(Исход!$O:$O,Исход!$A:$A,N$1,Исход!$B:$B,$A81)/N31,0)</f>
        <v>0</v>
      </c>
      <c r="O81" s="4">
        <f>IFERROR(SUMIFS(Исход!$O:$O,Исход!$A:$A,O$1,Исход!$B:$B,$A81)/O31,0)</f>
        <v>0</v>
      </c>
      <c r="P81" s="4">
        <f>IFERROR(SUMIFS(Исход!$O:$O,Исход!$A:$A,P$1,Исход!$B:$B,$A81)/P31,0)</f>
        <v>0</v>
      </c>
      <c r="Q81" s="4">
        <f>IFERROR(SUMIFS(Исход!$O:$O,Исход!$A:$A,Q$1,Исход!$B:$B,$A81)/Q31,0)</f>
        <v>0</v>
      </c>
      <c r="R81" s="4">
        <f>IFERROR(SUMIFS(Исход!$O:$O,Исход!$A:$A,R$1,Исход!$B:$B,$A81)/R31,0)</f>
        <v>0</v>
      </c>
      <c r="S81" s="4">
        <f>IFERROR(SUMIFS(Исход!$O:$O,Исход!$A:$A,S$1,Исход!$B:$B,$A81)/S31,0)</f>
        <v>0</v>
      </c>
      <c r="T81" s="4">
        <f>IFERROR(SUMIFS(Исход!$O:$O,Исход!$A:$A,T$1,Исход!$B:$B,$A81)/T31,0)</f>
        <v>0</v>
      </c>
      <c r="U81" s="4">
        <f>IFERROR(SUMIFS(Исход!$O:$O,Исход!$A:$A,U$1,Исход!$B:$B,$A81)/U31,0)</f>
        <v>0</v>
      </c>
      <c r="V81" s="4">
        <f>IFERROR(SUMIFS(Исход!$O:$O,Исход!$A:$A,V$1,Исход!$B:$B,$A81)/V31,0)</f>
        <v>0</v>
      </c>
      <c r="W81" s="4">
        <f>IFERROR(SUMIFS(Исход!$O:$O,Исход!$A:$A,W$1,Исход!$B:$B,$A81)/W31,0)</f>
        <v>0</v>
      </c>
      <c r="X81" s="4">
        <f>IFERROR(SUMIFS(Исход!$O:$O,Исход!$A:$A,X$1,Исход!$B:$B,$A81)/X31,0)</f>
        <v>0</v>
      </c>
      <c r="Y81" s="4">
        <f>IFERROR(SUMIFS(Исход!$O:$O,Исход!$A:$A,Y$1,Исход!$B:$B,$A81)/Y31,0)</f>
        <v>0</v>
      </c>
      <c r="Z81" s="4">
        <f>IFERROR(SUMIFS(Исход!$O:$O,Исход!$A:$A,Z$1,Исход!$B:$B,$A81)/Z31,0)</f>
        <v>0</v>
      </c>
      <c r="AA81" s="4">
        <f>IFERROR(SUMIFS(Исход!$O:$O,Исход!$A:$A,AA$1,Исход!$B:$B,$A81)/AA31,0)</f>
        <v>0</v>
      </c>
      <c r="AB81" s="4">
        <f>IFERROR(SUMIFS(Исход!$O:$O,Исход!$A:$A,AB$1,Исход!$B:$B,$A81)/AB31,0)</f>
        <v>0</v>
      </c>
      <c r="AC81" s="4">
        <f>IFERROR(SUMIFS(Исход!$O:$O,Исход!$A:$A,AC$1,Исход!$B:$B,$A81)/AC31,0)</f>
        <v>0</v>
      </c>
      <c r="AD81" s="4">
        <f>IFERROR(SUMIFS(Исход!$O:$O,Исход!$A:$A,AD$1,Исход!$B:$B,$A81)/AD31,0)</f>
        <v>0</v>
      </c>
      <c r="AE81" s="4">
        <f>IFERROR(SUMIFS(Исход!$O:$O,Исход!$A:$A,AE$1,Исход!$B:$B,$A81)/AE31,0)</f>
        <v>0</v>
      </c>
      <c r="AF81" s="4">
        <f>IFERROR(SUMIFS(Исход!$O:$O,Исход!$A:$A,AF$1,Исход!$B:$B,$A81)/AF31,0)</f>
        <v>0</v>
      </c>
      <c r="AG81" s="142">
        <f>IFERROR(SUMIFS(Исход!$O:$O,Исход!$A:$A,AG$1,Исход!$B:$B,$A81)/AG31,0)</f>
        <v>0</v>
      </c>
    </row>
    <row r="82" spans="1:33" hidden="1" outlineLevel="1" x14ac:dyDescent="0.25">
      <c r="A82" s="103">
        <v>0.58333333333333337</v>
      </c>
      <c r="B82" s="123">
        <v>0.60416666666666663</v>
      </c>
      <c r="C82" s="143">
        <f>IFERROR(SUMIFS(Исход!$O:$O,Исход!$A:$A,C$1,Исход!$B:$B,$A82)/C32,0)</f>
        <v>0</v>
      </c>
      <c r="D82" s="4">
        <f>IFERROR(SUMIFS(Исход!$O:$O,Исход!$A:$A,D$1,Исход!$B:$B,$A82)/D32,0)</f>
        <v>0</v>
      </c>
      <c r="E82" s="4">
        <f>IFERROR(SUMIFS(Исход!$O:$O,Исход!$A:$A,E$1,Исход!$B:$B,$A82)/E32,0)</f>
        <v>0</v>
      </c>
      <c r="F82" s="4">
        <f>IFERROR(SUMIFS(Исход!$O:$O,Исход!$A:$A,F$1,Исход!$B:$B,$A82)/F32,0)</f>
        <v>0</v>
      </c>
      <c r="G82" s="4">
        <f>IFERROR(SUMIFS(Исход!$O:$O,Исход!$A:$A,G$1,Исход!$B:$B,$A82)/G32,0)</f>
        <v>0</v>
      </c>
      <c r="H82" s="4">
        <f>IFERROR(SUMIFS(Исход!$O:$O,Исход!$A:$A,H$1,Исход!$B:$B,$A82)/H32,0)</f>
        <v>0</v>
      </c>
      <c r="I82" s="4">
        <f>IFERROR(SUMIFS(Исход!$O:$O,Исход!$A:$A,I$1,Исход!$B:$B,$A82)/I32,0)</f>
        <v>0</v>
      </c>
      <c r="J82" s="4">
        <f>IFERROR(SUMIFS(Исход!$O:$O,Исход!$A:$A,J$1,Исход!$B:$B,$A82)/J32,0)</f>
        <v>0</v>
      </c>
      <c r="K82" s="4">
        <f>IFERROR(SUMIFS(Исход!$O:$O,Исход!$A:$A,K$1,Исход!$B:$B,$A82)/K32,0)</f>
        <v>0</v>
      </c>
      <c r="L82" s="4">
        <f>IFERROR(SUMIFS(Исход!$O:$O,Исход!$A:$A,L$1,Исход!$B:$B,$A82)/L32,0)</f>
        <v>0</v>
      </c>
      <c r="M82" s="4">
        <f>IFERROR(SUMIFS(Исход!$O:$O,Исход!$A:$A,M$1,Исход!$B:$B,$A82)/M32,0)</f>
        <v>0</v>
      </c>
      <c r="N82" s="4">
        <f>IFERROR(SUMIFS(Исход!$O:$O,Исход!$A:$A,N$1,Исход!$B:$B,$A82)/N32,0)</f>
        <v>0</v>
      </c>
      <c r="O82" s="4">
        <f>IFERROR(SUMIFS(Исход!$O:$O,Исход!$A:$A,O$1,Исход!$B:$B,$A82)/O32,0)</f>
        <v>0</v>
      </c>
      <c r="P82" s="4">
        <f>IFERROR(SUMIFS(Исход!$O:$O,Исход!$A:$A,P$1,Исход!$B:$B,$A82)/P32,0)</f>
        <v>0</v>
      </c>
      <c r="Q82" s="4">
        <f>IFERROR(SUMIFS(Исход!$O:$O,Исход!$A:$A,Q$1,Исход!$B:$B,$A82)/Q32,0)</f>
        <v>0</v>
      </c>
      <c r="R82" s="4">
        <f>IFERROR(SUMIFS(Исход!$O:$O,Исход!$A:$A,R$1,Исход!$B:$B,$A82)/R32,0)</f>
        <v>0</v>
      </c>
      <c r="S82" s="4">
        <f>IFERROR(SUMIFS(Исход!$O:$O,Исход!$A:$A,S$1,Исход!$B:$B,$A82)/S32,0)</f>
        <v>0</v>
      </c>
      <c r="T82" s="4">
        <f>IFERROR(SUMIFS(Исход!$O:$O,Исход!$A:$A,T$1,Исход!$B:$B,$A82)/T32,0)</f>
        <v>0</v>
      </c>
      <c r="U82" s="4">
        <f>IFERROR(SUMIFS(Исход!$O:$O,Исход!$A:$A,U$1,Исход!$B:$B,$A82)/U32,0)</f>
        <v>0</v>
      </c>
      <c r="V82" s="4">
        <f>IFERROR(SUMIFS(Исход!$O:$O,Исход!$A:$A,V$1,Исход!$B:$B,$A82)/V32,0)</f>
        <v>0</v>
      </c>
      <c r="W82" s="4">
        <f>IFERROR(SUMIFS(Исход!$O:$O,Исход!$A:$A,W$1,Исход!$B:$B,$A82)/W32,0)</f>
        <v>0</v>
      </c>
      <c r="X82" s="4">
        <f>IFERROR(SUMIFS(Исход!$O:$O,Исход!$A:$A,X$1,Исход!$B:$B,$A82)/X32,0)</f>
        <v>0</v>
      </c>
      <c r="Y82" s="4">
        <f>IFERROR(SUMIFS(Исход!$O:$O,Исход!$A:$A,Y$1,Исход!$B:$B,$A82)/Y32,0)</f>
        <v>0</v>
      </c>
      <c r="Z82" s="4">
        <f>IFERROR(SUMIFS(Исход!$O:$O,Исход!$A:$A,Z$1,Исход!$B:$B,$A82)/Z32,0)</f>
        <v>0</v>
      </c>
      <c r="AA82" s="4">
        <f>IFERROR(SUMIFS(Исход!$O:$O,Исход!$A:$A,AA$1,Исход!$B:$B,$A82)/AA32,0)</f>
        <v>0</v>
      </c>
      <c r="AB82" s="4">
        <f>IFERROR(SUMIFS(Исход!$O:$O,Исход!$A:$A,AB$1,Исход!$B:$B,$A82)/AB32,0)</f>
        <v>0</v>
      </c>
      <c r="AC82" s="4">
        <f>IFERROR(SUMIFS(Исход!$O:$O,Исход!$A:$A,AC$1,Исход!$B:$B,$A82)/AC32,0)</f>
        <v>0</v>
      </c>
      <c r="AD82" s="4">
        <f>IFERROR(SUMIFS(Исход!$O:$O,Исход!$A:$A,AD$1,Исход!$B:$B,$A82)/AD32,0)</f>
        <v>0</v>
      </c>
      <c r="AE82" s="4">
        <f>IFERROR(SUMIFS(Исход!$O:$O,Исход!$A:$A,AE$1,Исход!$B:$B,$A82)/AE32,0)</f>
        <v>0</v>
      </c>
      <c r="AF82" s="4">
        <f>IFERROR(SUMIFS(Исход!$O:$O,Исход!$A:$A,AF$1,Исход!$B:$B,$A82)/AF32,0)</f>
        <v>0</v>
      </c>
      <c r="AG82" s="142">
        <f>IFERROR(SUMIFS(Исход!$O:$O,Исход!$A:$A,AG$1,Исход!$B:$B,$A82)/AG32,0)</f>
        <v>0</v>
      </c>
    </row>
    <row r="83" spans="1:33" hidden="1" outlineLevel="1" x14ac:dyDescent="0.25">
      <c r="A83" s="103">
        <v>0.60416666666666663</v>
      </c>
      <c r="B83" s="123">
        <v>0.625</v>
      </c>
      <c r="C83" s="143">
        <f>IFERROR(SUMIFS(Исход!$O:$O,Исход!$A:$A,C$1,Исход!$B:$B,$A83)/C33,0)</f>
        <v>0</v>
      </c>
      <c r="D83" s="4">
        <f>IFERROR(SUMIFS(Исход!$O:$O,Исход!$A:$A,D$1,Исход!$B:$B,$A83)/D33,0)</f>
        <v>0</v>
      </c>
      <c r="E83" s="4">
        <f>IFERROR(SUMIFS(Исход!$O:$O,Исход!$A:$A,E$1,Исход!$B:$B,$A83)/E33,0)</f>
        <v>0</v>
      </c>
      <c r="F83" s="4">
        <f>IFERROR(SUMIFS(Исход!$O:$O,Исход!$A:$A,F$1,Исход!$B:$B,$A83)/F33,0)</f>
        <v>0</v>
      </c>
      <c r="G83" s="4">
        <f>IFERROR(SUMIFS(Исход!$O:$O,Исход!$A:$A,G$1,Исход!$B:$B,$A83)/G33,0)</f>
        <v>0</v>
      </c>
      <c r="H83" s="4">
        <f>IFERROR(SUMIFS(Исход!$O:$O,Исход!$A:$A,H$1,Исход!$B:$B,$A83)/H33,0)</f>
        <v>0</v>
      </c>
      <c r="I83" s="4">
        <f>IFERROR(SUMIFS(Исход!$O:$O,Исход!$A:$A,I$1,Исход!$B:$B,$A83)/I33,0)</f>
        <v>0</v>
      </c>
      <c r="J83" s="4">
        <f>IFERROR(SUMIFS(Исход!$O:$O,Исход!$A:$A,J$1,Исход!$B:$B,$A83)/J33,0)</f>
        <v>0</v>
      </c>
      <c r="K83" s="4">
        <f>IFERROR(SUMIFS(Исход!$O:$O,Исход!$A:$A,K$1,Исход!$B:$B,$A83)/K33,0)</f>
        <v>0</v>
      </c>
      <c r="L83" s="4">
        <f>IFERROR(SUMIFS(Исход!$O:$O,Исход!$A:$A,L$1,Исход!$B:$B,$A83)/L33,0)</f>
        <v>0</v>
      </c>
      <c r="M83" s="4">
        <f>IFERROR(SUMIFS(Исход!$O:$O,Исход!$A:$A,M$1,Исход!$B:$B,$A83)/M33,0)</f>
        <v>0</v>
      </c>
      <c r="N83" s="4">
        <f>IFERROR(SUMIFS(Исход!$O:$O,Исход!$A:$A,N$1,Исход!$B:$B,$A83)/N33,0)</f>
        <v>0</v>
      </c>
      <c r="O83" s="4">
        <f>IFERROR(SUMIFS(Исход!$O:$O,Исход!$A:$A,O$1,Исход!$B:$B,$A83)/O33,0)</f>
        <v>0</v>
      </c>
      <c r="P83" s="4">
        <f>IFERROR(SUMIFS(Исход!$O:$O,Исход!$A:$A,P$1,Исход!$B:$B,$A83)/P33,0)</f>
        <v>0</v>
      </c>
      <c r="Q83" s="4">
        <f>IFERROR(SUMIFS(Исход!$O:$O,Исход!$A:$A,Q$1,Исход!$B:$B,$A83)/Q33,0)</f>
        <v>0</v>
      </c>
      <c r="R83" s="4">
        <f>IFERROR(SUMIFS(Исход!$O:$O,Исход!$A:$A,R$1,Исход!$B:$B,$A83)/R33,0)</f>
        <v>0</v>
      </c>
      <c r="S83" s="4">
        <f>IFERROR(SUMIFS(Исход!$O:$O,Исход!$A:$A,S$1,Исход!$B:$B,$A83)/S33,0)</f>
        <v>0</v>
      </c>
      <c r="T83" s="4">
        <f>IFERROR(SUMIFS(Исход!$O:$O,Исход!$A:$A,T$1,Исход!$B:$B,$A83)/T33,0)</f>
        <v>0</v>
      </c>
      <c r="U83" s="4">
        <f>IFERROR(SUMIFS(Исход!$O:$O,Исход!$A:$A,U$1,Исход!$B:$B,$A83)/U33,0)</f>
        <v>0</v>
      </c>
      <c r="V83" s="4">
        <f>IFERROR(SUMIFS(Исход!$O:$O,Исход!$A:$A,V$1,Исход!$B:$B,$A83)/V33,0)</f>
        <v>0</v>
      </c>
      <c r="W83" s="4">
        <f>IFERROR(SUMIFS(Исход!$O:$O,Исход!$A:$A,W$1,Исход!$B:$B,$A83)/W33,0)</f>
        <v>0</v>
      </c>
      <c r="X83" s="4">
        <f>IFERROR(SUMIFS(Исход!$O:$O,Исход!$A:$A,X$1,Исход!$B:$B,$A83)/X33,0)</f>
        <v>0</v>
      </c>
      <c r="Y83" s="4">
        <f>IFERROR(SUMIFS(Исход!$O:$O,Исход!$A:$A,Y$1,Исход!$B:$B,$A83)/Y33,0)</f>
        <v>0</v>
      </c>
      <c r="Z83" s="4">
        <f>IFERROR(SUMIFS(Исход!$O:$O,Исход!$A:$A,Z$1,Исход!$B:$B,$A83)/Z33,0)</f>
        <v>0</v>
      </c>
      <c r="AA83" s="4">
        <f>IFERROR(SUMIFS(Исход!$O:$O,Исход!$A:$A,AA$1,Исход!$B:$B,$A83)/AA33,0)</f>
        <v>0</v>
      </c>
      <c r="AB83" s="4">
        <f>IFERROR(SUMIFS(Исход!$O:$O,Исход!$A:$A,AB$1,Исход!$B:$B,$A83)/AB33,0)</f>
        <v>0</v>
      </c>
      <c r="AC83" s="4">
        <f>IFERROR(SUMIFS(Исход!$O:$O,Исход!$A:$A,AC$1,Исход!$B:$B,$A83)/AC33,0)</f>
        <v>0</v>
      </c>
      <c r="AD83" s="4">
        <f>IFERROR(SUMIFS(Исход!$O:$O,Исход!$A:$A,AD$1,Исход!$B:$B,$A83)/AD33,0)</f>
        <v>0</v>
      </c>
      <c r="AE83" s="4">
        <f>IFERROR(SUMIFS(Исход!$O:$O,Исход!$A:$A,AE$1,Исход!$B:$B,$A83)/AE33,0)</f>
        <v>0</v>
      </c>
      <c r="AF83" s="4">
        <f>IFERROR(SUMIFS(Исход!$O:$O,Исход!$A:$A,AF$1,Исход!$B:$B,$A83)/AF33,0)</f>
        <v>0</v>
      </c>
      <c r="AG83" s="142">
        <f>IFERROR(SUMIFS(Исход!$O:$O,Исход!$A:$A,AG$1,Исход!$B:$B,$A83)/AG33,0)</f>
        <v>0</v>
      </c>
    </row>
    <row r="84" spans="1:33" hidden="1" outlineLevel="1" x14ac:dyDescent="0.25">
      <c r="A84" s="103">
        <v>0.625</v>
      </c>
      <c r="B84" s="123">
        <v>0.64583333333333337</v>
      </c>
      <c r="C84" s="143">
        <f>IFERROR(SUMIFS(Исход!$O:$O,Исход!$A:$A,C$1,Исход!$B:$B,$A84)/C34,0)</f>
        <v>0</v>
      </c>
      <c r="D84" s="4">
        <f>IFERROR(SUMIFS(Исход!$O:$O,Исход!$A:$A,D$1,Исход!$B:$B,$A84)/D34,0)</f>
        <v>0</v>
      </c>
      <c r="E84" s="4">
        <f>IFERROR(SUMIFS(Исход!$O:$O,Исход!$A:$A,E$1,Исход!$B:$B,$A84)/E34,0)</f>
        <v>0</v>
      </c>
      <c r="F84" s="4">
        <f>IFERROR(SUMIFS(Исход!$O:$O,Исход!$A:$A,F$1,Исход!$B:$B,$A84)/F34,0)</f>
        <v>0</v>
      </c>
      <c r="G84" s="4">
        <f>IFERROR(SUMIFS(Исход!$O:$O,Исход!$A:$A,G$1,Исход!$B:$B,$A84)/G34,0)</f>
        <v>0</v>
      </c>
      <c r="H84" s="4">
        <f>IFERROR(SUMIFS(Исход!$O:$O,Исход!$A:$A,H$1,Исход!$B:$B,$A84)/H34,0)</f>
        <v>0</v>
      </c>
      <c r="I84" s="4">
        <f>IFERROR(SUMIFS(Исход!$O:$O,Исход!$A:$A,I$1,Исход!$B:$B,$A84)/I34,0)</f>
        <v>0</v>
      </c>
      <c r="J84" s="4">
        <f>IFERROR(SUMIFS(Исход!$O:$O,Исход!$A:$A,J$1,Исход!$B:$B,$A84)/J34,0)</f>
        <v>0</v>
      </c>
      <c r="K84" s="4">
        <f>IFERROR(SUMIFS(Исход!$O:$O,Исход!$A:$A,K$1,Исход!$B:$B,$A84)/K34,0)</f>
        <v>0</v>
      </c>
      <c r="L84" s="4">
        <f>IFERROR(SUMIFS(Исход!$O:$O,Исход!$A:$A,L$1,Исход!$B:$B,$A84)/L34,0)</f>
        <v>0</v>
      </c>
      <c r="M84" s="4">
        <f>IFERROR(SUMIFS(Исход!$O:$O,Исход!$A:$A,M$1,Исход!$B:$B,$A84)/M34,0)</f>
        <v>0</v>
      </c>
      <c r="N84" s="4">
        <f>IFERROR(SUMIFS(Исход!$O:$O,Исход!$A:$A,N$1,Исход!$B:$B,$A84)/N34,0)</f>
        <v>0</v>
      </c>
      <c r="O84" s="4">
        <f>IFERROR(SUMIFS(Исход!$O:$O,Исход!$A:$A,O$1,Исход!$B:$B,$A84)/O34,0)</f>
        <v>0</v>
      </c>
      <c r="P84" s="4">
        <f>IFERROR(SUMIFS(Исход!$O:$O,Исход!$A:$A,P$1,Исход!$B:$B,$A84)/P34,0)</f>
        <v>0</v>
      </c>
      <c r="Q84" s="4">
        <f>IFERROR(SUMIFS(Исход!$O:$O,Исход!$A:$A,Q$1,Исход!$B:$B,$A84)/Q34,0)</f>
        <v>0</v>
      </c>
      <c r="R84" s="4">
        <f>IFERROR(SUMIFS(Исход!$O:$O,Исход!$A:$A,R$1,Исход!$B:$B,$A84)/R34,0)</f>
        <v>0</v>
      </c>
      <c r="S84" s="4">
        <f>IFERROR(SUMIFS(Исход!$O:$O,Исход!$A:$A,S$1,Исход!$B:$B,$A84)/S34,0)</f>
        <v>0</v>
      </c>
      <c r="T84" s="4">
        <f>IFERROR(SUMIFS(Исход!$O:$O,Исход!$A:$A,T$1,Исход!$B:$B,$A84)/T34,0)</f>
        <v>0</v>
      </c>
      <c r="U84" s="4">
        <f>IFERROR(SUMIFS(Исход!$O:$O,Исход!$A:$A,U$1,Исход!$B:$B,$A84)/U34,0)</f>
        <v>0</v>
      </c>
      <c r="V84" s="4">
        <f>IFERROR(SUMIFS(Исход!$O:$O,Исход!$A:$A,V$1,Исход!$B:$B,$A84)/V34,0)</f>
        <v>0</v>
      </c>
      <c r="W84" s="4">
        <f>IFERROR(SUMIFS(Исход!$O:$O,Исход!$A:$A,W$1,Исход!$B:$B,$A84)/W34,0)</f>
        <v>0</v>
      </c>
      <c r="X84" s="4">
        <f>IFERROR(SUMIFS(Исход!$O:$O,Исход!$A:$A,X$1,Исход!$B:$B,$A84)/X34,0)</f>
        <v>0</v>
      </c>
      <c r="Y84" s="4">
        <f>IFERROR(SUMIFS(Исход!$O:$O,Исход!$A:$A,Y$1,Исход!$B:$B,$A84)/Y34,0)</f>
        <v>0</v>
      </c>
      <c r="Z84" s="4">
        <f>IFERROR(SUMIFS(Исход!$O:$O,Исход!$A:$A,Z$1,Исход!$B:$B,$A84)/Z34,0)</f>
        <v>0</v>
      </c>
      <c r="AA84" s="4">
        <f>IFERROR(SUMIFS(Исход!$O:$O,Исход!$A:$A,AA$1,Исход!$B:$B,$A84)/AA34,0)</f>
        <v>0</v>
      </c>
      <c r="AB84" s="4">
        <f>IFERROR(SUMIFS(Исход!$O:$O,Исход!$A:$A,AB$1,Исход!$B:$B,$A84)/AB34,0)</f>
        <v>0</v>
      </c>
      <c r="AC84" s="4">
        <f>IFERROR(SUMIFS(Исход!$O:$O,Исход!$A:$A,AC$1,Исход!$B:$B,$A84)/AC34,0)</f>
        <v>0</v>
      </c>
      <c r="AD84" s="4">
        <f>IFERROR(SUMIFS(Исход!$O:$O,Исход!$A:$A,AD$1,Исход!$B:$B,$A84)/AD34,0)</f>
        <v>0</v>
      </c>
      <c r="AE84" s="4">
        <f>IFERROR(SUMIFS(Исход!$O:$O,Исход!$A:$A,AE$1,Исход!$B:$B,$A84)/AE34,0)</f>
        <v>0</v>
      </c>
      <c r="AF84" s="4">
        <f>IFERROR(SUMIFS(Исход!$O:$O,Исход!$A:$A,AF$1,Исход!$B:$B,$A84)/AF34,0)</f>
        <v>0</v>
      </c>
      <c r="AG84" s="142">
        <f>IFERROR(SUMIFS(Исход!$O:$O,Исход!$A:$A,AG$1,Исход!$B:$B,$A84)/AG34,0)</f>
        <v>0</v>
      </c>
    </row>
    <row r="85" spans="1:33" hidden="1" outlineLevel="1" x14ac:dyDescent="0.25">
      <c r="A85" s="103">
        <v>0.64583333333333337</v>
      </c>
      <c r="B85" s="123">
        <v>0.66666666666666663</v>
      </c>
      <c r="C85" s="143">
        <f>IFERROR(SUMIFS(Исход!$O:$O,Исход!$A:$A,C$1,Исход!$B:$B,$A85)/C35,0)</f>
        <v>0</v>
      </c>
      <c r="D85" s="4">
        <f>IFERROR(SUMIFS(Исход!$O:$O,Исход!$A:$A,D$1,Исход!$B:$B,$A85)/D35,0)</f>
        <v>0</v>
      </c>
      <c r="E85" s="4">
        <f>IFERROR(SUMIFS(Исход!$O:$O,Исход!$A:$A,E$1,Исход!$B:$B,$A85)/E35,0)</f>
        <v>0</v>
      </c>
      <c r="F85" s="4">
        <f>IFERROR(SUMIFS(Исход!$O:$O,Исход!$A:$A,F$1,Исход!$B:$B,$A85)/F35,0)</f>
        <v>0</v>
      </c>
      <c r="G85" s="4">
        <f>IFERROR(SUMIFS(Исход!$O:$O,Исход!$A:$A,G$1,Исход!$B:$B,$A85)/G35,0)</f>
        <v>0</v>
      </c>
      <c r="H85" s="4">
        <f>IFERROR(SUMIFS(Исход!$O:$O,Исход!$A:$A,H$1,Исход!$B:$B,$A85)/H35,0)</f>
        <v>0</v>
      </c>
      <c r="I85" s="4">
        <f>IFERROR(SUMIFS(Исход!$O:$O,Исход!$A:$A,I$1,Исход!$B:$B,$A85)/I35,0)</f>
        <v>0</v>
      </c>
      <c r="J85" s="4">
        <f>IFERROR(SUMIFS(Исход!$O:$O,Исход!$A:$A,J$1,Исход!$B:$B,$A85)/J35,0)</f>
        <v>0</v>
      </c>
      <c r="K85" s="4">
        <f>IFERROR(SUMIFS(Исход!$O:$O,Исход!$A:$A,K$1,Исход!$B:$B,$A85)/K35,0)</f>
        <v>0</v>
      </c>
      <c r="L85" s="4">
        <f>IFERROR(SUMIFS(Исход!$O:$O,Исход!$A:$A,L$1,Исход!$B:$B,$A85)/L35,0)</f>
        <v>0</v>
      </c>
      <c r="M85" s="4">
        <f>IFERROR(SUMIFS(Исход!$O:$O,Исход!$A:$A,M$1,Исход!$B:$B,$A85)/M35,0)</f>
        <v>0</v>
      </c>
      <c r="N85" s="4">
        <f>IFERROR(SUMIFS(Исход!$O:$O,Исход!$A:$A,N$1,Исход!$B:$B,$A85)/N35,0)</f>
        <v>0</v>
      </c>
      <c r="O85" s="4">
        <f>IFERROR(SUMIFS(Исход!$O:$O,Исход!$A:$A,O$1,Исход!$B:$B,$A85)/O35,0)</f>
        <v>0</v>
      </c>
      <c r="P85" s="4">
        <f>IFERROR(SUMIFS(Исход!$O:$O,Исход!$A:$A,P$1,Исход!$B:$B,$A85)/P35,0)</f>
        <v>0</v>
      </c>
      <c r="Q85" s="4">
        <f>IFERROR(SUMIFS(Исход!$O:$O,Исход!$A:$A,Q$1,Исход!$B:$B,$A85)/Q35,0)</f>
        <v>0</v>
      </c>
      <c r="R85" s="4">
        <f>IFERROR(SUMIFS(Исход!$O:$O,Исход!$A:$A,R$1,Исход!$B:$B,$A85)/R35,0)</f>
        <v>0</v>
      </c>
      <c r="S85" s="4">
        <f>IFERROR(SUMIFS(Исход!$O:$O,Исход!$A:$A,S$1,Исход!$B:$B,$A85)/S35,0)</f>
        <v>0</v>
      </c>
      <c r="T85" s="4">
        <f>IFERROR(SUMIFS(Исход!$O:$O,Исход!$A:$A,T$1,Исход!$B:$B,$A85)/T35,0)</f>
        <v>0</v>
      </c>
      <c r="U85" s="4">
        <f>IFERROR(SUMIFS(Исход!$O:$O,Исход!$A:$A,U$1,Исход!$B:$B,$A85)/U35,0)</f>
        <v>0</v>
      </c>
      <c r="V85" s="4">
        <f>IFERROR(SUMIFS(Исход!$O:$O,Исход!$A:$A,V$1,Исход!$B:$B,$A85)/V35,0)</f>
        <v>0</v>
      </c>
      <c r="W85" s="4">
        <f>IFERROR(SUMIFS(Исход!$O:$O,Исход!$A:$A,W$1,Исход!$B:$B,$A85)/W35,0)</f>
        <v>0</v>
      </c>
      <c r="X85" s="4">
        <f>IFERROR(SUMIFS(Исход!$O:$O,Исход!$A:$A,X$1,Исход!$B:$B,$A85)/X35,0)</f>
        <v>0</v>
      </c>
      <c r="Y85" s="4">
        <f>IFERROR(SUMIFS(Исход!$O:$O,Исход!$A:$A,Y$1,Исход!$B:$B,$A85)/Y35,0)</f>
        <v>0</v>
      </c>
      <c r="Z85" s="4">
        <f>IFERROR(SUMIFS(Исход!$O:$O,Исход!$A:$A,Z$1,Исход!$B:$B,$A85)/Z35,0)</f>
        <v>0</v>
      </c>
      <c r="AA85" s="4">
        <f>IFERROR(SUMIFS(Исход!$O:$O,Исход!$A:$A,AA$1,Исход!$B:$B,$A85)/AA35,0)</f>
        <v>0</v>
      </c>
      <c r="AB85" s="4">
        <f>IFERROR(SUMIFS(Исход!$O:$O,Исход!$A:$A,AB$1,Исход!$B:$B,$A85)/AB35,0)</f>
        <v>0</v>
      </c>
      <c r="AC85" s="4">
        <f>IFERROR(SUMIFS(Исход!$O:$O,Исход!$A:$A,AC$1,Исход!$B:$B,$A85)/AC35,0)</f>
        <v>0</v>
      </c>
      <c r="AD85" s="4">
        <f>IFERROR(SUMIFS(Исход!$O:$O,Исход!$A:$A,AD$1,Исход!$B:$B,$A85)/AD35,0)</f>
        <v>0</v>
      </c>
      <c r="AE85" s="4">
        <f>IFERROR(SUMIFS(Исход!$O:$O,Исход!$A:$A,AE$1,Исход!$B:$B,$A85)/AE35,0)</f>
        <v>0</v>
      </c>
      <c r="AF85" s="4">
        <f>IFERROR(SUMIFS(Исход!$O:$O,Исход!$A:$A,AF$1,Исход!$B:$B,$A85)/AF35,0)</f>
        <v>0</v>
      </c>
      <c r="AG85" s="142">
        <f>IFERROR(SUMIFS(Исход!$O:$O,Исход!$A:$A,AG$1,Исход!$B:$B,$A85)/AG35,0)</f>
        <v>0</v>
      </c>
    </row>
    <row r="86" spans="1:33" hidden="1" outlineLevel="1" x14ac:dyDescent="0.25">
      <c r="A86" s="103">
        <v>0.66666666666666663</v>
      </c>
      <c r="B86" s="123">
        <v>0.6875</v>
      </c>
      <c r="C86" s="143">
        <f>IFERROR(SUMIFS(Исход!$O:$O,Исход!$A:$A,C$1,Исход!$B:$B,$A86)/C36,0)</f>
        <v>0</v>
      </c>
      <c r="D86" s="4">
        <f>IFERROR(SUMIFS(Исход!$O:$O,Исход!$A:$A,D$1,Исход!$B:$B,$A86)/D36,0)</f>
        <v>0</v>
      </c>
      <c r="E86" s="4">
        <f>IFERROR(SUMIFS(Исход!$O:$O,Исход!$A:$A,E$1,Исход!$B:$B,$A86)/E36,0)</f>
        <v>0</v>
      </c>
      <c r="F86" s="4">
        <f>IFERROR(SUMIFS(Исход!$O:$O,Исход!$A:$A,F$1,Исход!$B:$B,$A86)/F36,0)</f>
        <v>0</v>
      </c>
      <c r="G86" s="4">
        <f>IFERROR(SUMIFS(Исход!$O:$O,Исход!$A:$A,G$1,Исход!$B:$B,$A86)/G36,0)</f>
        <v>0</v>
      </c>
      <c r="H86" s="4">
        <f>IFERROR(SUMIFS(Исход!$O:$O,Исход!$A:$A,H$1,Исход!$B:$B,$A86)/H36,0)</f>
        <v>0</v>
      </c>
      <c r="I86" s="4">
        <f>IFERROR(SUMIFS(Исход!$O:$O,Исход!$A:$A,I$1,Исход!$B:$B,$A86)/I36,0)</f>
        <v>0</v>
      </c>
      <c r="J86" s="4">
        <f>IFERROR(SUMIFS(Исход!$O:$O,Исход!$A:$A,J$1,Исход!$B:$B,$A86)/J36,0)</f>
        <v>0</v>
      </c>
      <c r="K86" s="4">
        <f>IFERROR(SUMIFS(Исход!$O:$O,Исход!$A:$A,K$1,Исход!$B:$B,$A86)/K36,0)</f>
        <v>0</v>
      </c>
      <c r="L86" s="4">
        <f>IFERROR(SUMIFS(Исход!$O:$O,Исход!$A:$A,L$1,Исход!$B:$B,$A86)/L36,0)</f>
        <v>0</v>
      </c>
      <c r="M86" s="4">
        <f>IFERROR(SUMIFS(Исход!$O:$O,Исход!$A:$A,M$1,Исход!$B:$B,$A86)/M36,0)</f>
        <v>0</v>
      </c>
      <c r="N86" s="4">
        <f>IFERROR(SUMIFS(Исход!$O:$O,Исход!$A:$A,N$1,Исход!$B:$B,$A86)/N36,0)</f>
        <v>0</v>
      </c>
      <c r="O86" s="4">
        <f>IFERROR(SUMIFS(Исход!$O:$O,Исход!$A:$A,O$1,Исход!$B:$B,$A86)/O36,0)</f>
        <v>0</v>
      </c>
      <c r="P86" s="4">
        <f>IFERROR(SUMIFS(Исход!$O:$O,Исход!$A:$A,P$1,Исход!$B:$B,$A86)/P36,0)</f>
        <v>0</v>
      </c>
      <c r="Q86" s="4">
        <f>IFERROR(SUMIFS(Исход!$O:$O,Исход!$A:$A,Q$1,Исход!$B:$B,$A86)/Q36,0)</f>
        <v>0</v>
      </c>
      <c r="R86" s="4">
        <f>IFERROR(SUMIFS(Исход!$O:$O,Исход!$A:$A,R$1,Исход!$B:$B,$A86)/R36,0)</f>
        <v>0</v>
      </c>
      <c r="S86" s="4">
        <f>IFERROR(SUMIFS(Исход!$O:$O,Исход!$A:$A,S$1,Исход!$B:$B,$A86)/S36,0)</f>
        <v>0</v>
      </c>
      <c r="T86" s="4">
        <f>IFERROR(SUMIFS(Исход!$O:$O,Исход!$A:$A,T$1,Исход!$B:$B,$A86)/T36,0)</f>
        <v>0</v>
      </c>
      <c r="U86" s="4">
        <f>IFERROR(SUMIFS(Исход!$O:$O,Исход!$A:$A,U$1,Исход!$B:$B,$A86)/U36,0)</f>
        <v>0</v>
      </c>
      <c r="V86" s="4">
        <f>IFERROR(SUMIFS(Исход!$O:$O,Исход!$A:$A,V$1,Исход!$B:$B,$A86)/V36,0)</f>
        <v>0</v>
      </c>
      <c r="W86" s="4">
        <f>IFERROR(SUMIFS(Исход!$O:$O,Исход!$A:$A,W$1,Исход!$B:$B,$A86)/W36,0)</f>
        <v>0</v>
      </c>
      <c r="X86" s="4">
        <f>IFERROR(SUMIFS(Исход!$O:$O,Исход!$A:$A,X$1,Исход!$B:$B,$A86)/X36,0)</f>
        <v>0</v>
      </c>
      <c r="Y86" s="4">
        <f>IFERROR(SUMIFS(Исход!$O:$O,Исход!$A:$A,Y$1,Исход!$B:$B,$A86)/Y36,0)</f>
        <v>0</v>
      </c>
      <c r="Z86" s="4">
        <f>IFERROR(SUMIFS(Исход!$O:$O,Исход!$A:$A,Z$1,Исход!$B:$B,$A86)/Z36,0)</f>
        <v>0</v>
      </c>
      <c r="AA86" s="4">
        <f>IFERROR(SUMIFS(Исход!$O:$O,Исход!$A:$A,AA$1,Исход!$B:$B,$A86)/AA36,0)</f>
        <v>0</v>
      </c>
      <c r="AB86" s="4">
        <f>IFERROR(SUMIFS(Исход!$O:$O,Исход!$A:$A,AB$1,Исход!$B:$B,$A86)/AB36,0)</f>
        <v>0</v>
      </c>
      <c r="AC86" s="4">
        <f>IFERROR(SUMIFS(Исход!$O:$O,Исход!$A:$A,AC$1,Исход!$B:$B,$A86)/AC36,0)</f>
        <v>0</v>
      </c>
      <c r="AD86" s="4">
        <f>IFERROR(SUMIFS(Исход!$O:$O,Исход!$A:$A,AD$1,Исход!$B:$B,$A86)/AD36,0)</f>
        <v>0</v>
      </c>
      <c r="AE86" s="4">
        <f>IFERROR(SUMIFS(Исход!$O:$O,Исход!$A:$A,AE$1,Исход!$B:$B,$A86)/AE36,0)</f>
        <v>0</v>
      </c>
      <c r="AF86" s="4">
        <f>IFERROR(SUMIFS(Исход!$O:$O,Исход!$A:$A,AF$1,Исход!$B:$B,$A86)/AF36,0)</f>
        <v>0</v>
      </c>
      <c r="AG86" s="142">
        <f>IFERROR(SUMIFS(Исход!$O:$O,Исход!$A:$A,AG$1,Исход!$B:$B,$A86)/AG36,0)</f>
        <v>0</v>
      </c>
    </row>
    <row r="87" spans="1:33" hidden="1" outlineLevel="1" x14ac:dyDescent="0.25">
      <c r="A87" s="103">
        <v>0.6875</v>
      </c>
      <c r="B87" s="123">
        <v>0.70833333333333337</v>
      </c>
      <c r="C87" s="143">
        <f>IFERROR(SUMIFS(Исход!$O:$O,Исход!$A:$A,C$1,Исход!$B:$B,$A87)/C37,0)</f>
        <v>0</v>
      </c>
      <c r="D87" s="4">
        <f>IFERROR(SUMIFS(Исход!$O:$O,Исход!$A:$A,D$1,Исход!$B:$B,$A87)/D37,0)</f>
        <v>0</v>
      </c>
      <c r="E87" s="4">
        <f>IFERROR(SUMIFS(Исход!$O:$O,Исход!$A:$A,E$1,Исход!$B:$B,$A87)/E37,0)</f>
        <v>0</v>
      </c>
      <c r="F87" s="4">
        <f>IFERROR(SUMIFS(Исход!$O:$O,Исход!$A:$A,F$1,Исход!$B:$B,$A87)/F37,0)</f>
        <v>0</v>
      </c>
      <c r="G87" s="4">
        <f>IFERROR(SUMIFS(Исход!$O:$O,Исход!$A:$A,G$1,Исход!$B:$B,$A87)/G37,0)</f>
        <v>0</v>
      </c>
      <c r="H87" s="4">
        <f>IFERROR(SUMIFS(Исход!$O:$O,Исход!$A:$A,H$1,Исход!$B:$B,$A87)/H37,0)</f>
        <v>0</v>
      </c>
      <c r="I87" s="4">
        <f>IFERROR(SUMIFS(Исход!$O:$O,Исход!$A:$A,I$1,Исход!$B:$B,$A87)/I37,0)</f>
        <v>0</v>
      </c>
      <c r="J87" s="4">
        <f>IFERROR(SUMIFS(Исход!$O:$O,Исход!$A:$A,J$1,Исход!$B:$B,$A87)/J37,0)</f>
        <v>0</v>
      </c>
      <c r="K87" s="4">
        <f>IFERROR(SUMIFS(Исход!$O:$O,Исход!$A:$A,K$1,Исход!$B:$B,$A87)/K37,0)</f>
        <v>0</v>
      </c>
      <c r="L87" s="4">
        <f>IFERROR(SUMIFS(Исход!$O:$O,Исход!$A:$A,L$1,Исход!$B:$B,$A87)/L37,0)</f>
        <v>0</v>
      </c>
      <c r="M87" s="4">
        <f>IFERROR(SUMIFS(Исход!$O:$O,Исход!$A:$A,M$1,Исход!$B:$B,$A87)/M37,0)</f>
        <v>0</v>
      </c>
      <c r="N87" s="4">
        <f>IFERROR(SUMIFS(Исход!$O:$O,Исход!$A:$A,N$1,Исход!$B:$B,$A87)/N37,0)</f>
        <v>0</v>
      </c>
      <c r="O87" s="4">
        <f>IFERROR(SUMIFS(Исход!$O:$O,Исход!$A:$A,O$1,Исход!$B:$B,$A87)/O37,0)</f>
        <v>0</v>
      </c>
      <c r="P87" s="4">
        <f>IFERROR(SUMIFS(Исход!$O:$O,Исход!$A:$A,P$1,Исход!$B:$B,$A87)/P37,0)</f>
        <v>0</v>
      </c>
      <c r="Q87" s="4">
        <f>IFERROR(SUMIFS(Исход!$O:$O,Исход!$A:$A,Q$1,Исход!$B:$B,$A87)/Q37,0)</f>
        <v>0</v>
      </c>
      <c r="R87" s="4">
        <f>IFERROR(SUMIFS(Исход!$O:$O,Исход!$A:$A,R$1,Исход!$B:$B,$A87)/R37,0)</f>
        <v>0</v>
      </c>
      <c r="S87" s="4">
        <f>IFERROR(SUMIFS(Исход!$O:$O,Исход!$A:$A,S$1,Исход!$B:$B,$A87)/S37,0)</f>
        <v>0</v>
      </c>
      <c r="T87" s="4">
        <f>IFERROR(SUMIFS(Исход!$O:$O,Исход!$A:$A,T$1,Исход!$B:$B,$A87)/T37,0)</f>
        <v>0</v>
      </c>
      <c r="U87" s="4">
        <f>IFERROR(SUMIFS(Исход!$O:$O,Исход!$A:$A,U$1,Исход!$B:$B,$A87)/U37,0)</f>
        <v>0</v>
      </c>
      <c r="V87" s="4">
        <f>IFERROR(SUMIFS(Исход!$O:$O,Исход!$A:$A,V$1,Исход!$B:$B,$A87)/V37,0)</f>
        <v>0</v>
      </c>
      <c r="W87" s="4">
        <f>IFERROR(SUMIFS(Исход!$O:$O,Исход!$A:$A,W$1,Исход!$B:$B,$A87)/W37,0)</f>
        <v>0</v>
      </c>
      <c r="X87" s="4">
        <f>IFERROR(SUMIFS(Исход!$O:$O,Исход!$A:$A,X$1,Исход!$B:$B,$A87)/X37,0)</f>
        <v>0</v>
      </c>
      <c r="Y87" s="4">
        <f>IFERROR(SUMIFS(Исход!$O:$O,Исход!$A:$A,Y$1,Исход!$B:$B,$A87)/Y37,0)</f>
        <v>0</v>
      </c>
      <c r="Z87" s="4">
        <f>IFERROR(SUMIFS(Исход!$O:$O,Исход!$A:$A,Z$1,Исход!$B:$B,$A87)/Z37,0)</f>
        <v>0</v>
      </c>
      <c r="AA87" s="4">
        <f>IFERROR(SUMIFS(Исход!$O:$O,Исход!$A:$A,AA$1,Исход!$B:$B,$A87)/AA37,0)</f>
        <v>0</v>
      </c>
      <c r="AB87" s="4">
        <f>IFERROR(SUMIFS(Исход!$O:$O,Исход!$A:$A,AB$1,Исход!$B:$B,$A87)/AB37,0)</f>
        <v>0</v>
      </c>
      <c r="AC87" s="4">
        <f>IFERROR(SUMIFS(Исход!$O:$O,Исход!$A:$A,AC$1,Исход!$B:$B,$A87)/AC37,0)</f>
        <v>0</v>
      </c>
      <c r="AD87" s="4">
        <f>IFERROR(SUMIFS(Исход!$O:$O,Исход!$A:$A,AD$1,Исход!$B:$B,$A87)/AD37,0)</f>
        <v>0</v>
      </c>
      <c r="AE87" s="4">
        <f>IFERROR(SUMIFS(Исход!$O:$O,Исход!$A:$A,AE$1,Исход!$B:$B,$A87)/AE37,0)</f>
        <v>0</v>
      </c>
      <c r="AF87" s="4">
        <f>IFERROR(SUMIFS(Исход!$O:$O,Исход!$A:$A,AF$1,Исход!$B:$B,$A87)/AF37,0)</f>
        <v>0</v>
      </c>
      <c r="AG87" s="142">
        <f>IFERROR(SUMIFS(Исход!$O:$O,Исход!$A:$A,AG$1,Исход!$B:$B,$A87)/AG37,0)</f>
        <v>0</v>
      </c>
    </row>
    <row r="88" spans="1:33" hidden="1" outlineLevel="1" x14ac:dyDescent="0.25">
      <c r="A88" s="103">
        <v>0.70833333333333337</v>
      </c>
      <c r="B88" s="123">
        <v>0.72916666666666663</v>
      </c>
      <c r="C88" s="143">
        <f>IFERROR(SUMIFS(Исход!$O:$O,Исход!$A:$A,C$1,Исход!$B:$B,$A88)/C38,0)</f>
        <v>0</v>
      </c>
      <c r="D88" s="4">
        <f>IFERROR(SUMIFS(Исход!$O:$O,Исход!$A:$A,D$1,Исход!$B:$B,$A88)/D38,0)</f>
        <v>0</v>
      </c>
      <c r="E88" s="4">
        <f>IFERROR(SUMIFS(Исход!$O:$O,Исход!$A:$A,E$1,Исход!$B:$B,$A88)/E38,0)</f>
        <v>0</v>
      </c>
      <c r="F88" s="4">
        <f>IFERROR(SUMIFS(Исход!$O:$O,Исход!$A:$A,F$1,Исход!$B:$B,$A88)/F38,0)</f>
        <v>0</v>
      </c>
      <c r="G88" s="4">
        <f>IFERROR(SUMIFS(Исход!$O:$O,Исход!$A:$A,G$1,Исход!$B:$B,$A88)/G38,0)</f>
        <v>0</v>
      </c>
      <c r="H88" s="4">
        <f>IFERROR(SUMIFS(Исход!$O:$O,Исход!$A:$A,H$1,Исход!$B:$B,$A88)/H38,0)</f>
        <v>0</v>
      </c>
      <c r="I88" s="4">
        <f>IFERROR(SUMIFS(Исход!$O:$O,Исход!$A:$A,I$1,Исход!$B:$B,$A88)/I38,0)</f>
        <v>0</v>
      </c>
      <c r="J88" s="4">
        <f>IFERROR(SUMIFS(Исход!$O:$O,Исход!$A:$A,J$1,Исход!$B:$B,$A88)/J38,0)</f>
        <v>0</v>
      </c>
      <c r="K88" s="4">
        <f>IFERROR(SUMIFS(Исход!$O:$O,Исход!$A:$A,K$1,Исход!$B:$B,$A88)/K38,0)</f>
        <v>0</v>
      </c>
      <c r="L88" s="4">
        <f>IFERROR(SUMIFS(Исход!$O:$O,Исход!$A:$A,L$1,Исход!$B:$B,$A88)/L38,0)</f>
        <v>0</v>
      </c>
      <c r="M88" s="4">
        <f>IFERROR(SUMIFS(Исход!$O:$O,Исход!$A:$A,M$1,Исход!$B:$B,$A88)/M38,0)</f>
        <v>0</v>
      </c>
      <c r="N88" s="4">
        <f>IFERROR(SUMIFS(Исход!$O:$O,Исход!$A:$A,N$1,Исход!$B:$B,$A88)/N38,0)</f>
        <v>0</v>
      </c>
      <c r="O88" s="4">
        <f>IFERROR(SUMIFS(Исход!$O:$O,Исход!$A:$A,O$1,Исход!$B:$B,$A88)/O38,0)</f>
        <v>0</v>
      </c>
      <c r="P88" s="4">
        <f>IFERROR(SUMIFS(Исход!$O:$O,Исход!$A:$A,P$1,Исход!$B:$B,$A88)/P38,0)</f>
        <v>0</v>
      </c>
      <c r="Q88" s="4">
        <f>IFERROR(SUMIFS(Исход!$O:$O,Исход!$A:$A,Q$1,Исход!$B:$B,$A88)/Q38,0)</f>
        <v>0</v>
      </c>
      <c r="R88" s="4">
        <f>IFERROR(SUMIFS(Исход!$O:$O,Исход!$A:$A,R$1,Исход!$B:$B,$A88)/R38,0)</f>
        <v>0</v>
      </c>
      <c r="S88" s="4">
        <f>IFERROR(SUMIFS(Исход!$O:$O,Исход!$A:$A,S$1,Исход!$B:$B,$A88)/S38,0)</f>
        <v>0</v>
      </c>
      <c r="T88" s="4">
        <f>IFERROR(SUMIFS(Исход!$O:$O,Исход!$A:$A,T$1,Исход!$B:$B,$A88)/T38,0)</f>
        <v>0</v>
      </c>
      <c r="U88" s="4">
        <f>IFERROR(SUMIFS(Исход!$O:$O,Исход!$A:$A,U$1,Исход!$B:$B,$A88)/U38,0)</f>
        <v>0</v>
      </c>
      <c r="V88" s="4">
        <f>IFERROR(SUMIFS(Исход!$O:$O,Исход!$A:$A,V$1,Исход!$B:$B,$A88)/V38,0)</f>
        <v>0</v>
      </c>
      <c r="W88" s="4">
        <f>IFERROR(SUMIFS(Исход!$O:$O,Исход!$A:$A,W$1,Исход!$B:$B,$A88)/W38,0)</f>
        <v>0</v>
      </c>
      <c r="X88" s="4">
        <f>IFERROR(SUMIFS(Исход!$O:$O,Исход!$A:$A,X$1,Исход!$B:$B,$A88)/X38,0)</f>
        <v>0</v>
      </c>
      <c r="Y88" s="4">
        <f>IFERROR(SUMIFS(Исход!$O:$O,Исход!$A:$A,Y$1,Исход!$B:$B,$A88)/Y38,0)</f>
        <v>0</v>
      </c>
      <c r="Z88" s="4">
        <f>IFERROR(SUMIFS(Исход!$O:$O,Исход!$A:$A,Z$1,Исход!$B:$B,$A88)/Z38,0)</f>
        <v>0</v>
      </c>
      <c r="AA88" s="4">
        <f>IFERROR(SUMIFS(Исход!$O:$O,Исход!$A:$A,AA$1,Исход!$B:$B,$A88)/AA38,0)</f>
        <v>0</v>
      </c>
      <c r="AB88" s="4">
        <f>IFERROR(SUMIFS(Исход!$O:$O,Исход!$A:$A,AB$1,Исход!$B:$B,$A88)/AB38,0)</f>
        <v>0</v>
      </c>
      <c r="AC88" s="4">
        <f>IFERROR(SUMIFS(Исход!$O:$O,Исход!$A:$A,AC$1,Исход!$B:$B,$A88)/AC38,0)</f>
        <v>0</v>
      </c>
      <c r="AD88" s="4">
        <f>IFERROR(SUMIFS(Исход!$O:$O,Исход!$A:$A,AD$1,Исход!$B:$B,$A88)/AD38,0)</f>
        <v>0</v>
      </c>
      <c r="AE88" s="4">
        <f>IFERROR(SUMIFS(Исход!$O:$O,Исход!$A:$A,AE$1,Исход!$B:$B,$A88)/AE38,0)</f>
        <v>0</v>
      </c>
      <c r="AF88" s="4">
        <f>IFERROR(SUMIFS(Исход!$O:$O,Исход!$A:$A,AF$1,Исход!$B:$B,$A88)/AF38,0)</f>
        <v>0</v>
      </c>
      <c r="AG88" s="142">
        <f>IFERROR(SUMIFS(Исход!$O:$O,Исход!$A:$A,AG$1,Исход!$B:$B,$A88)/AG38,0)</f>
        <v>0</v>
      </c>
    </row>
    <row r="89" spans="1:33" hidden="1" outlineLevel="1" x14ac:dyDescent="0.25">
      <c r="A89" s="103">
        <v>0.72916666666666663</v>
      </c>
      <c r="B89" s="123">
        <v>0.75</v>
      </c>
      <c r="C89" s="143">
        <f>IFERROR(SUMIFS(Исход!$O:$O,Исход!$A:$A,C$1,Исход!$B:$B,$A89)/C39,0)</f>
        <v>0</v>
      </c>
      <c r="D89" s="4">
        <f>IFERROR(SUMIFS(Исход!$O:$O,Исход!$A:$A,D$1,Исход!$B:$B,$A89)/D39,0)</f>
        <v>0</v>
      </c>
      <c r="E89" s="4">
        <f>IFERROR(SUMIFS(Исход!$O:$O,Исход!$A:$A,E$1,Исход!$B:$B,$A89)/E39,0)</f>
        <v>0</v>
      </c>
      <c r="F89" s="4">
        <f>IFERROR(SUMIFS(Исход!$O:$O,Исход!$A:$A,F$1,Исход!$B:$B,$A89)/F39,0)</f>
        <v>0</v>
      </c>
      <c r="G89" s="4">
        <f>IFERROR(SUMIFS(Исход!$O:$O,Исход!$A:$A,G$1,Исход!$B:$B,$A89)/G39,0)</f>
        <v>0</v>
      </c>
      <c r="H89" s="4">
        <f>IFERROR(SUMIFS(Исход!$O:$O,Исход!$A:$A,H$1,Исход!$B:$B,$A89)/H39,0)</f>
        <v>0</v>
      </c>
      <c r="I89" s="4">
        <f>IFERROR(SUMIFS(Исход!$O:$O,Исход!$A:$A,I$1,Исход!$B:$B,$A89)/I39,0)</f>
        <v>0</v>
      </c>
      <c r="J89" s="4">
        <f>IFERROR(SUMIFS(Исход!$O:$O,Исход!$A:$A,J$1,Исход!$B:$B,$A89)/J39,0)</f>
        <v>0</v>
      </c>
      <c r="K89" s="4">
        <f>IFERROR(SUMIFS(Исход!$O:$O,Исход!$A:$A,K$1,Исход!$B:$B,$A89)/K39,0)</f>
        <v>0</v>
      </c>
      <c r="L89" s="4">
        <f>IFERROR(SUMIFS(Исход!$O:$O,Исход!$A:$A,L$1,Исход!$B:$B,$A89)/L39,0)</f>
        <v>0</v>
      </c>
      <c r="M89" s="4">
        <f>IFERROR(SUMIFS(Исход!$O:$O,Исход!$A:$A,M$1,Исход!$B:$B,$A89)/M39,0)</f>
        <v>0</v>
      </c>
      <c r="N89" s="4">
        <f>IFERROR(SUMIFS(Исход!$O:$O,Исход!$A:$A,N$1,Исход!$B:$B,$A89)/N39,0)</f>
        <v>0</v>
      </c>
      <c r="O89" s="4">
        <f>IFERROR(SUMIFS(Исход!$O:$O,Исход!$A:$A,O$1,Исход!$B:$B,$A89)/O39,0)</f>
        <v>0</v>
      </c>
      <c r="P89" s="4">
        <f>IFERROR(SUMIFS(Исход!$O:$O,Исход!$A:$A,P$1,Исход!$B:$B,$A89)/P39,0)</f>
        <v>0</v>
      </c>
      <c r="Q89" s="4">
        <f>IFERROR(SUMIFS(Исход!$O:$O,Исход!$A:$A,Q$1,Исход!$B:$B,$A89)/Q39,0)</f>
        <v>0</v>
      </c>
      <c r="R89" s="4">
        <f>IFERROR(SUMIFS(Исход!$O:$O,Исход!$A:$A,R$1,Исход!$B:$B,$A89)/R39,0)</f>
        <v>0</v>
      </c>
      <c r="S89" s="4">
        <f>IFERROR(SUMIFS(Исход!$O:$O,Исход!$A:$A,S$1,Исход!$B:$B,$A89)/S39,0)</f>
        <v>0</v>
      </c>
      <c r="T89" s="4">
        <f>IFERROR(SUMIFS(Исход!$O:$O,Исход!$A:$A,T$1,Исход!$B:$B,$A89)/T39,0)</f>
        <v>0</v>
      </c>
      <c r="U89" s="4">
        <f>IFERROR(SUMIFS(Исход!$O:$O,Исход!$A:$A,U$1,Исход!$B:$B,$A89)/U39,0)</f>
        <v>0</v>
      </c>
      <c r="V89" s="4">
        <f>IFERROR(SUMIFS(Исход!$O:$O,Исход!$A:$A,V$1,Исход!$B:$B,$A89)/V39,0)</f>
        <v>0</v>
      </c>
      <c r="W89" s="4">
        <f>IFERROR(SUMIFS(Исход!$O:$O,Исход!$A:$A,W$1,Исход!$B:$B,$A89)/W39,0)</f>
        <v>0</v>
      </c>
      <c r="X89" s="4">
        <f>IFERROR(SUMIFS(Исход!$O:$O,Исход!$A:$A,X$1,Исход!$B:$B,$A89)/X39,0)</f>
        <v>0</v>
      </c>
      <c r="Y89" s="4">
        <f>IFERROR(SUMIFS(Исход!$O:$O,Исход!$A:$A,Y$1,Исход!$B:$B,$A89)/Y39,0)</f>
        <v>0</v>
      </c>
      <c r="Z89" s="4">
        <f>IFERROR(SUMIFS(Исход!$O:$O,Исход!$A:$A,Z$1,Исход!$B:$B,$A89)/Z39,0)</f>
        <v>0</v>
      </c>
      <c r="AA89" s="4">
        <f>IFERROR(SUMIFS(Исход!$O:$O,Исход!$A:$A,AA$1,Исход!$B:$B,$A89)/AA39,0)</f>
        <v>0</v>
      </c>
      <c r="AB89" s="4">
        <f>IFERROR(SUMIFS(Исход!$O:$O,Исход!$A:$A,AB$1,Исход!$B:$B,$A89)/AB39,0)</f>
        <v>0</v>
      </c>
      <c r="AC89" s="4">
        <f>IFERROR(SUMIFS(Исход!$O:$O,Исход!$A:$A,AC$1,Исход!$B:$B,$A89)/AC39,0)</f>
        <v>0</v>
      </c>
      <c r="AD89" s="4">
        <f>IFERROR(SUMIFS(Исход!$O:$O,Исход!$A:$A,AD$1,Исход!$B:$B,$A89)/AD39,0)</f>
        <v>0</v>
      </c>
      <c r="AE89" s="4">
        <f>IFERROR(SUMIFS(Исход!$O:$O,Исход!$A:$A,AE$1,Исход!$B:$B,$A89)/AE39,0)</f>
        <v>0</v>
      </c>
      <c r="AF89" s="4">
        <f>IFERROR(SUMIFS(Исход!$O:$O,Исход!$A:$A,AF$1,Исход!$B:$B,$A89)/AF39,0)</f>
        <v>0</v>
      </c>
      <c r="AG89" s="142">
        <f>IFERROR(SUMIFS(Исход!$O:$O,Исход!$A:$A,AG$1,Исход!$B:$B,$A89)/AG39,0)</f>
        <v>0</v>
      </c>
    </row>
    <row r="90" spans="1:33" hidden="1" outlineLevel="1" x14ac:dyDescent="0.25">
      <c r="A90" s="103">
        <v>0.75</v>
      </c>
      <c r="B90" s="123">
        <v>0.77083333333333337</v>
      </c>
      <c r="C90" s="143">
        <f>IFERROR(SUMIFS(Исход!$O:$O,Исход!$A:$A,C$1,Исход!$B:$B,$A90)/C40,0)</f>
        <v>0</v>
      </c>
      <c r="D90" s="4">
        <f>IFERROR(SUMIFS(Исход!$O:$O,Исход!$A:$A,D$1,Исход!$B:$B,$A90)/D40,0)</f>
        <v>0</v>
      </c>
      <c r="E90" s="4">
        <f>IFERROR(SUMIFS(Исход!$O:$O,Исход!$A:$A,E$1,Исход!$B:$B,$A90)/E40,0)</f>
        <v>0</v>
      </c>
      <c r="F90" s="4">
        <f>IFERROR(SUMIFS(Исход!$O:$O,Исход!$A:$A,F$1,Исход!$B:$B,$A90)/F40,0)</f>
        <v>0</v>
      </c>
      <c r="G90" s="4">
        <f>IFERROR(SUMIFS(Исход!$O:$O,Исход!$A:$A,G$1,Исход!$B:$B,$A90)/G40,0)</f>
        <v>0</v>
      </c>
      <c r="H90" s="4">
        <f>IFERROR(SUMIFS(Исход!$O:$O,Исход!$A:$A,H$1,Исход!$B:$B,$A90)/H40,0)</f>
        <v>0</v>
      </c>
      <c r="I90" s="4">
        <f>IFERROR(SUMIFS(Исход!$O:$O,Исход!$A:$A,I$1,Исход!$B:$B,$A90)/I40,0)</f>
        <v>0</v>
      </c>
      <c r="J90" s="4">
        <f>IFERROR(SUMIFS(Исход!$O:$O,Исход!$A:$A,J$1,Исход!$B:$B,$A90)/J40,0)</f>
        <v>0</v>
      </c>
      <c r="K90" s="4">
        <f>IFERROR(SUMIFS(Исход!$O:$O,Исход!$A:$A,K$1,Исход!$B:$B,$A90)/K40,0)</f>
        <v>0</v>
      </c>
      <c r="L90" s="4">
        <f>IFERROR(SUMIFS(Исход!$O:$O,Исход!$A:$A,L$1,Исход!$B:$B,$A90)/L40,0)</f>
        <v>0</v>
      </c>
      <c r="M90" s="4">
        <f>IFERROR(SUMIFS(Исход!$O:$O,Исход!$A:$A,M$1,Исход!$B:$B,$A90)/M40,0)</f>
        <v>0</v>
      </c>
      <c r="N90" s="4">
        <f>IFERROR(SUMIFS(Исход!$O:$O,Исход!$A:$A,N$1,Исход!$B:$B,$A90)/N40,0)</f>
        <v>0</v>
      </c>
      <c r="O90" s="4">
        <f>IFERROR(SUMIFS(Исход!$O:$O,Исход!$A:$A,O$1,Исход!$B:$B,$A90)/O40,0)</f>
        <v>0</v>
      </c>
      <c r="P90" s="4">
        <f>IFERROR(SUMIFS(Исход!$O:$O,Исход!$A:$A,P$1,Исход!$B:$B,$A90)/P40,0)</f>
        <v>0</v>
      </c>
      <c r="Q90" s="4">
        <f>IFERROR(SUMIFS(Исход!$O:$O,Исход!$A:$A,Q$1,Исход!$B:$B,$A90)/Q40,0)</f>
        <v>0</v>
      </c>
      <c r="R90" s="4">
        <f>IFERROR(SUMIFS(Исход!$O:$O,Исход!$A:$A,R$1,Исход!$B:$B,$A90)/R40,0)</f>
        <v>0</v>
      </c>
      <c r="S90" s="4">
        <f>IFERROR(SUMIFS(Исход!$O:$O,Исход!$A:$A,S$1,Исход!$B:$B,$A90)/S40,0)</f>
        <v>0</v>
      </c>
      <c r="T90" s="4">
        <f>IFERROR(SUMIFS(Исход!$O:$O,Исход!$A:$A,T$1,Исход!$B:$B,$A90)/T40,0)</f>
        <v>0</v>
      </c>
      <c r="U90" s="4">
        <f>IFERROR(SUMIFS(Исход!$O:$O,Исход!$A:$A,U$1,Исход!$B:$B,$A90)/U40,0)</f>
        <v>0</v>
      </c>
      <c r="V90" s="4">
        <f>IFERROR(SUMIFS(Исход!$O:$O,Исход!$A:$A,V$1,Исход!$B:$B,$A90)/V40,0)</f>
        <v>0</v>
      </c>
      <c r="W90" s="4">
        <f>IFERROR(SUMIFS(Исход!$O:$O,Исход!$A:$A,W$1,Исход!$B:$B,$A90)/W40,0)</f>
        <v>0</v>
      </c>
      <c r="X90" s="4">
        <f>IFERROR(SUMIFS(Исход!$O:$O,Исход!$A:$A,X$1,Исход!$B:$B,$A90)/X40,0)</f>
        <v>0</v>
      </c>
      <c r="Y90" s="4">
        <f>IFERROR(SUMIFS(Исход!$O:$O,Исход!$A:$A,Y$1,Исход!$B:$B,$A90)/Y40,0)</f>
        <v>0</v>
      </c>
      <c r="Z90" s="4">
        <f>IFERROR(SUMIFS(Исход!$O:$O,Исход!$A:$A,Z$1,Исход!$B:$B,$A90)/Z40,0)</f>
        <v>0</v>
      </c>
      <c r="AA90" s="4">
        <f>IFERROR(SUMIFS(Исход!$O:$O,Исход!$A:$A,AA$1,Исход!$B:$B,$A90)/AA40,0)</f>
        <v>0</v>
      </c>
      <c r="AB90" s="4">
        <f>IFERROR(SUMIFS(Исход!$O:$O,Исход!$A:$A,AB$1,Исход!$B:$B,$A90)/AB40,0)</f>
        <v>0</v>
      </c>
      <c r="AC90" s="4">
        <f>IFERROR(SUMIFS(Исход!$O:$O,Исход!$A:$A,AC$1,Исход!$B:$B,$A90)/AC40,0)</f>
        <v>0</v>
      </c>
      <c r="AD90" s="4">
        <f>IFERROR(SUMIFS(Исход!$O:$O,Исход!$A:$A,AD$1,Исход!$B:$B,$A90)/AD40,0)</f>
        <v>0</v>
      </c>
      <c r="AE90" s="4">
        <f>IFERROR(SUMIFS(Исход!$O:$O,Исход!$A:$A,AE$1,Исход!$B:$B,$A90)/AE40,0)</f>
        <v>0</v>
      </c>
      <c r="AF90" s="4">
        <f>IFERROR(SUMIFS(Исход!$O:$O,Исход!$A:$A,AF$1,Исход!$B:$B,$A90)/AF40,0)</f>
        <v>0</v>
      </c>
      <c r="AG90" s="142">
        <f>IFERROR(SUMIFS(Исход!$O:$O,Исход!$A:$A,AG$1,Исход!$B:$B,$A90)/AG40,0)</f>
        <v>0</v>
      </c>
    </row>
    <row r="91" spans="1:33" hidden="1" outlineLevel="1" x14ac:dyDescent="0.25">
      <c r="A91" s="103">
        <v>0.77083333333333337</v>
      </c>
      <c r="B91" s="123">
        <v>0.79166666666666663</v>
      </c>
      <c r="C91" s="143">
        <f>IFERROR(SUMIFS(Исход!$O:$O,Исход!$A:$A,C$1,Исход!$B:$B,$A91)/C41,0)</f>
        <v>0</v>
      </c>
      <c r="D91" s="4">
        <f>IFERROR(SUMIFS(Исход!$O:$O,Исход!$A:$A,D$1,Исход!$B:$B,$A91)/D41,0)</f>
        <v>0</v>
      </c>
      <c r="E91" s="4">
        <f>IFERROR(SUMIFS(Исход!$O:$O,Исход!$A:$A,E$1,Исход!$B:$B,$A91)/E41,0)</f>
        <v>0</v>
      </c>
      <c r="F91" s="4">
        <f>IFERROR(SUMIFS(Исход!$O:$O,Исход!$A:$A,F$1,Исход!$B:$B,$A91)/F41,0)</f>
        <v>0</v>
      </c>
      <c r="G91" s="4">
        <f>IFERROR(SUMIFS(Исход!$O:$O,Исход!$A:$A,G$1,Исход!$B:$B,$A91)/G41,0)</f>
        <v>0</v>
      </c>
      <c r="H91" s="4">
        <f>IFERROR(SUMIFS(Исход!$O:$O,Исход!$A:$A,H$1,Исход!$B:$B,$A91)/H41,0)</f>
        <v>0</v>
      </c>
      <c r="I91" s="4">
        <f>IFERROR(SUMIFS(Исход!$O:$O,Исход!$A:$A,I$1,Исход!$B:$B,$A91)/I41,0)</f>
        <v>0</v>
      </c>
      <c r="J91" s="4">
        <f>IFERROR(SUMIFS(Исход!$O:$O,Исход!$A:$A,J$1,Исход!$B:$B,$A91)/J41,0)</f>
        <v>0</v>
      </c>
      <c r="K91" s="4">
        <f>IFERROR(SUMIFS(Исход!$O:$O,Исход!$A:$A,K$1,Исход!$B:$B,$A91)/K41,0)</f>
        <v>0</v>
      </c>
      <c r="L91" s="4">
        <f>IFERROR(SUMIFS(Исход!$O:$O,Исход!$A:$A,L$1,Исход!$B:$B,$A91)/L41,0)</f>
        <v>0</v>
      </c>
      <c r="M91" s="4">
        <f>IFERROR(SUMIFS(Исход!$O:$O,Исход!$A:$A,M$1,Исход!$B:$B,$A91)/M41,0)</f>
        <v>0</v>
      </c>
      <c r="N91" s="4">
        <f>IFERROR(SUMIFS(Исход!$O:$O,Исход!$A:$A,N$1,Исход!$B:$B,$A91)/N41,0)</f>
        <v>0</v>
      </c>
      <c r="O91" s="4">
        <f>IFERROR(SUMIFS(Исход!$O:$O,Исход!$A:$A,O$1,Исход!$B:$B,$A91)/O41,0)</f>
        <v>0</v>
      </c>
      <c r="P91" s="4">
        <f>IFERROR(SUMIFS(Исход!$O:$O,Исход!$A:$A,P$1,Исход!$B:$B,$A91)/P41,0)</f>
        <v>0</v>
      </c>
      <c r="Q91" s="4">
        <f>IFERROR(SUMIFS(Исход!$O:$O,Исход!$A:$A,Q$1,Исход!$B:$B,$A91)/Q41,0)</f>
        <v>0</v>
      </c>
      <c r="R91" s="4">
        <f>IFERROR(SUMIFS(Исход!$O:$O,Исход!$A:$A,R$1,Исход!$B:$B,$A91)/R41,0)</f>
        <v>0</v>
      </c>
      <c r="S91" s="4">
        <f>IFERROR(SUMIFS(Исход!$O:$O,Исход!$A:$A,S$1,Исход!$B:$B,$A91)/S41,0)</f>
        <v>0</v>
      </c>
      <c r="T91" s="4">
        <f>IFERROR(SUMIFS(Исход!$O:$O,Исход!$A:$A,T$1,Исход!$B:$B,$A91)/T41,0)</f>
        <v>0</v>
      </c>
      <c r="U91" s="4">
        <f>IFERROR(SUMIFS(Исход!$O:$O,Исход!$A:$A,U$1,Исход!$B:$B,$A91)/U41,0)</f>
        <v>0</v>
      </c>
      <c r="V91" s="4">
        <f>IFERROR(SUMIFS(Исход!$O:$O,Исход!$A:$A,V$1,Исход!$B:$B,$A91)/V41,0)</f>
        <v>0</v>
      </c>
      <c r="W91" s="4">
        <f>IFERROR(SUMIFS(Исход!$O:$O,Исход!$A:$A,W$1,Исход!$B:$B,$A91)/W41,0)</f>
        <v>0</v>
      </c>
      <c r="X91" s="4">
        <f>IFERROR(SUMIFS(Исход!$O:$O,Исход!$A:$A,X$1,Исход!$B:$B,$A91)/X41,0)</f>
        <v>0</v>
      </c>
      <c r="Y91" s="4">
        <f>IFERROR(SUMIFS(Исход!$O:$O,Исход!$A:$A,Y$1,Исход!$B:$B,$A91)/Y41,0)</f>
        <v>0</v>
      </c>
      <c r="Z91" s="4">
        <f>IFERROR(SUMIFS(Исход!$O:$O,Исход!$A:$A,Z$1,Исход!$B:$B,$A91)/Z41,0)</f>
        <v>0</v>
      </c>
      <c r="AA91" s="4">
        <f>IFERROR(SUMIFS(Исход!$O:$O,Исход!$A:$A,AA$1,Исход!$B:$B,$A91)/AA41,0)</f>
        <v>0</v>
      </c>
      <c r="AB91" s="4">
        <f>IFERROR(SUMIFS(Исход!$O:$O,Исход!$A:$A,AB$1,Исход!$B:$B,$A91)/AB41,0)</f>
        <v>0</v>
      </c>
      <c r="AC91" s="4">
        <f>IFERROR(SUMIFS(Исход!$O:$O,Исход!$A:$A,AC$1,Исход!$B:$B,$A91)/AC41,0)</f>
        <v>0</v>
      </c>
      <c r="AD91" s="4">
        <f>IFERROR(SUMIFS(Исход!$O:$O,Исход!$A:$A,AD$1,Исход!$B:$B,$A91)/AD41,0)</f>
        <v>0</v>
      </c>
      <c r="AE91" s="4">
        <f>IFERROR(SUMIFS(Исход!$O:$O,Исход!$A:$A,AE$1,Исход!$B:$B,$A91)/AE41,0)</f>
        <v>0</v>
      </c>
      <c r="AF91" s="4">
        <f>IFERROR(SUMIFS(Исход!$O:$O,Исход!$A:$A,AF$1,Исход!$B:$B,$A91)/AF41,0)</f>
        <v>0</v>
      </c>
      <c r="AG91" s="142">
        <f>IFERROR(SUMIFS(Исход!$O:$O,Исход!$A:$A,AG$1,Исход!$B:$B,$A91)/AG41,0)</f>
        <v>0</v>
      </c>
    </row>
    <row r="92" spans="1:33" hidden="1" outlineLevel="1" x14ac:dyDescent="0.25">
      <c r="A92" s="103">
        <v>0.79166666666666663</v>
      </c>
      <c r="B92" s="123">
        <v>0.8125</v>
      </c>
      <c r="C92" s="143">
        <f>IFERROR(SUMIFS(Исход!$O:$O,Исход!$A:$A,C$1,Исход!$B:$B,$A92)/C42,0)</f>
        <v>0</v>
      </c>
      <c r="D92" s="4">
        <f>IFERROR(SUMIFS(Исход!$O:$O,Исход!$A:$A,D$1,Исход!$B:$B,$A92)/D42,0)</f>
        <v>0</v>
      </c>
      <c r="E92" s="4">
        <f>IFERROR(SUMIFS(Исход!$O:$O,Исход!$A:$A,E$1,Исход!$B:$B,$A92)/E42,0)</f>
        <v>0</v>
      </c>
      <c r="F92" s="4">
        <f>IFERROR(SUMIFS(Исход!$O:$O,Исход!$A:$A,F$1,Исход!$B:$B,$A92)/F42,0)</f>
        <v>0</v>
      </c>
      <c r="G92" s="4">
        <f>IFERROR(SUMIFS(Исход!$O:$O,Исход!$A:$A,G$1,Исход!$B:$B,$A92)/G42,0)</f>
        <v>0</v>
      </c>
      <c r="H92" s="4">
        <f>IFERROR(SUMIFS(Исход!$O:$O,Исход!$A:$A,H$1,Исход!$B:$B,$A92)/H42,0)</f>
        <v>0</v>
      </c>
      <c r="I92" s="4">
        <f>IFERROR(SUMIFS(Исход!$O:$O,Исход!$A:$A,I$1,Исход!$B:$B,$A92)/I42,0)</f>
        <v>0</v>
      </c>
      <c r="J92" s="4">
        <f>IFERROR(SUMIFS(Исход!$O:$O,Исход!$A:$A,J$1,Исход!$B:$B,$A92)/J42,0)</f>
        <v>0</v>
      </c>
      <c r="K92" s="4">
        <f>IFERROR(SUMIFS(Исход!$O:$O,Исход!$A:$A,K$1,Исход!$B:$B,$A92)/K42,0)</f>
        <v>0</v>
      </c>
      <c r="L92" s="4">
        <f>IFERROR(SUMIFS(Исход!$O:$O,Исход!$A:$A,L$1,Исход!$B:$B,$A92)/L42,0)</f>
        <v>0</v>
      </c>
      <c r="M92" s="4">
        <f>IFERROR(SUMIFS(Исход!$O:$O,Исход!$A:$A,M$1,Исход!$B:$B,$A92)/M42,0)</f>
        <v>0</v>
      </c>
      <c r="N92" s="4">
        <f>IFERROR(SUMIFS(Исход!$O:$O,Исход!$A:$A,N$1,Исход!$B:$B,$A92)/N42,0)</f>
        <v>0</v>
      </c>
      <c r="O92" s="4">
        <f>IFERROR(SUMIFS(Исход!$O:$O,Исход!$A:$A,O$1,Исход!$B:$B,$A92)/O42,0)</f>
        <v>0</v>
      </c>
      <c r="P92" s="4">
        <f>IFERROR(SUMIFS(Исход!$O:$O,Исход!$A:$A,P$1,Исход!$B:$B,$A92)/P42,0)</f>
        <v>0</v>
      </c>
      <c r="Q92" s="4">
        <f>IFERROR(SUMIFS(Исход!$O:$O,Исход!$A:$A,Q$1,Исход!$B:$B,$A92)/Q42,0)</f>
        <v>0</v>
      </c>
      <c r="R92" s="4">
        <f>IFERROR(SUMIFS(Исход!$O:$O,Исход!$A:$A,R$1,Исход!$B:$B,$A92)/R42,0)</f>
        <v>0</v>
      </c>
      <c r="S92" s="4">
        <f>IFERROR(SUMIFS(Исход!$O:$O,Исход!$A:$A,S$1,Исход!$B:$B,$A92)/S42,0)</f>
        <v>0</v>
      </c>
      <c r="T92" s="4">
        <f>IFERROR(SUMIFS(Исход!$O:$O,Исход!$A:$A,T$1,Исход!$B:$B,$A92)/T42,0)</f>
        <v>0</v>
      </c>
      <c r="U92" s="4">
        <f>IFERROR(SUMIFS(Исход!$O:$O,Исход!$A:$A,U$1,Исход!$B:$B,$A92)/U42,0)</f>
        <v>0</v>
      </c>
      <c r="V92" s="4">
        <f>IFERROR(SUMIFS(Исход!$O:$O,Исход!$A:$A,V$1,Исход!$B:$B,$A92)/V42,0)</f>
        <v>0</v>
      </c>
      <c r="W92" s="4">
        <f>IFERROR(SUMIFS(Исход!$O:$O,Исход!$A:$A,W$1,Исход!$B:$B,$A92)/W42,0)</f>
        <v>0</v>
      </c>
      <c r="X92" s="4">
        <f>IFERROR(SUMIFS(Исход!$O:$O,Исход!$A:$A,X$1,Исход!$B:$B,$A92)/X42,0)</f>
        <v>0</v>
      </c>
      <c r="Y92" s="4">
        <f>IFERROR(SUMIFS(Исход!$O:$O,Исход!$A:$A,Y$1,Исход!$B:$B,$A92)/Y42,0)</f>
        <v>0</v>
      </c>
      <c r="Z92" s="4">
        <f>IFERROR(SUMIFS(Исход!$O:$O,Исход!$A:$A,Z$1,Исход!$B:$B,$A92)/Z42,0)</f>
        <v>0</v>
      </c>
      <c r="AA92" s="4">
        <f>IFERROR(SUMIFS(Исход!$O:$O,Исход!$A:$A,AA$1,Исход!$B:$B,$A92)/AA42,0)</f>
        <v>0</v>
      </c>
      <c r="AB92" s="4">
        <f>IFERROR(SUMIFS(Исход!$O:$O,Исход!$A:$A,AB$1,Исход!$B:$B,$A92)/AB42,0)</f>
        <v>0</v>
      </c>
      <c r="AC92" s="4">
        <f>IFERROR(SUMIFS(Исход!$O:$O,Исход!$A:$A,AC$1,Исход!$B:$B,$A92)/AC42,0)</f>
        <v>0</v>
      </c>
      <c r="AD92" s="4">
        <f>IFERROR(SUMIFS(Исход!$O:$O,Исход!$A:$A,AD$1,Исход!$B:$B,$A92)/AD42,0)</f>
        <v>0</v>
      </c>
      <c r="AE92" s="4">
        <f>IFERROR(SUMIFS(Исход!$O:$O,Исход!$A:$A,AE$1,Исход!$B:$B,$A92)/AE42,0)</f>
        <v>0</v>
      </c>
      <c r="AF92" s="4">
        <f>IFERROR(SUMIFS(Исход!$O:$O,Исход!$A:$A,AF$1,Исход!$B:$B,$A92)/AF42,0)</f>
        <v>0</v>
      </c>
      <c r="AG92" s="142">
        <f>IFERROR(SUMIFS(Исход!$O:$O,Исход!$A:$A,AG$1,Исход!$B:$B,$A92)/AG42,0)</f>
        <v>0</v>
      </c>
    </row>
    <row r="93" spans="1:33" hidden="1" outlineLevel="1" x14ac:dyDescent="0.25">
      <c r="A93" s="103">
        <v>0.8125</v>
      </c>
      <c r="B93" s="123">
        <v>0.83333333333333337</v>
      </c>
      <c r="C93" s="143">
        <f>IFERROR(SUMIFS(Исход!$O:$O,Исход!$A:$A,C$1,Исход!$B:$B,$A93)/C43,0)</f>
        <v>0</v>
      </c>
      <c r="D93" s="4">
        <f>IFERROR(SUMIFS(Исход!$O:$O,Исход!$A:$A,D$1,Исход!$B:$B,$A93)/D43,0)</f>
        <v>0</v>
      </c>
      <c r="E93" s="4">
        <f>IFERROR(SUMIFS(Исход!$O:$O,Исход!$A:$A,E$1,Исход!$B:$B,$A93)/E43,0)</f>
        <v>0</v>
      </c>
      <c r="F93" s="4">
        <f>IFERROR(SUMIFS(Исход!$O:$O,Исход!$A:$A,F$1,Исход!$B:$B,$A93)/F43,0)</f>
        <v>0</v>
      </c>
      <c r="G93" s="4">
        <f>IFERROR(SUMIFS(Исход!$O:$O,Исход!$A:$A,G$1,Исход!$B:$B,$A93)/G43,0)</f>
        <v>0</v>
      </c>
      <c r="H93" s="4">
        <f>IFERROR(SUMIFS(Исход!$O:$O,Исход!$A:$A,H$1,Исход!$B:$B,$A93)/H43,0)</f>
        <v>0</v>
      </c>
      <c r="I93" s="4">
        <f>IFERROR(SUMIFS(Исход!$O:$O,Исход!$A:$A,I$1,Исход!$B:$B,$A93)/I43,0)</f>
        <v>0</v>
      </c>
      <c r="J93" s="4">
        <f>IFERROR(SUMIFS(Исход!$O:$O,Исход!$A:$A,J$1,Исход!$B:$B,$A93)/J43,0)</f>
        <v>0</v>
      </c>
      <c r="K93" s="4">
        <f>IFERROR(SUMIFS(Исход!$O:$O,Исход!$A:$A,K$1,Исход!$B:$B,$A93)/K43,0)</f>
        <v>0</v>
      </c>
      <c r="L93" s="4">
        <f>IFERROR(SUMIFS(Исход!$O:$O,Исход!$A:$A,L$1,Исход!$B:$B,$A93)/L43,0)</f>
        <v>0</v>
      </c>
      <c r="M93" s="4">
        <f>IFERROR(SUMIFS(Исход!$O:$O,Исход!$A:$A,M$1,Исход!$B:$B,$A93)/M43,0)</f>
        <v>0</v>
      </c>
      <c r="N93" s="4">
        <f>IFERROR(SUMIFS(Исход!$O:$O,Исход!$A:$A,N$1,Исход!$B:$B,$A93)/N43,0)</f>
        <v>0</v>
      </c>
      <c r="O93" s="4">
        <f>IFERROR(SUMIFS(Исход!$O:$O,Исход!$A:$A,O$1,Исход!$B:$B,$A93)/O43,0)</f>
        <v>0</v>
      </c>
      <c r="P93" s="4">
        <f>IFERROR(SUMIFS(Исход!$O:$O,Исход!$A:$A,P$1,Исход!$B:$B,$A93)/P43,0)</f>
        <v>0</v>
      </c>
      <c r="Q93" s="4">
        <f>IFERROR(SUMIFS(Исход!$O:$O,Исход!$A:$A,Q$1,Исход!$B:$B,$A93)/Q43,0)</f>
        <v>0</v>
      </c>
      <c r="R93" s="4">
        <f>IFERROR(SUMIFS(Исход!$O:$O,Исход!$A:$A,R$1,Исход!$B:$B,$A93)/R43,0)</f>
        <v>0</v>
      </c>
      <c r="S93" s="4">
        <f>IFERROR(SUMIFS(Исход!$O:$O,Исход!$A:$A,S$1,Исход!$B:$B,$A93)/S43,0)</f>
        <v>0</v>
      </c>
      <c r="T93" s="4">
        <f>IFERROR(SUMIFS(Исход!$O:$O,Исход!$A:$A,T$1,Исход!$B:$B,$A93)/T43,0)</f>
        <v>0</v>
      </c>
      <c r="U93" s="4">
        <f>IFERROR(SUMIFS(Исход!$O:$O,Исход!$A:$A,U$1,Исход!$B:$B,$A93)/U43,0)</f>
        <v>0</v>
      </c>
      <c r="V93" s="4">
        <f>IFERROR(SUMIFS(Исход!$O:$O,Исход!$A:$A,V$1,Исход!$B:$B,$A93)/V43,0)</f>
        <v>0</v>
      </c>
      <c r="W93" s="4">
        <f>IFERROR(SUMIFS(Исход!$O:$O,Исход!$A:$A,W$1,Исход!$B:$B,$A93)/W43,0)</f>
        <v>0</v>
      </c>
      <c r="X93" s="4">
        <f>IFERROR(SUMIFS(Исход!$O:$O,Исход!$A:$A,X$1,Исход!$B:$B,$A93)/X43,0)</f>
        <v>0</v>
      </c>
      <c r="Y93" s="4">
        <f>IFERROR(SUMIFS(Исход!$O:$O,Исход!$A:$A,Y$1,Исход!$B:$B,$A93)/Y43,0)</f>
        <v>0</v>
      </c>
      <c r="Z93" s="4">
        <f>IFERROR(SUMIFS(Исход!$O:$O,Исход!$A:$A,Z$1,Исход!$B:$B,$A93)/Z43,0)</f>
        <v>0</v>
      </c>
      <c r="AA93" s="4">
        <f>IFERROR(SUMIFS(Исход!$O:$O,Исход!$A:$A,AA$1,Исход!$B:$B,$A93)/AA43,0)</f>
        <v>0</v>
      </c>
      <c r="AB93" s="4">
        <f>IFERROR(SUMIFS(Исход!$O:$O,Исход!$A:$A,AB$1,Исход!$B:$B,$A93)/AB43,0)</f>
        <v>0</v>
      </c>
      <c r="AC93" s="4">
        <f>IFERROR(SUMIFS(Исход!$O:$O,Исход!$A:$A,AC$1,Исход!$B:$B,$A93)/AC43,0)</f>
        <v>0</v>
      </c>
      <c r="AD93" s="4">
        <f>IFERROR(SUMIFS(Исход!$O:$O,Исход!$A:$A,AD$1,Исход!$B:$B,$A93)/AD43,0)</f>
        <v>0</v>
      </c>
      <c r="AE93" s="4">
        <f>IFERROR(SUMIFS(Исход!$O:$O,Исход!$A:$A,AE$1,Исход!$B:$B,$A93)/AE43,0)</f>
        <v>0</v>
      </c>
      <c r="AF93" s="4">
        <f>IFERROR(SUMIFS(Исход!$O:$O,Исход!$A:$A,AF$1,Исход!$B:$B,$A93)/AF43,0)</f>
        <v>0</v>
      </c>
      <c r="AG93" s="142">
        <f>IFERROR(SUMIFS(Исход!$O:$O,Исход!$A:$A,AG$1,Исход!$B:$B,$A93)/AG43,0)</f>
        <v>0</v>
      </c>
    </row>
    <row r="94" spans="1:33" hidden="1" outlineLevel="1" x14ac:dyDescent="0.25">
      <c r="A94" s="103">
        <v>0.83333333333333337</v>
      </c>
      <c r="B94" s="123">
        <v>0.85416666666666663</v>
      </c>
      <c r="C94" s="143">
        <f>IFERROR(SUMIFS(Исход!$O:$O,Исход!$A:$A,C$1,Исход!$B:$B,$A94)/C44,0)</f>
        <v>0</v>
      </c>
      <c r="D94" s="4">
        <f>IFERROR(SUMIFS(Исход!$O:$O,Исход!$A:$A,D$1,Исход!$B:$B,$A94)/D44,0)</f>
        <v>0</v>
      </c>
      <c r="E94" s="4">
        <f>IFERROR(SUMIFS(Исход!$O:$O,Исход!$A:$A,E$1,Исход!$B:$B,$A94)/E44,0)</f>
        <v>0</v>
      </c>
      <c r="F94" s="4">
        <f>IFERROR(SUMIFS(Исход!$O:$O,Исход!$A:$A,F$1,Исход!$B:$B,$A94)/F44,0)</f>
        <v>0</v>
      </c>
      <c r="G94" s="4">
        <f>IFERROR(SUMIFS(Исход!$O:$O,Исход!$A:$A,G$1,Исход!$B:$B,$A94)/G44,0)</f>
        <v>0</v>
      </c>
      <c r="H94" s="4">
        <f>IFERROR(SUMIFS(Исход!$O:$O,Исход!$A:$A,H$1,Исход!$B:$B,$A94)/H44,0)</f>
        <v>0</v>
      </c>
      <c r="I94" s="4">
        <f>IFERROR(SUMIFS(Исход!$O:$O,Исход!$A:$A,I$1,Исход!$B:$B,$A94)/I44,0)</f>
        <v>0</v>
      </c>
      <c r="J94" s="4">
        <f>IFERROR(SUMIFS(Исход!$O:$O,Исход!$A:$A,J$1,Исход!$B:$B,$A94)/J44,0)</f>
        <v>0</v>
      </c>
      <c r="K94" s="4">
        <f>IFERROR(SUMIFS(Исход!$O:$O,Исход!$A:$A,K$1,Исход!$B:$B,$A94)/K44,0)</f>
        <v>0</v>
      </c>
      <c r="L94" s="4">
        <f>IFERROR(SUMIFS(Исход!$O:$O,Исход!$A:$A,L$1,Исход!$B:$B,$A94)/L44,0)</f>
        <v>0</v>
      </c>
      <c r="M94" s="4">
        <f>IFERROR(SUMIFS(Исход!$O:$O,Исход!$A:$A,M$1,Исход!$B:$B,$A94)/M44,0)</f>
        <v>0</v>
      </c>
      <c r="N94" s="4">
        <f>IFERROR(SUMIFS(Исход!$O:$O,Исход!$A:$A,N$1,Исход!$B:$B,$A94)/N44,0)</f>
        <v>0</v>
      </c>
      <c r="O94" s="4">
        <f>IFERROR(SUMIFS(Исход!$O:$O,Исход!$A:$A,O$1,Исход!$B:$B,$A94)/O44,0)</f>
        <v>0</v>
      </c>
      <c r="P94" s="4">
        <f>IFERROR(SUMIFS(Исход!$O:$O,Исход!$A:$A,P$1,Исход!$B:$B,$A94)/P44,0)</f>
        <v>0</v>
      </c>
      <c r="Q94" s="4">
        <f>IFERROR(SUMIFS(Исход!$O:$O,Исход!$A:$A,Q$1,Исход!$B:$B,$A94)/Q44,0)</f>
        <v>0</v>
      </c>
      <c r="R94" s="4">
        <f>IFERROR(SUMIFS(Исход!$O:$O,Исход!$A:$A,R$1,Исход!$B:$B,$A94)/R44,0)</f>
        <v>0</v>
      </c>
      <c r="S94" s="4">
        <f>IFERROR(SUMIFS(Исход!$O:$O,Исход!$A:$A,S$1,Исход!$B:$B,$A94)/S44,0)</f>
        <v>0</v>
      </c>
      <c r="T94" s="4">
        <f>IFERROR(SUMIFS(Исход!$O:$O,Исход!$A:$A,T$1,Исход!$B:$B,$A94)/T44,0)</f>
        <v>0</v>
      </c>
      <c r="U94" s="4">
        <f>IFERROR(SUMIFS(Исход!$O:$O,Исход!$A:$A,U$1,Исход!$B:$B,$A94)/U44,0)</f>
        <v>0</v>
      </c>
      <c r="V94" s="4">
        <f>IFERROR(SUMIFS(Исход!$O:$O,Исход!$A:$A,V$1,Исход!$B:$B,$A94)/V44,0)</f>
        <v>0</v>
      </c>
      <c r="W94" s="4">
        <f>IFERROR(SUMIFS(Исход!$O:$O,Исход!$A:$A,W$1,Исход!$B:$B,$A94)/W44,0)</f>
        <v>0</v>
      </c>
      <c r="X94" s="4">
        <f>IFERROR(SUMIFS(Исход!$O:$O,Исход!$A:$A,X$1,Исход!$B:$B,$A94)/X44,0)</f>
        <v>0</v>
      </c>
      <c r="Y94" s="4">
        <f>IFERROR(SUMIFS(Исход!$O:$O,Исход!$A:$A,Y$1,Исход!$B:$B,$A94)/Y44,0)</f>
        <v>0</v>
      </c>
      <c r="Z94" s="4">
        <f>IFERROR(SUMIFS(Исход!$O:$O,Исход!$A:$A,Z$1,Исход!$B:$B,$A94)/Z44,0)</f>
        <v>0</v>
      </c>
      <c r="AA94" s="4">
        <f>IFERROR(SUMIFS(Исход!$O:$O,Исход!$A:$A,AA$1,Исход!$B:$B,$A94)/AA44,0)</f>
        <v>0</v>
      </c>
      <c r="AB94" s="4">
        <f>IFERROR(SUMIFS(Исход!$O:$O,Исход!$A:$A,AB$1,Исход!$B:$B,$A94)/AB44,0)</f>
        <v>0</v>
      </c>
      <c r="AC94" s="4">
        <f>IFERROR(SUMIFS(Исход!$O:$O,Исход!$A:$A,AC$1,Исход!$B:$B,$A94)/AC44,0)</f>
        <v>0</v>
      </c>
      <c r="AD94" s="4">
        <f>IFERROR(SUMIFS(Исход!$O:$O,Исход!$A:$A,AD$1,Исход!$B:$B,$A94)/AD44,0)</f>
        <v>0</v>
      </c>
      <c r="AE94" s="4">
        <f>IFERROR(SUMIFS(Исход!$O:$O,Исход!$A:$A,AE$1,Исход!$B:$B,$A94)/AE44,0)</f>
        <v>0</v>
      </c>
      <c r="AF94" s="4">
        <f>IFERROR(SUMIFS(Исход!$O:$O,Исход!$A:$A,AF$1,Исход!$B:$B,$A94)/AF44,0)</f>
        <v>0</v>
      </c>
      <c r="AG94" s="142">
        <f>IFERROR(SUMIFS(Исход!$O:$O,Исход!$A:$A,AG$1,Исход!$B:$B,$A94)/AG44,0)</f>
        <v>0</v>
      </c>
    </row>
    <row r="95" spans="1:33" hidden="1" outlineLevel="1" x14ac:dyDescent="0.25">
      <c r="A95" s="103">
        <v>0.85416666666666663</v>
      </c>
      <c r="B95" s="123">
        <v>0.875</v>
      </c>
      <c r="C95" s="143">
        <f>IFERROR(SUMIFS(Исход!$O:$O,Исход!$A:$A,C$1,Исход!$B:$B,$A95)/C45,0)</f>
        <v>0</v>
      </c>
      <c r="D95" s="4">
        <f>IFERROR(SUMIFS(Исход!$O:$O,Исход!$A:$A,D$1,Исход!$B:$B,$A95)/D45,0)</f>
        <v>0</v>
      </c>
      <c r="E95" s="4">
        <f>IFERROR(SUMIFS(Исход!$O:$O,Исход!$A:$A,E$1,Исход!$B:$B,$A95)/E45,0)</f>
        <v>0</v>
      </c>
      <c r="F95" s="4">
        <f>IFERROR(SUMIFS(Исход!$O:$O,Исход!$A:$A,F$1,Исход!$B:$B,$A95)/F45,0)</f>
        <v>0</v>
      </c>
      <c r="G95" s="4">
        <f>IFERROR(SUMIFS(Исход!$O:$O,Исход!$A:$A,G$1,Исход!$B:$B,$A95)/G45,0)</f>
        <v>0</v>
      </c>
      <c r="H95" s="4">
        <f>IFERROR(SUMIFS(Исход!$O:$O,Исход!$A:$A,H$1,Исход!$B:$B,$A95)/H45,0)</f>
        <v>0</v>
      </c>
      <c r="I95" s="4">
        <f>IFERROR(SUMIFS(Исход!$O:$O,Исход!$A:$A,I$1,Исход!$B:$B,$A95)/I45,0)</f>
        <v>0</v>
      </c>
      <c r="J95" s="4">
        <f>IFERROR(SUMIFS(Исход!$O:$O,Исход!$A:$A,J$1,Исход!$B:$B,$A95)/J45,0)</f>
        <v>0</v>
      </c>
      <c r="K95" s="4">
        <f>IFERROR(SUMIFS(Исход!$O:$O,Исход!$A:$A,K$1,Исход!$B:$B,$A95)/K45,0)</f>
        <v>0</v>
      </c>
      <c r="L95" s="4">
        <f>IFERROR(SUMIFS(Исход!$O:$O,Исход!$A:$A,L$1,Исход!$B:$B,$A95)/L45,0)</f>
        <v>0</v>
      </c>
      <c r="M95" s="4">
        <f>IFERROR(SUMIFS(Исход!$O:$O,Исход!$A:$A,M$1,Исход!$B:$B,$A95)/M45,0)</f>
        <v>0</v>
      </c>
      <c r="N95" s="4">
        <f>IFERROR(SUMIFS(Исход!$O:$O,Исход!$A:$A,N$1,Исход!$B:$B,$A95)/N45,0)</f>
        <v>0</v>
      </c>
      <c r="O95" s="4">
        <f>IFERROR(SUMIFS(Исход!$O:$O,Исход!$A:$A,O$1,Исход!$B:$B,$A95)/O45,0)</f>
        <v>0</v>
      </c>
      <c r="P95" s="4">
        <f>IFERROR(SUMIFS(Исход!$O:$O,Исход!$A:$A,P$1,Исход!$B:$B,$A95)/P45,0)</f>
        <v>0</v>
      </c>
      <c r="Q95" s="4">
        <f>IFERROR(SUMIFS(Исход!$O:$O,Исход!$A:$A,Q$1,Исход!$B:$B,$A95)/Q45,0)</f>
        <v>0</v>
      </c>
      <c r="R95" s="4">
        <f>IFERROR(SUMIFS(Исход!$O:$O,Исход!$A:$A,R$1,Исход!$B:$B,$A95)/R45,0)</f>
        <v>0</v>
      </c>
      <c r="S95" s="4">
        <f>IFERROR(SUMIFS(Исход!$O:$O,Исход!$A:$A,S$1,Исход!$B:$B,$A95)/S45,0)</f>
        <v>0</v>
      </c>
      <c r="T95" s="4">
        <f>IFERROR(SUMIFS(Исход!$O:$O,Исход!$A:$A,T$1,Исход!$B:$B,$A95)/T45,0)</f>
        <v>0</v>
      </c>
      <c r="U95" s="4">
        <f>IFERROR(SUMIFS(Исход!$O:$O,Исход!$A:$A,U$1,Исход!$B:$B,$A95)/U45,0)</f>
        <v>0</v>
      </c>
      <c r="V95" s="4">
        <f>IFERROR(SUMIFS(Исход!$O:$O,Исход!$A:$A,V$1,Исход!$B:$B,$A95)/V45,0)</f>
        <v>0</v>
      </c>
      <c r="W95" s="4">
        <f>IFERROR(SUMIFS(Исход!$O:$O,Исход!$A:$A,W$1,Исход!$B:$B,$A95)/W45,0)</f>
        <v>0</v>
      </c>
      <c r="X95" s="4">
        <f>IFERROR(SUMIFS(Исход!$O:$O,Исход!$A:$A,X$1,Исход!$B:$B,$A95)/X45,0)</f>
        <v>0</v>
      </c>
      <c r="Y95" s="4">
        <f>IFERROR(SUMIFS(Исход!$O:$O,Исход!$A:$A,Y$1,Исход!$B:$B,$A95)/Y45,0)</f>
        <v>0</v>
      </c>
      <c r="Z95" s="4">
        <f>IFERROR(SUMIFS(Исход!$O:$O,Исход!$A:$A,Z$1,Исход!$B:$B,$A95)/Z45,0)</f>
        <v>0</v>
      </c>
      <c r="AA95" s="4">
        <f>IFERROR(SUMIFS(Исход!$O:$O,Исход!$A:$A,AA$1,Исход!$B:$B,$A95)/AA45,0)</f>
        <v>0</v>
      </c>
      <c r="AB95" s="4">
        <f>IFERROR(SUMIFS(Исход!$O:$O,Исход!$A:$A,AB$1,Исход!$B:$B,$A95)/AB45,0)</f>
        <v>0</v>
      </c>
      <c r="AC95" s="4">
        <f>IFERROR(SUMIFS(Исход!$O:$O,Исход!$A:$A,AC$1,Исход!$B:$B,$A95)/AC45,0)</f>
        <v>0</v>
      </c>
      <c r="AD95" s="4">
        <f>IFERROR(SUMIFS(Исход!$O:$O,Исход!$A:$A,AD$1,Исход!$B:$B,$A95)/AD45,0)</f>
        <v>0</v>
      </c>
      <c r="AE95" s="4">
        <f>IFERROR(SUMIFS(Исход!$O:$O,Исход!$A:$A,AE$1,Исход!$B:$B,$A95)/AE45,0)</f>
        <v>0</v>
      </c>
      <c r="AF95" s="4">
        <f>IFERROR(SUMIFS(Исход!$O:$O,Исход!$A:$A,AF$1,Исход!$B:$B,$A95)/AF45,0)</f>
        <v>0</v>
      </c>
      <c r="AG95" s="142">
        <f>IFERROR(SUMIFS(Исход!$O:$O,Исход!$A:$A,AG$1,Исход!$B:$B,$A95)/AG45,0)</f>
        <v>0</v>
      </c>
    </row>
    <row r="96" spans="1:33" hidden="1" outlineLevel="1" x14ac:dyDescent="0.25">
      <c r="A96" s="103">
        <v>0.875</v>
      </c>
      <c r="B96" s="123">
        <v>0.89583333333333337</v>
      </c>
      <c r="C96" s="143">
        <f>IFERROR(SUMIFS(Исход!$O:$O,Исход!$A:$A,C$1,Исход!$B:$B,$A96)/C46,0)</f>
        <v>0</v>
      </c>
      <c r="D96" s="4">
        <f>IFERROR(SUMIFS(Исход!$O:$O,Исход!$A:$A,D$1,Исход!$B:$B,$A96)/D46,0)</f>
        <v>0</v>
      </c>
      <c r="E96" s="4">
        <f>IFERROR(SUMIFS(Исход!$O:$O,Исход!$A:$A,E$1,Исход!$B:$B,$A96)/E46,0)</f>
        <v>0</v>
      </c>
      <c r="F96" s="4">
        <f>IFERROR(SUMIFS(Исход!$O:$O,Исход!$A:$A,F$1,Исход!$B:$B,$A96)/F46,0)</f>
        <v>0</v>
      </c>
      <c r="G96" s="4">
        <f>IFERROR(SUMIFS(Исход!$O:$O,Исход!$A:$A,G$1,Исход!$B:$B,$A96)/G46,0)</f>
        <v>0</v>
      </c>
      <c r="H96" s="4">
        <f>IFERROR(SUMIFS(Исход!$O:$O,Исход!$A:$A,H$1,Исход!$B:$B,$A96)/H46,0)</f>
        <v>0</v>
      </c>
      <c r="I96" s="4">
        <f>IFERROR(SUMIFS(Исход!$O:$O,Исход!$A:$A,I$1,Исход!$B:$B,$A96)/I46,0)</f>
        <v>0</v>
      </c>
      <c r="J96" s="4">
        <f>IFERROR(SUMIFS(Исход!$O:$O,Исход!$A:$A,J$1,Исход!$B:$B,$A96)/J46,0)</f>
        <v>0</v>
      </c>
      <c r="K96" s="4">
        <f>IFERROR(SUMIFS(Исход!$O:$O,Исход!$A:$A,K$1,Исход!$B:$B,$A96)/K46,0)</f>
        <v>0</v>
      </c>
      <c r="L96" s="4">
        <f>IFERROR(SUMIFS(Исход!$O:$O,Исход!$A:$A,L$1,Исход!$B:$B,$A96)/L46,0)</f>
        <v>0</v>
      </c>
      <c r="M96" s="4">
        <f>IFERROR(SUMIFS(Исход!$O:$O,Исход!$A:$A,M$1,Исход!$B:$B,$A96)/M46,0)</f>
        <v>0</v>
      </c>
      <c r="N96" s="4">
        <f>IFERROR(SUMIFS(Исход!$O:$O,Исход!$A:$A,N$1,Исход!$B:$B,$A96)/N46,0)</f>
        <v>0</v>
      </c>
      <c r="O96" s="4">
        <f>IFERROR(SUMIFS(Исход!$O:$O,Исход!$A:$A,O$1,Исход!$B:$B,$A96)/O46,0)</f>
        <v>0</v>
      </c>
      <c r="P96" s="4">
        <f>IFERROR(SUMIFS(Исход!$O:$O,Исход!$A:$A,P$1,Исход!$B:$B,$A96)/P46,0)</f>
        <v>0</v>
      </c>
      <c r="Q96" s="4">
        <f>IFERROR(SUMIFS(Исход!$O:$O,Исход!$A:$A,Q$1,Исход!$B:$B,$A96)/Q46,0)</f>
        <v>0</v>
      </c>
      <c r="R96" s="4">
        <f>IFERROR(SUMIFS(Исход!$O:$O,Исход!$A:$A,R$1,Исход!$B:$B,$A96)/R46,0)</f>
        <v>0</v>
      </c>
      <c r="S96" s="4">
        <f>IFERROR(SUMIFS(Исход!$O:$O,Исход!$A:$A,S$1,Исход!$B:$B,$A96)/S46,0)</f>
        <v>0</v>
      </c>
      <c r="T96" s="4">
        <f>IFERROR(SUMIFS(Исход!$O:$O,Исход!$A:$A,T$1,Исход!$B:$B,$A96)/T46,0)</f>
        <v>0</v>
      </c>
      <c r="U96" s="4">
        <f>IFERROR(SUMIFS(Исход!$O:$O,Исход!$A:$A,U$1,Исход!$B:$B,$A96)/U46,0)</f>
        <v>0</v>
      </c>
      <c r="V96" s="4">
        <f>IFERROR(SUMIFS(Исход!$O:$O,Исход!$A:$A,V$1,Исход!$B:$B,$A96)/V46,0)</f>
        <v>0</v>
      </c>
      <c r="W96" s="4">
        <f>IFERROR(SUMIFS(Исход!$O:$O,Исход!$A:$A,W$1,Исход!$B:$B,$A96)/W46,0)</f>
        <v>0</v>
      </c>
      <c r="X96" s="4">
        <f>IFERROR(SUMIFS(Исход!$O:$O,Исход!$A:$A,X$1,Исход!$B:$B,$A96)/X46,0)</f>
        <v>0</v>
      </c>
      <c r="Y96" s="4">
        <f>IFERROR(SUMIFS(Исход!$O:$O,Исход!$A:$A,Y$1,Исход!$B:$B,$A96)/Y46,0)</f>
        <v>0</v>
      </c>
      <c r="Z96" s="4">
        <f>IFERROR(SUMIFS(Исход!$O:$O,Исход!$A:$A,Z$1,Исход!$B:$B,$A96)/Z46,0)</f>
        <v>0</v>
      </c>
      <c r="AA96" s="4">
        <f>IFERROR(SUMIFS(Исход!$O:$O,Исход!$A:$A,AA$1,Исход!$B:$B,$A96)/AA46,0)</f>
        <v>0</v>
      </c>
      <c r="AB96" s="4">
        <f>IFERROR(SUMIFS(Исход!$O:$O,Исход!$A:$A,AB$1,Исход!$B:$B,$A96)/AB46,0)</f>
        <v>0</v>
      </c>
      <c r="AC96" s="4">
        <f>IFERROR(SUMIFS(Исход!$O:$O,Исход!$A:$A,AC$1,Исход!$B:$B,$A96)/AC46,0)</f>
        <v>0</v>
      </c>
      <c r="AD96" s="4">
        <f>IFERROR(SUMIFS(Исход!$O:$O,Исход!$A:$A,AD$1,Исход!$B:$B,$A96)/AD46,0)</f>
        <v>0</v>
      </c>
      <c r="AE96" s="4">
        <f>IFERROR(SUMIFS(Исход!$O:$O,Исход!$A:$A,AE$1,Исход!$B:$B,$A96)/AE46,0)</f>
        <v>0</v>
      </c>
      <c r="AF96" s="4">
        <f>IFERROR(SUMIFS(Исход!$O:$O,Исход!$A:$A,AF$1,Исход!$B:$B,$A96)/AF46,0)</f>
        <v>0</v>
      </c>
      <c r="AG96" s="142">
        <f>IFERROR(SUMIFS(Исход!$O:$O,Исход!$A:$A,AG$1,Исход!$B:$B,$A96)/AG46,0)</f>
        <v>0</v>
      </c>
    </row>
    <row r="97" spans="1:33" ht="15.75" hidden="1" outlineLevel="1" thickBot="1" x14ac:dyDescent="0.3">
      <c r="A97" s="113">
        <v>0.89583333333333337</v>
      </c>
      <c r="B97" s="134">
        <v>0.91666666666666663</v>
      </c>
      <c r="C97" s="155">
        <f>IFERROR(SUMIFS(Исход!$O:$O,Исход!$A:$A,C$1,Исход!$B:$B,$A97)/C47,0)</f>
        <v>0</v>
      </c>
      <c r="D97" s="31">
        <f>IFERROR(SUMIFS(Исход!$O:$O,Исход!$A:$A,D$1,Исход!$B:$B,$A97)/D47,0)</f>
        <v>0</v>
      </c>
      <c r="E97" s="31">
        <f>IFERROR(SUMIFS(Исход!$O:$O,Исход!$A:$A,E$1,Исход!$B:$B,$A97)/E47,0)</f>
        <v>0</v>
      </c>
      <c r="F97" s="31">
        <f>IFERROR(SUMIFS(Исход!$O:$O,Исход!$A:$A,F$1,Исход!$B:$B,$A97)/F47,0)</f>
        <v>0</v>
      </c>
      <c r="G97" s="31">
        <f>IFERROR(SUMIFS(Исход!$O:$O,Исход!$A:$A,G$1,Исход!$B:$B,$A97)/G47,0)</f>
        <v>0</v>
      </c>
      <c r="H97" s="31">
        <f>IFERROR(SUMIFS(Исход!$O:$O,Исход!$A:$A,H$1,Исход!$B:$B,$A97)/H47,0)</f>
        <v>0</v>
      </c>
      <c r="I97" s="31">
        <f>IFERROR(SUMIFS(Исход!$O:$O,Исход!$A:$A,I$1,Исход!$B:$B,$A97)/I47,0)</f>
        <v>0</v>
      </c>
      <c r="J97" s="31">
        <f>IFERROR(SUMIFS(Исход!$O:$O,Исход!$A:$A,J$1,Исход!$B:$B,$A97)/J47,0)</f>
        <v>0</v>
      </c>
      <c r="K97" s="31">
        <f>IFERROR(SUMIFS(Исход!$O:$O,Исход!$A:$A,K$1,Исход!$B:$B,$A97)/K47,0)</f>
        <v>0</v>
      </c>
      <c r="L97" s="31">
        <f>IFERROR(SUMIFS(Исход!$O:$O,Исход!$A:$A,L$1,Исход!$B:$B,$A97)/L47,0)</f>
        <v>0</v>
      </c>
      <c r="M97" s="31">
        <f>IFERROR(SUMIFS(Исход!$O:$O,Исход!$A:$A,M$1,Исход!$B:$B,$A97)/M47,0)</f>
        <v>0</v>
      </c>
      <c r="N97" s="31">
        <f>IFERROR(SUMIFS(Исход!$O:$O,Исход!$A:$A,N$1,Исход!$B:$B,$A97)/N47,0)</f>
        <v>0</v>
      </c>
      <c r="O97" s="31">
        <f>IFERROR(SUMIFS(Исход!$O:$O,Исход!$A:$A,O$1,Исход!$B:$B,$A97)/O47,0)</f>
        <v>0</v>
      </c>
      <c r="P97" s="31">
        <f>IFERROR(SUMIFS(Исход!$O:$O,Исход!$A:$A,P$1,Исход!$B:$B,$A97)/P47,0)</f>
        <v>0</v>
      </c>
      <c r="Q97" s="31">
        <f>IFERROR(SUMIFS(Исход!$O:$O,Исход!$A:$A,Q$1,Исход!$B:$B,$A97)/Q47,0)</f>
        <v>0</v>
      </c>
      <c r="R97" s="31">
        <f>IFERROR(SUMIFS(Исход!$O:$O,Исход!$A:$A,R$1,Исход!$B:$B,$A97)/R47,0)</f>
        <v>0</v>
      </c>
      <c r="S97" s="31">
        <f>IFERROR(SUMIFS(Исход!$O:$O,Исход!$A:$A,S$1,Исход!$B:$B,$A97)/S47,0)</f>
        <v>0</v>
      </c>
      <c r="T97" s="31">
        <f>IFERROR(SUMIFS(Исход!$O:$O,Исход!$A:$A,T$1,Исход!$B:$B,$A97)/T47,0)</f>
        <v>0</v>
      </c>
      <c r="U97" s="31">
        <f>IFERROR(SUMIFS(Исход!$O:$O,Исход!$A:$A,U$1,Исход!$B:$B,$A97)/U47,0)</f>
        <v>0</v>
      </c>
      <c r="V97" s="31">
        <f>IFERROR(SUMIFS(Исход!$O:$O,Исход!$A:$A,V$1,Исход!$B:$B,$A97)/V47,0)</f>
        <v>0</v>
      </c>
      <c r="W97" s="31">
        <f>IFERROR(SUMIFS(Исход!$O:$O,Исход!$A:$A,W$1,Исход!$B:$B,$A97)/W47,0)</f>
        <v>0</v>
      </c>
      <c r="X97" s="31">
        <f>IFERROR(SUMIFS(Исход!$O:$O,Исход!$A:$A,X$1,Исход!$B:$B,$A97)/X47,0)</f>
        <v>0</v>
      </c>
      <c r="Y97" s="31">
        <f>IFERROR(SUMIFS(Исход!$O:$O,Исход!$A:$A,Y$1,Исход!$B:$B,$A97)/Y47,0)</f>
        <v>0</v>
      </c>
      <c r="Z97" s="31">
        <f>IFERROR(SUMIFS(Исход!$O:$O,Исход!$A:$A,Z$1,Исход!$B:$B,$A97)/Z47,0)</f>
        <v>0</v>
      </c>
      <c r="AA97" s="31">
        <f>IFERROR(SUMIFS(Исход!$O:$O,Исход!$A:$A,AA$1,Исход!$B:$B,$A97)/AA47,0)</f>
        <v>0</v>
      </c>
      <c r="AB97" s="31">
        <f>IFERROR(SUMIFS(Исход!$O:$O,Исход!$A:$A,AB$1,Исход!$B:$B,$A97)/AB47,0)</f>
        <v>0</v>
      </c>
      <c r="AC97" s="31">
        <f>IFERROR(SUMIFS(Исход!$O:$O,Исход!$A:$A,AC$1,Исход!$B:$B,$A97)/AC47,0)</f>
        <v>0</v>
      </c>
      <c r="AD97" s="31">
        <f>IFERROR(SUMIFS(Исход!$O:$O,Исход!$A:$A,AD$1,Исход!$B:$B,$A97)/AD47,0)</f>
        <v>0</v>
      </c>
      <c r="AE97" s="31">
        <f>IFERROR(SUMIFS(Исход!$O:$O,Исход!$A:$A,AE$1,Исход!$B:$B,$A97)/AE47,0)</f>
        <v>0</v>
      </c>
      <c r="AF97" s="31">
        <f>IFERROR(SUMIFS(Исход!$O:$O,Исход!$A:$A,AF$1,Исход!$B:$B,$A97)/AF47,0)</f>
        <v>0</v>
      </c>
      <c r="AG97" s="156">
        <f>IFERROR(SUMIFS(Исход!$O:$O,Исход!$A:$A,AG$1,Исход!$B:$B,$A97)/AG47,0)</f>
        <v>0</v>
      </c>
    </row>
    <row r="98" spans="1:33" hidden="1" outlineLevel="1" x14ac:dyDescent="0.25">
      <c r="A98" s="108">
        <v>0.91666666666666663</v>
      </c>
      <c r="B98" s="125">
        <v>0.9375</v>
      </c>
      <c r="C98" s="146">
        <f>IFERROR(SUMIFS(Исход!$O:$O,Исход!$A:$A,C$1,Исход!$B:$B,$A98)/C48,0)</f>
        <v>0</v>
      </c>
      <c r="D98" s="147">
        <f>IFERROR(SUMIFS(Исход!$O:$O,Исход!$A:$A,D$1,Исход!$B:$B,$A98)/D48,0)</f>
        <v>0</v>
      </c>
      <c r="E98" s="147">
        <f>IFERROR(SUMIFS(Исход!$O:$O,Исход!$A:$A,E$1,Исход!$B:$B,$A98)/E48,0)</f>
        <v>0</v>
      </c>
      <c r="F98" s="147">
        <f>IFERROR(SUMIFS(Исход!$O:$O,Исход!$A:$A,F$1,Исход!$B:$B,$A98)/F48,0)</f>
        <v>0</v>
      </c>
      <c r="G98" s="147">
        <f>IFERROR(SUMIFS(Исход!$O:$O,Исход!$A:$A,G$1,Исход!$B:$B,$A98)/G48,0)</f>
        <v>0</v>
      </c>
      <c r="H98" s="147">
        <f>IFERROR(SUMIFS(Исход!$O:$O,Исход!$A:$A,H$1,Исход!$B:$B,$A98)/H48,0)</f>
        <v>0</v>
      </c>
      <c r="I98" s="147">
        <f>IFERROR(SUMIFS(Исход!$O:$O,Исход!$A:$A,I$1,Исход!$B:$B,$A98)/I48,0)</f>
        <v>0</v>
      </c>
      <c r="J98" s="147">
        <f>IFERROR(SUMIFS(Исход!$O:$O,Исход!$A:$A,J$1,Исход!$B:$B,$A98)/J48,0)</f>
        <v>0</v>
      </c>
      <c r="K98" s="147">
        <f>IFERROR(SUMIFS(Исход!$O:$O,Исход!$A:$A,K$1,Исход!$B:$B,$A98)/K48,0)</f>
        <v>0</v>
      </c>
      <c r="L98" s="147">
        <f>IFERROR(SUMIFS(Исход!$O:$O,Исход!$A:$A,L$1,Исход!$B:$B,$A98)/L48,0)</f>
        <v>0</v>
      </c>
      <c r="M98" s="147">
        <f>IFERROR(SUMIFS(Исход!$O:$O,Исход!$A:$A,M$1,Исход!$B:$B,$A98)/M48,0)</f>
        <v>0</v>
      </c>
      <c r="N98" s="147">
        <f>IFERROR(SUMIFS(Исход!$O:$O,Исход!$A:$A,N$1,Исход!$B:$B,$A98)/N48,0)</f>
        <v>0</v>
      </c>
      <c r="O98" s="147">
        <f>IFERROR(SUMIFS(Исход!$O:$O,Исход!$A:$A,O$1,Исход!$B:$B,$A98)/O48,0)</f>
        <v>0</v>
      </c>
      <c r="P98" s="147">
        <f>IFERROR(SUMIFS(Исход!$O:$O,Исход!$A:$A,P$1,Исход!$B:$B,$A98)/P48,0)</f>
        <v>0</v>
      </c>
      <c r="Q98" s="147">
        <f>IFERROR(SUMIFS(Исход!$O:$O,Исход!$A:$A,Q$1,Исход!$B:$B,$A98)/Q48,0)</f>
        <v>0</v>
      </c>
      <c r="R98" s="147">
        <f>IFERROR(SUMIFS(Исход!$O:$O,Исход!$A:$A,R$1,Исход!$B:$B,$A98)/R48,0)</f>
        <v>0</v>
      </c>
      <c r="S98" s="147">
        <f>IFERROR(SUMIFS(Исход!$O:$O,Исход!$A:$A,S$1,Исход!$B:$B,$A98)/S48,0)</f>
        <v>0</v>
      </c>
      <c r="T98" s="147">
        <f>IFERROR(SUMIFS(Исход!$O:$O,Исход!$A:$A,T$1,Исход!$B:$B,$A98)/T48,0)</f>
        <v>0</v>
      </c>
      <c r="U98" s="147">
        <f>IFERROR(SUMIFS(Исход!$O:$O,Исход!$A:$A,U$1,Исход!$B:$B,$A98)/U48,0)</f>
        <v>0</v>
      </c>
      <c r="V98" s="147">
        <f>IFERROR(SUMIFS(Исход!$O:$O,Исход!$A:$A,V$1,Исход!$B:$B,$A98)/V48,0)</f>
        <v>0</v>
      </c>
      <c r="W98" s="147">
        <f>IFERROR(SUMIFS(Исход!$O:$O,Исход!$A:$A,W$1,Исход!$B:$B,$A98)/W48,0)</f>
        <v>0</v>
      </c>
      <c r="X98" s="147">
        <f>IFERROR(SUMIFS(Исход!$O:$O,Исход!$A:$A,X$1,Исход!$B:$B,$A98)/X48,0)</f>
        <v>0</v>
      </c>
      <c r="Y98" s="147">
        <f>IFERROR(SUMIFS(Исход!$O:$O,Исход!$A:$A,Y$1,Исход!$B:$B,$A98)/Y48,0)</f>
        <v>0</v>
      </c>
      <c r="Z98" s="147">
        <f>IFERROR(SUMIFS(Исход!$O:$O,Исход!$A:$A,Z$1,Исход!$B:$B,$A98)/Z48,0)</f>
        <v>0</v>
      </c>
      <c r="AA98" s="147">
        <f>IFERROR(SUMIFS(Исход!$O:$O,Исход!$A:$A,AA$1,Исход!$B:$B,$A98)/AA48,0)</f>
        <v>0</v>
      </c>
      <c r="AB98" s="147">
        <f>IFERROR(SUMIFS(Исход!$O:$O,Исход!$A:$A,AB$1,Исход!$B:$B,$A98)/AB48,0)</f>
        <v>0</v>
      </c>
      <c r="AC98" s="147">
        <f>IFERROR(SUMIFS(Исход!$O:$O,Исход!$A:$A,AC$1,Исход!$B:$B,$A98)/AC48,0)</f>
        <v>0</v>
      </c>
      <c r="AD98" s="147">
        <f>IFERROR(SUMIFS(Исход!$O:$O,Исход!$A:$A,AD$1,Исход!$B:$B,$A98)/AD48,0)</f>
        <v>0</v>
      </c>
      <c r="AE98" s="147">
        <f>IFERROR(SUMIFS(Исход!$O:$O,Исход!$A:$A,AE$1,Исход!$B:$B,$A98)/AE48,0)</f>
        <v>0</v>
      </c>
      <c r="AF98" s="147">
        <f>IFERROR(SUMIFS(Исход!$O:$O,Исход!$A:$A,AF$1,Исход!$B:$B,$A98)/AF48,0)</f>
        <v>0</v>
      </c>
      <c r="AG98" s="148">
        <f>IFERROR(SUMIFS(Исход!$O:$O,Исход!$A:$A,AG$1,Исход!$B:$B,$A98)/AG48,0)</f>
        <v>0</v>
      </c>
    </row>
    <row r="99" spans="1:33" hidden="1" outlineLevel="1" x14ac:dyDescent="0.25">
      <c r="A99" s="102">
        <v>0.9375</v>
      </c>
      <c r="B99" s="128">
        <v>0.95833333333333337</v>
      </c>
      <c r="C99" s="149">
        <f>IFERROR(SUMIFS(Исход!$O:$O,Исход!$A:$A,C$1,Исход!$B:$B,$A99)/C49,0)</f>
        <v>0</v>
      </c>
      <c r="D99" s="150">
        <f>IFERROR(SUMIFS(Исход!$O:$O,Исход!$A:$A,D$1,Исход!$B:$B,$A99)/D49,0)</f>
        <v>0</v>
      </c>
      <c r="E99" s="150">
        <f>IFERROR(SUMIFS(Исход!$O:$O,Исход!$A:$A,E$1,Исход!$B:$B,$A99)/E49,0)</f>
        <v>0</v>
      </c>
      <c r="F99" s="150">
        <f>IFERROR(SUMIFS(Исход!$O:$O,Исход!$A:$A,F$1,Исход!$B:$B,$A99)/F49,0)</f>
        <v>0</v>
      </c>
      <c r="G99" s="150">
        <f>IFERROR(SUMIFS(Исход!$O:$O,Исход!$A:$A,G$1,Исход!$B:$B,$A99)/G49,0)</f>
        <v>0</v>
      </c>
      <c r="H99" s="150">
        <f>IFERROR(SUMIFS(Исход!$O:$O,Исход!$A:$A,H$1,Исход!$B:$B,$A99)/H49,0)</f>
        <v>0</v>
      </c>
      <c r="I99" s="150">
        <f>IFERROR(SUMIFS(Исход!$O:$O,Исход!$A:$A,I$1,Исход!$B:$B,$A99)/I49,0)</f>
        <v>0</v>
      </c>
      <c r="J99" s="150">
        <f>IFERROR(SUMIFS(Исход!$O:$O,Исход!$A:$A,J$1,Исход!$B:$B,$A99)/J49,0)</f>
        <v>0</v>
      </c>
      <c r="K99" s="150">
        <f>IFERROR(SUMIFS(Исход!$O:$O,Исход!$A:$A,K$1,Исход!$B:$B,$A99)/K49,0)</f>
        <v>0</v>
      </c>
      <c r="L99" s="150">
        <f>IFERROR(SUMIFS(Исход!$O:$O,Исход!$A:$A,L$1,Исход!$B:$B,$A99)/L49,0)</f>
        <v>0</v>
      </c>
      <c r="M99" s="150">
        <f>IFERROR(SUMIFS(Исход!$O:$O,Исход!$A:$A,M$1,Исход!$B:$B,$A99)/M49,0)</f>
        <v>0</v>
      </c>
      <c r="N99" s="150">
        <f>IFERROR(SUMIFS(Исход!$O:$O,Исход!$A:$A,N$1,Исход!$B:$B,$A99)/N49,0)</f>
        <v>0</v>
      </c>
      <c r="O99" s="150">
        <f>IFERROR(SUMIFS(Исход!$O:$O,Исход!$A:$A,O$1,Исход!$B:$B,$A99)/O49,0)</f>
        <v>0</v>
      </c>
      <c r="P99" s="150">
        <f>IFERROR(SUMIFS(Исход!$O:$O,Исход!$A:$A,P$1,Исход!$B:$B,$A99)/P49,0)</f>
        <v>0</v>
      </c>
      <c r="Q99" s="150">
        <f>IFERROR(SUMIFS(Исход!$O:$O,Исход!$A:$A,Q$1,Исход!$B:$B,$A99)/Q49,0)</f>
        <v>0</v>
      </c>
      <c r="R99" s="150">
        <f>IFERROR(SUMIFS(Исход!$O:$O,Исход!$A:$A,R$1,Исход!$B:$B,$A99)/R49,0)</f>
        <v>0</v>
      </c>
      <c r="S99" s="150">
        <f>IFERROR(SUMIFS(Исход!$O:$O,Исход!$A:$A,S$1,Исход!$B:$B,$A99)/S49,0)</f>
        <v>0</v>
      </c>
      <c r="T99" s="150">
        <f>IFERROR(SUMIFS(Исход!$O:$O,Исход!$A:$A,T$1,Исход!$B:$B,$A99)/T49,0)</f>
        <v>0</v>
      </c>
      <c r="U99" s="150">
        <f>IFERROR(SUMIFS(Исход!$O:$O,Исход!$A:$A,U$1,Исход!$B:$B,$A99)/U49,0)</f>
        <v>0</v>
      </c>
      <c r="V99" s="150">
        <f>IFERROR(SUMIFS(Исход!$O:$O,Исход!$A:$A,V$1,Исход!$B:$B,$A99)/V49,0)</f>
        <v>0</v>
      </c>
      <c r="W99" s="150">
        <f>IFERROR(SUMIFS(Исход!$O:$O,Исход!$A:$A,W$1,Исход!$B:$B,$A99)/W49,0)</f>
        <v>0</v>
      </c>
      <c r="X99" s="150">
        <f>IFERROR(SUMIFS(Исход!$O:$O,Исход!$A:$A,X$1,Исход!$B:$B,$A99)/X49,0)</f>
        <v>0</v>
      </c>
      <c r="Y99" s="150">
        <f>IFERROR(SUMIFS(Исход!$O:$O,Исход!$A:$A,Y$1,Исход!$B:$B,$A99)/Y49,0)</f>
        <v>0</v>
      </c>
      <c r="Z99" s="150">
        <f>IFERROR(SUMIFS(Исход!$O:$O,Исход!$A:$A,Z$1,Исход!$B:$B,$A99)/Z49,0)</f>
        <v>0</v>
      </c>
      <c r="AA99" s="150">
        <f>IFERROR(SUMIFS(Исход!$O:$O,Исход!$A:$A,AA$1,Исход!$B:$B,$A99)/AA49,0)</f>
        <v>0</v>
      </c>
      <c r="AB99" s="150">
        <f>IFERROR(SUMIFS(Исход!$O:$O,Исход!$A:$A,AB$1,Исход!$B:$B,$A99)/AB49,0)</f>
        <v>0</v>
      </c>
      <c r="AC99" s="150">
        <f>IFERROR(SUMIFS(Исход!$O:$O,Исход!$A:$A,AC$1,Исход!$B:$B,$A99)/AC49,0)</f>
        <v>0</v>
      </c>
      <c r="AD99" s="150">
        <f>IFERROR(SUMIFS(Исход!$O:$O,Исход!$A:$A,AD$1,Исход!$B:$B,$A99)/AD49,0)</f>
        <v>0</v>
      </c>
      <c r="AE99" s="150">
        <f>IFERROR(SUMIFS(Исход!$O:$O,Исход!$A:$A,AE$1,Исход!$B:$B,$A99)/AE49,0)</f>
        <v>0</v>
      </c>
      <c r="AF99" s="150">
        <f>IFERROR(SUMIFS(Исход!$O:$O,Исход!$A:$A,AF$1,Исход!$B:$B,$A99)/AF49,0)</f>
        <v>0</v>
      </c>
      <c r="AG99" s="151">
        <f>IFERROR(SUMIFS(Исход!$O:$O,Исход!$A:$A,AG$1,Исход!$B:$B,$A99)/AG49,0)</f>
        <v>0</v>
      </c>
    </row>
    <row r="100" spans="1:33" hidden="1" outlineLevel="1" x14ac:dyDescent="0.25">
      <c r="A100" s="102">
        <v>0.95833333333333337</v>
      </c>
      <c r="B100" s="128">
        <v>0.97916666666666663</v>
      </c>
      <c r="C100" s="149">
        <f>IFERROR(SUMIFS(Исход!$O:$O,Исход!$A:$A,C$1,Исход!$B:$B,$A100)/C50,0)</f>
        <v>0</v>
      </c>
      <c r="D100" s="150">
        <f>IFERROR(SUMIFS(Исход!$O:$O,Исход!$A:$A,D$1,Исход!$B:$B,$A100)/D50,0)</f>
        <v>0</v>
      </c>
      <c r="E100" s="150">
        <f>IFERROR(SUMIFS(Исход!$O:$O,Исход!$A:$A,E$1,Исход!$B:$B,$A100)/E50,0)</f>
        <v>0</v>
      </c>
      <c r="F100" s="150">
        <f>IFERROR(SUMIFS(Исход!$O:$O,Исход!$A:$A,F$1,Исход!$B:$B,$A100)/F50,0)</f>
        <v>0</v>
      </c>
      <c r="G100" s="150">
        <f>IFERROR(SUMIFS(Исход!$O:$O,Исход!$A:$A,G$1,Исход!$B:$B,$A100)/G50,0)</f>
        <v>0</v>
      </c>
      <c r="H100" s="150">
        <f>IFERROR(SUMIFS(Исход!$O:$O,Исход!$A:$A,H$1,Исход!$B:$B,$A100)/H50,0)</f>
        <v>0</v>
      </c>
      <c r="I100" s="150">
        <f>IFERROR(SUMIFS(Исход!$O:$O,Исход!$A:$A,I$1,Исход!$B:$B,$A100)/I50,0)</f>
        <v>0</v>
      </c>
      <c r="J100" s="150">
        <f>IFERROR(SUMIFS(Исход!$O:$O,Исход!$A:$A,J$1,Исход!$B:$B,$A100)/J50,0)</f>
        <v>0</v>
      </c>
      <c r="K100" s="150">
        <f>IFERROR(SUMIFS(Исход!$O:$O,Исход!$A:$A,K$1,Исход!$B:$B,$A100)/K50,0)</f>
        <v>0</v>
      </c>
      <c r="L100" s="150">
        <f>IFERROR(SUMIFS(Исход!$O:$O,Исход!$A:$A,L$1,Исход!$B:$B,$A100)/L50,0)</f>
        <v>0</v>
      </c>
      <c r="M100" s="150">
        <f>IFERROR(SUMIFS(Исход!$O:$O,Исход!$A:$A,M$1,Исход!$B:$B,$A100)/M50,0)</f>
        <v>0</v>
      </c>
      <c r="N100" s="150">
        <f>IFERROR(SUMIFS(Исход!$O:$O,Исход!$A:$A,N$1,Исход!$B:$B,$A100)/N50,0)</f>
        <v>0</v>
      </c>
      <c r="O100" s="150">
        <f>IFERROR(SUMIFS(Исход!$O:$O,Исход!$A:$A,O$1,Исход!$B:$B,$A100)/O50,0)</f>
        <v>0</v>
      </c>
      <c r="P100" s="150">
        <f>IFERROR(SUMIFS(Исход!$O:$O,Исход!$A:$A,P$1,Исход!$B:$B,$A100)/P50,0)</f>
        <v>0</v>
      </c>
      <c r="Q100" s="150">
        <f>IFERROR(SUMIFS(Исход!$O:$O,Исход!$A:$A,Q$1,Исход!$B:$B,$A100)/Q50,0)</f>
        <v>0</v>
      </c>
      <c r="R100" s="150">
        <f>IFERROR(SUMIFS(Исход!$O:$O,Исход!$A:$A,R$1,Исход!$B:$B,$A100)/R50,0)</f>
        <v>0</v>
      </c>
      <c r="S100" s="150">
        <f>IFERROR(SUMIFS(Исход!$O:$O,Исход!$A:$A,S$1,Исход!$B:$B,$A100)/S50,0)</f>
        <v>0</v>
      </c>
      <c r="T100" s="150">
        <f>IFERROR(SUMIFS(Исход!$O:$O,Исход!$A:$A,T$1,Исход!$B:$B,$A100)/T50,0)</f>
        <v>0</v>
      </c>
      <c r="U100" s="150">
        <f>IFERROR(SUMIFS(Исход!$O:$O,Исход!$A:$A,U$1,Исход!$B:$B,$A100)/U50,0)</f>
        <v>0</v>
      </c>
      <c r="V100" s="150">
        <f>IFERROR(SUMIFS(Исход!$O:$O,Исход!$A:$A,V$1,Исход!$B:$B,$A100)/V50,0)</f>
        <v>0</v>
      </c>
      <c r="W100" s="150">
        <f>IFERROR(SUMIFS(Исход!$O:$O,Исход!$A:$A,W$1,Исход!$B:$B,$A100)/W50,0)</f>
        <v>0</v>
      </c>
      <c r="X100" s="150">
        <f>IFERROR(SUMIFS(Исход!$O:$O,Исход!$A:$A,X$1,Исход!$B:$B,$A100)/X50,0)</f>
        <v>0</v>
      </c>
      <c r="Y100" s="150">
        <f>IFERROR(SUMIFS(Исход!$O:$O,Исход!$A:$A,Y$1,Исход!$B:$B,$A100)/Y50,0)</f>
        <v>0</v>
      </c>
      <c r="Z100" s="150">
        <f>IFERROR(SUMIFS(Исход!$O:$O,Исход!$A:$A,Z$1,Исход!$B:$B,$A100)/Z50,0)</f>
        <v>0</v>
      </c>
      <c r="AA100" s="150">
        <f>IFERROR(SUMIFS(Исход!$O:$O,Исход!$A:$A,AA$1,Исход!$B:$B,$A100)/AA50,0)</f>
        <v>0</v>
      </c>
      <c r="AB100" s="150">
        <f>IFERROR(SUMIFS(Исход!$O:$O,Исход!$A:$A,AB$1,Исход!$B:$B,$A100)/AB50,0)</f>
        <v>0</v>
      </c>
      <c r="AC100" s="150">
        <f>IFERROR(SUMIFS(Исход!$O:$O,Исход!$A:$A,AC$1,Исход!$B:$B,$A100)/AC50,0)</f>
        <v>0</v>
      </c>
      <c r="AD100" s="150">
        <f>IFERROR(SUMIFS(Исход!$O:$O,Исход!$A:$A,AD$1,Исход!$B:$B,$A100)/AD50,0)</f>
        <v>0</v>
      </c>
      <c r="AE100" s="150">
        <f>IFERROR(SUMIFS(Исход!$O:$O,Исход!$A:$A,AE$1,Исход!$B:$B,$A100)/AE50,0)</f>
        <v>0</v>
      </c>
      <c r="AF100" s="150">
        <f>IFERROR(SUMIFS(Исход!$O:$O,Исход!$A:$A,AF$1,Исход!$B:$B,$A100)/AF50,0)</f>
        <v>0</v>
      </c>
      <c r="AG100" s="151">
        <f>IFERROR(SUMIFS(Исход!$O:$O,Исход!$A:$A,AG$1,Исход!$B:$B,$A100)/AG50,0)</f>
        <v>0</v>
      </c>
    </row>
    <row r="101" spans="1:33" ht="15.75" hidden="1" outlineLevel="1" thickBot="1" x14ac:dyDescent="0.3">
      <c r="A101" s="104">
        <v>0.97916666666666663</v>
      </c>
      <c r="B101" s="131">
        <v>0</v>
      </c>
      <c r="C101" s="152">
        <f>IFERROR(SUMIFS(Исход!$O:$O,Исход!$A:$A,C$1,Исход!$B:$B,$A101)/C51,0)</f>
        <v>0</v>
      </c>
      <c r="D101" s="153">
        <f>IFERROR(SUMIFS(Исход!$O:$O,Исход!$A:$A,D$1,Исход!$B:$B,$A101)/D51,0)</f>
        <v>0</v>
      </c>
      <c r="E101" s="153">
        <f>IFERROR(SUMIFS(Исход!$O:$O,Исход!$A:$A,E$1,Исход!$B:$B,$A101)/E51,0)</f>
        <v>0</v>
      </c>
      <c r="F101" s="153">
        <f>IFERROR(SUMIFS(Исход!$O:$O,Исход!$A:$A,F$1,Исход!$B:$B,$A101)/F51,0)</f>
        <v>0</v>
      </c>
      <c r="G101" s="153">
        <f>IFERROR(SUMIFS(Исход!$O:$O,Исход!$A:$A,G$1,Исход!$B:$B,$A101)/G51,0)</f>
        <v>0</v>
      </c>
      <c r="H101" s="153">
        <f>IFERROR(SUMIFS(Исход!$O:$O,Исход!$A:$A,H$1,Исход!$B:$B,$A101)/H51,0)</f>
        <v>0</v>
      </c>
      <c r="I101" s="153">
        <f>IFERROR(SUMIFS(Исход!$O:$O,Исход!$A:$A,I$1,Исход!$B:$B,$A101)/I51,0)</f>
        <v>0</v>
      </c>
      <c r="J101" s="153">
        <f>IFERROR(SUMIFS(Исход!$O:$O,Исход!$A:$A,J$1,Исход!$B:$B,$A101)/J51,0)</f>
        <v>0</v>
      </c>
      <c r="K101" s="153">
        <f>IFERROR(SUMIFS(Исход!$O:$O,Исход!$A:$A,K$1,Исход!$B:$B,$A101)/K51,0)</f>
        <v>0</v>
      </c>
      <c r="L101" s="153">
        <f>IFERROR(SUMIFS(Исход!$O:$O,Исход!$A:$A,L$1,Исход!$B:$B,$A101)/L51,0)</f>
        <v>0</v>
      </c>
      <c r="M101" s="153">
        <f>IFERROR(SUMIFS(Исход!$O:$O,Исход!$A:$A,M$1,Исход!$B:$B,$A101)/M51,0)</f>
        <v>0</v>
      </c>
      <c r="N101" s="153">
        <f>IFERROR(SUMIFS(Исход!$O:$O,Исход!$A:$A,N$1,Исход!$B:$B,$A101)/N51,0)</f>
        <v>0</v>
      </c>
      <c r="O101" s="153">
        <f>IFERROR(SUMIFS(Исход!$O:$O,Исход!$A:$A,O$1,Исход!$B:$B,$A101)/O51,0)</f>
        <v>0</v>
      </c>
      <c r="P101" s="153">
        <f>IFERROR(SUMIFS(Исход!$O:$O,Исход!$A:$A,P$1,Исход!$B:$B,$A101)/P51,0)</f>
        <v>0</v>
      </c>
      <c r="Q101" s="153">
        <f>IFERROR(SUMIFS(Исход!$O:$O,Исход!$A:$A,Q$1,Исход!$B:$B,$A101)/Q51,0)</f>
        <v>0</v>
      </c>
      <c r="R101" s="153">
        <f>IFERROR(SUMIFS(Исход!$O:$O,Исход!$A:$A,R$1,Исход!$B:$B,$A101)/R51,0)</f>
        <v>0</v>
      </c>
      <c r="S101" s="153">
        <f>IFERROR(SUMIFS(Исход!$O:$O,Исход!$A:$A,S$1,Исход!$B:$B,$A101)/S51,0)</f>
        <v>0</v>
      </c>
      <c r="T101" s="153">
        <f>IFERROR(SUMIFS(Исход!$O:$O,Исход!$A:$A,T$1,Исход!$B:$B,$A101)/T51,0)</f>
        <v>0</v>
      </c>
      <c r="U101" s="153">
        <f>IFERROR(SUMIFS(Исход!$O:$O,Исход!$A:$A,U$1,Исход!$B:$B,$A101)/U51,0)</f>
        <v>0</v>
      </c>
      <c r="V101" s="153">
        <f>IFERROR(SUMIFS(Исход!$O:$O,Исход!$A:$A,V$1,Исход!$B:$B,$A101)/V51,0)</f>
        <v>0</v>
      </c>
      <c r="W101" s="153">
        <f>IFERROR(SUMIFS(Исход!$O:$O,Исход!$A:$A,W$1,Исход!$B:$B,$A101)/W51,0)</f>
        <v>0</v>
      </c>
      <c r="X101" s="153">
        <f>IFERROR(SUMIFS(Исход!$O:$O,Исход!$A:$A,X$1,Исход!$B:$B,$A101)/X51,0)</f>
        <v>0</v>
      </c>
      <c r="Y101" s="153">
        <f>IFERROR(SUMIFS(Исход!$O:$O,Исход!$A:$A,Y$1,Исход!$B:$B,$A101)/Y51,0)</f>
        <v>0</v>
      </c>
      <c r="Z101" s="153">
        <f>IFERROR(SUMIFS(Исход!$O:$O,Исход!$A:$A,Z$1,Исход!$B:$B,$A101)/Z51,0)</f>
        <v>0</v>
      </c>
      <c r="AA101" s="153">
        <f>IFERROR(SUMIFS(Исход!$O:$O,Исход!$A:$A,AA$1,Исход!$B:$B,$A101)/AA51,0)</f>
        <v>0</v>
      </c>
      <c r="AB101" s="153">
        <f>IFERROR(SUMIFS(Исход!$O:$O,Исход!$A:$A,AB$1,Исход!$B:$B,$A101)/AB51,0)</f>
        <v>0</v>
      </c>
      <c r="AC101" s="153">
        <f>IFERROR(SUMIFS(Исход!$O:$O,Исход!$A:$A,AC$1,Исход!$B:$B,$A101)/AC51,0)</f>
        <v>0</v>
      </c>
      <c r="AD101" s="153">
        <f>IFERROR(SUMIFS(Исход!$O:$O,Исход!$A:$A,AD$1,Исход!$B:$B,$A101)/AD51,0)</f>
        <v>0</v>
      </c>
      <c r="AE101" s="153">
        <f>IFERROR(SUMIFS(Исход!$O:$O,Исход!$A:$A,AE$1,Исход!$B:$B,$A101)/AE51,0)</f>
        <v>0</v>
      </c>
      <c r="AF101" s="153">
        <f>IFERROR(SUMIFS(Исход!$O:$O,Исход!$A:$A,AF$1,Исход!$B:$B,$A101)/AF51,0)</f>
        <v>0</v>
      </c>
      <c r="AG101" s="154">
        <f>IFERROR(SUMIFS(Исход!$O:$O,Исход!$A:$A,AG$1,Исход!$B:$B,$A101)/AG51,0)</f>
        <v>0</v>
      </c>
    </row>
    <row r="102" spans="1:33" ht="15.75" collapsed="1" thickBot="1" x14ac:dyDescent="0.3">
      <c r="A102" s="331" t="s">
        <v>69</v>
      </c>
      <c r="B102" s="332"/>
      <c r="C102" s="346" t="s">
        <v>12</v>
      </c>
      <c r="D102" s="347"/>
      <c r="E102" s="347"/>
      <c r="F102" s="347"/>
      <c r="G102" s="347"/>
      <c r="H102" s="347"/>
      <c r="I102" s="347"/>
      <c r="J102" s="347"/>
      <c r="K102" s="347"/>
      <c r="L102" s="347"/>
      <c r="M102" s="347"/>
      <c r="N102" s="347"/>
      <c r="O102" s="347"/>
      <c r="P102" s="347"/>
      <c r="Q102" s="347"/>
      <c r="R102" s="347"/>
      <c r="S102" s="347"/>
      <c r="T102" s="347"/>
      <c r="U102" s="347"/>
      <c r="V102" s="347"/>
      <c r="W102" s="347"/>
      <c r="X102" s="347"/>
      <c r="Y102" s="347"/>
      <c r="Z102" s="347"/>
      <c r="AA102" s="347"/>
      <c r="AB102" s="347"/>
      <c r="AC102" s="347"/>
      <c r="AD102" s="347"/>
      <c r="AE102" s="347"/>
      <c r="AF102" s="347"/>
      <c r="AG102" s="348"/>
    </row>
    <row r="103" spans="1:33" hidden="1" outlineLevel="1" x14ac:dyDescent="0.25">
      <c r="A103" s="108">
        <v>0</v>
      </c>
      <c r="B103" s="125">
        <v>2.0833333333333332E-2</v>
      </c>
      <c r="C103" s="164">
        <f>IFERROR(SUMIFS(Исход!$G:$G,Исход!$A:$A,C$1,Исход!$B:$B,$A103)/(SUMIFS(Исход!$G:$G,Исход!$A:$A,C$1,Исход!$B:$B,$A103)+SUMIFS(Исход!$D:$D,Исход!$A:$A,C$1,Исход!$B:$B,$A103)),0)</f>
        <v>0</v>
      </c>
      <c r="D103" s="165">
        <f>IFERROR(SUMIFS(Исход!$G:$G,Исход!$A:$A,D$1,Исход!$B:$B,$A103)/(SUMIFS(Исход!$G:$G,Исход!$A:$A,D$1,Исход!$B:$B,$A103)+SUMIFS(Исход!$D:$D,Исход!$A:$A,D$1,Исход!$B:$B,$A103)),0)</f>
        <v>0</v>
      </c>
      <c r="E103" s="165">
        <f>IFERROR(SUMIFS(Исход!$G:$G,Исход!$A:$A,E$1,Исход!$B:$B,$A103)/(SUMIFS(Исход!$G:$G,Исход!$A:$A,E$1,Исход!$B:$B,$A103)+SUMIFS(Исход!$D:$D,Исход!$A:$A,E$1,Исход!$B:$B,$A103)),0)</f>
        <v>0</v>
      </c>
      <c r="F103" s="165">
        <f>IFERROR(SUMIFS(Исход!$G:$G,Исход!$A:$A,F$1,Исход!$B:$B,$A103)/(SUMIFS(Исход!$G:$G,Исход!$A:$A,F$1,Исход!$B:$B,$A103)+SUMIFS(Исход!$D:$D,Исход!$A:$A,F$1,Исход!$B:$B,$A103)),0)</f>
        <v>0</v>
      </c>
      <c r="G103" s="165">
        <f>IFERROR(SUMIFS(Исход!$G:$G,Исход!$A:$A,G$1,Исход!$B:$B,$A103)/(SUMIFS(Исход!$G:$G,Исход!$A:$A,G$1,Исход!$B:$B,$A103)+SUMIFS(Исход!$D:$D,Исход!$A:$A,G$1,Исход!$B:$B,$A103)),0)</f>
        <v>0</v>
      </c>
      <c r="H103" s="165">
        <f>IFERROR(SUMIFS(Исход!$G:$G,Исход!$A:$A,H$1,Исход!$B:$B,$A103)/(SUMIFS(Исход!$G:$G,Исход!$A:$A,H$1,Исход!$B:$B,$A103)+SUMIFS(Исход!$D:$D,Исход!$A:$A,H$1,Исход!$B:$B,$A103)),0)</f>
        <v>0</v>
      </c>
      <c r="I103" s="165">
        <f>IFERROR(SUMIFS(Исход!$G:$G,Исход!$A:$A,I$1,Исход!$B:$B,$A103)/(SUMIFS(Исход!$G:$G,Исход!$A:$A,I$1,Исход!$B:$B,$A103)+SUMIFS(Исход!$D:$D,Исход!$A:$A,I$1,Исход!$B:$B,$A103)),0)</f>
        <v>0</v>
      </c>
      <c r="J103" s="165">
        <f>IFERROR(SUMIFS(Исход!$G:$G,Исход!$A:$A,J$1,Исход!$B:$B,$A103)/(SUMIFS(Исход!$G:$G,Исход!$A:$A,J$1,Исход!$B:$B,$A103)+SUMIFS(Исход!$D:$D,Исход!$A:$A,J$1,Исход!$B:$B,$A103)),0)</f>
        <v>0</v>
      </c>
      <c r="K103" s="165">
        <f>IFERROR(SUMIFS(Исход!$G:$G,Исход!$A:$A,K$1,Исход!$B:$B,$A103)/(SUMIFS(Исход!$G:$G,Исход!$A:$A,K$1,Исход!$B:$B,$A103)+SUMIFS(Исход!$D:$D,Исход!$A:$A,K$1,Исход!$B:$B,$A103)),0)</f>
        <v>0</v>
      </c>
      <c r="L103" s="165">
        <f>IFERROR(SUMIFS(Исход!$G:$G,Исход!$A:$A,L$1,Исход!$B:$B,$A103)/(SUMIFS(Исход!$G:$G,Исход!$A:$A,L$1,Исход!$B:$B,$A103)+SUMIFS(Исход!$D:$D,Исход!$A:$A,L$1,Исход!$B:$B,$A103)),0)</f>
        <v>0</v>
      </c>
      <c r="M103" s="165">
        <f>IFERROR(SUMIFS(Исход!$G:$G,Исход!$A:$A,M$1,Исход!$B:$B,$A103)/(SUMIFS(Исход!$G:$G,Исход!$A:$A,M$1,Исход!$B:$B,$A103)+SUMIFS(Исход!$D:$D,Исход!$A:$A,M$1,Исход!$B:$B,$A103)),0)</f>
        <v>0</v>
      </c>
      <c r="N103" s="165">
        <f>IFERROR(SUMIFS(Исход!$G:$G,Исход!$A:$A,N$1,Исход!$B:$B,$A103)/(SUMIFS(Исход!$G:$G,Исход!$A:$A,N$1,Исход!$B:$B,$A103)+SUMIFS(Исход!$D:$D,Исход!$A:$A,N$1,Исход!$B:$B,$A103)),0)</f>
        <v>0</v>
      </c>
      <c r="O103" s="165">
        <f>IFERROR(SUMIFS(Исход!$G:$G,Исход!$A:$A,O$1,Исход!$B:$B,$A103)/(SUMIFS(Исход!$G:$G,Исход!$A:$A,O$1,Исход!$B:$B,$A103)+SUMIFS(Исход!$D:$D,Исход!$A:$A,O$1,Исход!$B:$B,$A103)),0)</f>
        <v>0</v>
      </c>
      <c r="P103" s="165">
        <f>IFERROR(SUMIFS(Исход!$G:$G,Исход!$A:$A,P$1,Исход!$B:$B,$A103)/(SUMIFS(Исход!$G:$G,Исход!$A:$A,P$1,Исход!$B:$B,$A103)+SUMIFS(Исход!$D:$D,Исход!$A:$A,P$1,Исход!$B:$B,$A103)),0)</f>
        <v>0</v>
      </c>
      <c r="Q103" s="165">
        <f>IFERROR(SUMIFS(Исход!$G:$G,Исход!$A:$A,Q$1,Исход!$B:$B,$A103)/(SUMIFS(Исход!$G:$G,Исход!$A:$A,Q$1,Исход!$B:$B,$A103)+SUMIFS(Исход!$D:$D,Исход!$A:$A,Q$1,Исход!$B:$B,$A103)),0)</f>
        <v>0</v>
      </c>
      <c r="R103" s="165">
        <f>IFERROR(SUMIFS(Исход!$G:$G,Исход!$A:$A,R$1,Исход!$B:$B,$A103)/(SUMIFS(Исход!$G:$G,Исход!$A:$A,R$1,Исход!$B:$B,$A103)+SUMIFS(Исход!$D:$D,Исход!$A:$A,R$1,Исход!$B:$B,$A103)),0)</f>
        <v>0</v>
      </c>
      <c r="S103" s="165">
        <f>IFERROR(SUMIFS(Исход!$G:$G,Исход!$A:$A,S$1,Исход!$B:$B,$A103)/(SUMIFS(Исход!$G:$G,Исход!$A:$A,S$1,Исход!$B:$B,$A103)+SUMIFS(Исход!$D:$D,Исход!$A:$A,S$1,Исход!$B:$B,$A103)),0)</f>
        <v>0</v>
      </c>
      <c r="T103" s="165">
        <f>IFERROR(SUMIFS(Исход!$G:$G,Исход!$A:$A,T$1,Исход!$B:$B,$A103)/(SUMIFS(Исход!$G:$G,Исход!$A:$A,T$1,Исход!$B:$B,$A103)+SUMIFS(Исход!$D:$D,Исход!$A:$A,T$1,Исход!$B:$B,$A103)),0)</f>
        <v>0</v>
      </c>
      <c r="U103" s="165">
        <v>0</v>
      </c>
      <c r="V103" s="165">
        <v>0</v>
      </c>
      <c r="W103" s="165">
        <v>0</v>
      </c>
      <c r="X103" s="165">
        <v>0</v>
      </c>
      <c r="Y103" s="165">
        <v>0</v>
      </c>
      <c r="Z103" s="165">
        <v>0</v>
      </c>
      <c r="AA103" s="165">
        <v>0</v>
      </c>
      <c r="AB103" s="165">
        <v>0</v>
      </c>
      <c r="AC103" s="165">
        <v>0</v>
      </c>
      <c r="AD103" s="165">
        <v>0</v>
      </c>
      <c r="AE103" s="165">
        <v>0</v>
      </c>
      <c r="AF103" s="165">
        <v>0</v>
      </c>
      <c r="AG103" s="166">
        <v>0</v>
      </c>
    </row>
    <row r="104" spans="1:33" hidden="1" outlineLevel="1" x14ac:dyDescent="0.25">
      <c r="A104" s="102">
        <v>2.0833333333333332E-2</v>
      </c>
      <c r="B104" s="128">
        <v>4.1666666666666664E-2</v>
      </c>
      <c r="C104" s="167">
        <f>IFERROR(SUMIFS(Исход!$G:$G,Исход!$A:$A,C$1,Исход!$B:$B,$A104)/(SUMIFS(Исход!$G:$G,Исход!$A:$A,C$1,Исход!$B:$B,$A104)+SUMIFS(Исход!$D:$D,Исход!$A:$A,C$1,Исход!$B:$B,$A104)),0)</f>
        <v>0</v>
      </c>
      <c r="D104" s="168">
        <f>IFERROR(SUMIFS(Исход!$G:$G,Исход!$A:$A,D$1,Исход!$B:$B,$A104)/(SUMIFS(Исход!$G:$G,Исход!$A:$A,D$1,Исход!$B:$B,$A104)+SUMIFS(Исход!$D:$D,Исход!$A:$A,D$1,Исход!$B:$B,$A104)),0)</f>
        <v>0</v>
      </c>
      <c r="E104" s="168">
        <f>IFERROR(SUMIFS(Исход!$G:$G,Исход!$A:$A,E$1,Исход!$B:$B,$A104)/(SUMIFS(Исход!$G:$G,Исход!$A:$A,E$1,Исход!$B:$B,$A104)+SUMIFS(Исход!$D:$D,Исход!$A:$A,E$1,Исход!$B:$B,$A104)),0)</f>
        <v>0</v>
      </c>
      <c r="F104" s="168">
        <f>IFERROR(SUMIFS(Исход!$G:$G,Исход!$A:$A,F$1,Исход!$B:$B,$A104)/(SUMIFS(Исход!$G:$G,Исход!$A:$A,F$1,Исход!$B:$B,$A104)+SUMIFS(Исход!$D:$D,Исход!$A:$A,F$1,Исход!$B:$B,$A104)),0)</f>
        <v>0</v>
      </c>
      <c r="G104" s="168">
        <f>IFERROR(SUMIFS(Исход!$G:$G,Исход!$A:$A,G$1,Исход!$B:$B,$A104)/(SUMIFS(Исход!$G:$G,Исход!$A:$A,G$1,Исход!$B:$B,$A104)+SUMIFS(Исход!$D:$D,Исход!$A:$A,G$1,Исход!$B:$B,$A104)),0)</f>
        <v>0</v>
      </c>
      <c r="H104" s="168">
        <f>IFERROR(SUMIFS(Исход!$G:$G,Исход!$A:$A,H$1,Исход!$B:$B,$A104)/(SUMIFS(Исход!$G:$G,Исход!$A:$A,H$1,Исход!$B:$B,$A104)+SUMIFS(Исход!$D:$D,Исход!$A:$A,H$1,Исход!$B:$B,$A104)),0)</f>
        <v>0</v>
      </c>
      <c r="I104" s="168">
        <f>IFERROR(SUMIFS(Исход!$G:$G,Исход!$A:$A,I$1,Исход!$B:$B,$A104)/(SUMIFS(Исход!$G:$G,Исход!$A:$A,I$1,Исход!$B:$B,$A104)+SUMIFS(Исход!$D:$D,Исход!$A:$A,I$1,Исход!$B:$B,$A104)),0)</f>
        <v>0</v>
      </c>
      <c r="J104" s="168">
        <f>IFERROR(SUMIFS(Исход!$G:$G,Исход!$A:$A,J$1,Исход!$B:$B,$A104)/(SUMIFS(Исход!$G:$G,Исход!$A:$A,J$1,Исход!$B:$B,$A104)+SUMIFS(Исход!$D:$D,Исход!$A:$A,J$1,Исход!$B:$B,$A104)),0)</f>
        <v>0</v>
      </c>
      <c r="K104" s="168">
        <f>IFERROR(SUMIFS(Исход!$G:$G,Исход!$A:$A,K$1,Исход!$B:$B,$A104)/(SUMIFS(Исход!$G:$G,Исход!$A:$A,K$1,Исход!$B:$B,$A104)+SUMIFS(Исход!$D:$D,Исход!$A:$A,K$1,Исход!$B:$B,$A104)),0)</f>
        <v>0</v>
      </c>
      <c r="L104" s="168">
        <f>IFERROR(SUMIFS(Исход!$G:$G,Исход!$A:$A,L$1,Исход!$B:$B,$A104)/(SUMIFS(Исход!$G:$G,Исход!$A:$A,L$1,Исход!$B:$B,$A104)+SUMIFS(Исход!$D:$D,Исход!$A:$A,L$1,Исход!$B:$B,$A104)),0)</f>
        <v>0</v>
      </c>
      <c r="M104" s="168">
        <f>IFERROR(SUMIFS(Исход!$G:$G,Исход!$A:$A,M$1,Исход!$B:$B,$A104)/(SUMIFS(Исход!$G:$G,Исход!$A:$A,M$1,Исход!$B:$B,$A104)+SUMIFS(Исход!$D:$D,Исход!$A:$A,M$1,Исход!$B:$B,$A104)),0)</f>
        <v>0</v>
      </c>
      <c r="N104" s="168">
        <f>IFERROR(SUMIFS(Исход!$G:$G,Исход!$A:$A,N$1,Исход!$B:$B,$A104)/(SUMIFS(Исход!$G:$G,Исход!$A:$A,N$1,Исход!$B:$B,$A104)+SUMIFS(Исход!$D:$D,Исход!$A:$A,N$1,Исход!$B:$B,$A104)),0)</f>
        <v>0</v>
      </c>
      <c r="O104" s="168">
        <f>IFERROR(SUMIFS(Исход!$G:$G,Исход!$A:$A,O$1,Исход!$B:$B,$A104)/(SUMIFS(Исход!$G:$G,Исход!$A:$A,O$1,Исход!$B:$B,$A104)+SUMIFS(Исход!$D:$D,Исход!$A:$A,O$1,Исход!$B:$B,$A104)),0)</f>
        <v>0</v>
      </c>
      <c r="P104" s="168">
        <f>IFERROR(SUMIFS(Исход!$G:$G,Исход!$A:$A,P$1,Исход!$B:$B,$A104)/(SUMIFS(Исход!$G:$G,Исход!$A:$A,P$1,Исход!$B:$B,$A104)+SUMIFS(Исход!$D:$D,Исход!$A:$A,P$1,Исход!$B:$B,$A104)),0)</f>
        <v>0</v>
      </c>
      <c r="Q104" s="168">
        <f>IFERROR(SUMIFS(Исход!$G:$G,Исход!$A:$A,Q$1,Исход!$B:$B,$A104)/(SUMIFS(Исход!$G:$G,Исход!$A:$A,Q$1,Исход!$B:$B,$A104)+SUMIFS(Исход!$D:$D,Исход!$A:$A,Q$1,Исход!$B:$B,$A104)),0)</f>
        <v>0</v>
      </c>
      <c r="R104" s="168">
        <f>IFERROR(SUMIFS(Исход!$G:$G,Исход!$A:$A,R$1,Исход!$B:$B,$A104)/(SUMIFS(Исход!$G:$G,Исход!$A:$A,R$1,Исход!$B:$B,$A104)+SUMIFS(Исход!$D:$D,Исход!$A:$A,R$1,Исход!$B:$B,$A104)),0)</f>
        <v>0</v>
      </c>
      <c r="S104" s="168">
        <f>IFERROR(SUMIFS(Исход!$G:$G,Исход!$A:$A,S$1,Исход!$B:$B,$A104)/(SUMIFS(Исход!$G:$G,Исход!$A:$A,S$1,Исход!$B:$B,$A104)+SUMIFS(Исход!$D:$D,Исход!$A:$A,S$1,Исход!$B:$B,$A104)),0)</f>
        <v>0</v>
      </c>
      <c r="T104" s="168">
        <f>IFERROR(SUMIFS(Исход!$G:$G,Исход!$A:$A,T$1,Исход!$B:$B,$A104)/(SUMIFS(Исход!$G:$G,Исход!$A:$A,T$1,Исход!$B:$B,$A104)+SUMIFS(Исход!$D:$D,Исход!$A:$A,T$1,Исход!$B:$B,$A104)),0)</f>
        <v>0</v>
      </c>
      <c r="U104" s="168">
        <v>0</v>
      </c>
      <c r="V104" s="168">
        <v>0</v>
      </c>
      <c r="W104" s="168">
        <v>0</v>
      </c>
      <c r="X104" s="168">
        <v>0</v>
      </c>
      <c r="Y104" s="168">
        <v>0</v>
      </c>
      <c r="Z104" s="168">
        <v>0</v>
      </c>
      <c r="AA104" s="168">
        <v>0</v>
      </c>
      <c r="AB104" s="168">
        <v>0</v>
      </c>
      <c r="AC104" s="168">
        <v>0</v>
      </c>
      <c r="AD104" s="168">
        <v>0</v>
      </c>
      <c r="AE104" s="168">
        <v>0</v>
      </c>
      <c r="AF104" s="168">
        <v>0</v>
      </c>
      <c r="AG104" s="169">
        <v>0</v>
      </c>
    </row>
    <row r="105" spans="1:33" hidden="1" outlineLevel="1" x14ac:dyDescent="0.25">
      <c r="A105" s="102">
        <v>4.1666666666666664E-2</v>
      </c>
      <c r="B105" s="128">
        <v>6.25E-2</v>
      </c>
      <c r="C105" s="167">
        <f>IFERROR(SUMIFS(Исход!$G:$G,Исход!$A:$A,C$1,Исход!$B:$B,$A105)/(SUMIFS(Исход!$G:$G,Исход!$A:$A,C$1,Исход!$B:$B,$A105)+SUMIFS(Исход!$D:$D,Исход!$A:$A,C$1,Исход!$B:$B,$A105)),0)</f>
        <v>0</v>
      </c>
      <c r="D105" s="168">
        <f>IFERROR(SUMIFS(Исход!$G:$G,Исход!$A:$A,D$1,Исход!$B:$B,$A105)/(SUMIFS(Исход!$G:$G,Исход!$A:$A,D$1,Исход!$B:$B,$A105)+SUMIFS(Исход!$D:$D,Исход!$A:$A,D$1,Исход!$B:$B,$A105)),0)</f>
        <v>0</v>
      </c>
      <c r="E105" s="168">
        <f>IFERROR(SUMIFS(Исход!$G:$G,Исход!$A:$A,E$1,Исход!$B:$B,$A105)/(SUMIFS(Исход!$G:$G,Исход!$A:$A,E$1,Исход!$B:$B,$A105)+SUMIFS(Исход!$D:$D,Исход!$A:$A,E$1,Исход!$B:$B,$A105)),0)</f>
        <v>0</v>
      </c>
      <c r="F105" s="168">
        <f>IFERROR(SUMIFS(Исход!$G:$G,Исход!$A:$A,F$1,Исход!$B:$B,$A105)/(SUMIFS(Исход!$G:$G,Исход!$A:$A,F$1,Исход!$B:$B,$A105)+SUMIFS(Исход!$D:$D,Исход!$A:$A,F$1,Исход!$B:$B,$A105)),0)</f>
        <v>0</v>
      </c>
      <c r="G105" s="168">
        <f>IFERROR(SUMIFS(Исход!$G:$G,Исход!$A:$A,G$1,Исход!$B:$B,$A105)/(SUMIFS(Исход!$G:$G,Исход!$A:$A,G$1,Исход!$B:$B,$A105)+SUMIFS(Исход!$D:$D,Исход!$A:$A,G$1,Исход!$B:$B,$A105)),0)</f>
        <v>0</v>
      </c>
      <c r="H105" s="168">
        <f>IFERROR(SUMIFS(Исход!$G:$G,Исход!$A:$A,H$1,Исход!$B:$B,$A105)/(SUMIFS(Исход!$G:$G,Исход!$A:$A,H$1,Исход!$B:$B,$A105)+SUMIFS(Исход!$D:$D,Исход!$A:$A,H$1,Исход!$B:$B,$A105)),0)</f>
        <v>0</v>
      </c>
      <c r="I105" s="168">
        <f>IFERROR(SUMIFS(Исход!$G:$G,Исход!$A:$A,I$1,Исход!$B:$B,$A105)/(SUMIFS(Исход!$G:$G,Исход!$A:$A,I$1,Исход!$B:$B,$A105)+SUMIFS(Исход!$D:$D,Исход!$A:$A,I$1,Исход!$B:$B,$A105)),0)</f>
        <v>0</v>
      </c>
      <c r="J105" s="168">
        <f>IFERROR(SUMIFS(Исход!$G:$G,Исход!$A:$A,J$1,Исход!$B:$B,$A105)/(SUMIFS(Исход!$G:$G,Исход!$A:$A,J$1,Исход!$B:$B,$A105)+SUMIFS(Исход!$D:$D,Исход!$A:$A,J$1,Исход!$B:$B,$A105)),0)</f>
        <v>0</v>
      </c>
      <c r="K105" s="168">
        <f>IFERROR(SUMIFS(Исход!$G:$G,Исход!$A:$A,K$1,Исход!$B:$B,$A105)/(SUMIFS(Исход!$G:$G,Исход!$A:$A,K$1,Исход!$B:$B,$A105)+SUMIFS(Исход!$D:$D,Исход!$A:$A,K$1,Исход!$B:$B,$A105)),0)</f>
        <v>0</v>
      </c>
      <c r="L105" s="168">
        <f>IFERROR(SUMIFS(Исход!$G:$G,Исход!$A:$A,L$1,Исход!$B:$B,$A105)/(SUMIFS(Исход!$G:$G,Исход!$A:$A,L$1,Исход!$B:$B,$A105)+SUMIFS(Исход!$D:$D,Исход!$A:$A,L$1,Исход!$B:$B,$A105)),0)</f>
        <v>0</v>
      </c>
      <c r="M105" s="168">
        <f>IFERROR(SUMIFS(Исход!$G:$G,Исход!$A:$A,M$1,Исход!$B:$B,$A105)/(SUMIFS(Исход!$G:$G,Исход!$A:$A,M$1,Исход!$B:$B,$A105)+SUMIFS(Исход!$D:$D,Исход!$A:$A,M$1,Исход!$B:$B,$A105)),0)</f>
        <v>0</v>
      </c>
      <c r="N105" s="168">
        <f>IFERROR(SUMIFS(Исход!$G:$G,Исход!$A:$A,N$1,Исход!$B:$B,$A105)/(SUMIFS(Исход!$G:$G,Исход!$A:$A,N$1,Исход!$B:$B,$A105)+SUMIFS(Исход!$D:$D,Исход!$A:$A,N$1,Исход!$B:$B,$A105)),0)</f>
        <v>0</v>
      </c>
      <c r="O105" s="168">
        <f>IFERROR(SUMIFS(Исход!$G:$G,Исход!$A:$A,O$1,Исход!$B:$B,$A105)/(SUMIFS(Исход!$G:$G,Исход!$A:$A,O$1,Исход!$B:$B,$A105)+SUMIFS(Исход!$D:$D,Исход!$A:$A,O$1,Исход!$B:$B,$A105)),0)</f>
        <v>0</v>
      </c>
      <c r="P105" s="168">
        <f>IFERROR(SUMIFS(Исход!$G:$G,Исход!$A:$A,P$1,Исход!$B:$B,$A105)/(SUMIFS(Исход!$G:$G,Исход!$A:$A,P$1,Исход!$B:$B,$A105)+SUMIFS(Исход!$D:$D,Исход!$A:$A,P$1,Исход!$B:$B,$A105)),0)</f>
        <v>0</v>
      </c>
      <c r="Q105" s="168">
        <f>IFERROR(SUMIFS(Исход!$G:$G,Исход!$A:$A,Q$1,Исход!$B:$B,$A105)/(SUMIFS(Исход!$G:$G,Исход!$A:$A,Q$1,Исход!$B:$B,$A105)+SUMIFS(Исход!$D:$D,Исход!$A:$A,Q$1,Исход!$B:$B,$A105)),0)</f>
        <v>0</v>
      </c>
      <c r="R105" s="168">
        <f>IFERROR(SUMIFS(Исход!$G:$G,Исход!$A:$A,R$1,Исход!$B:$B,$A105)/(SUMIFS(Исход!$G:$G,Исход!$A:$A,R$1,Исход!$B:$B,$A105)+SUMIFS(Исход!$D:$D,Исход!$A:$A,R$1,Исход!$B:$B,$A105)),0)</f>
        <v>0</v>
      </c>
      <c r="S105" s="168">
        <f>IFERROR(SUMIFS(Исход!$G:$G,Исход!$A:$A,S$1,Исход!$B:$B,$A105)/(SUMIFS(Исход!$G:$G,Исход!$A:$A,S$1,Исход!$B:$B,$A105)+SUMIFS(Исход!$D:$D,Исход!$A:$A,S$1,Исход!$B:$B,$A105)),0)</f>
        <v>0</v>
      </c>
      <c r="T105" s="168">
        <f>IFERROR(SUMIFS(Исход!$G:$G,Исход!$A:$A,T$1,Исход!$B:$B,$A105)/(SUMIFS(Исход!$G:$G,Исход!$A:$A,T$1,Исход!$B:$B,$A105)+SUMIFS(Исход!$D:$D,Исход!$A:$A,T$1,Исход!$B:$B,$A105)),0)</f>
        <v>0</v>
      </c>
      <c r="U105" s="168">
        <v>0</v>
      </c>
      <c r="V105" s="168">
        <v>0</v>
      </c>
      <c r="W105" s="168">
        <v>0</v>
      </c>
      <c r="X105" s="168">
        <v>0</v>
      </c>
      <c r="Y105" s="168">
        <v>0</v>
      </c>
      <c r="Z105" s="168">
        <v>0</v>
      </c>
      <c r="AA105" s="168">
        <v>0</v>
      </c>
      <c r="AB105" s="168">
        <v>0</v>
      </c>
      <c r="AC105" s="168">
        <v>0</v>
      </c>
      <c r="AD105" s="168">
        <v>0</v>
      </c>
      <c r="AE105" s="168">
        <v>0</v>
      </c>
      <c r="AF105" s="168">
        <v>0</v>
      </c>
      <c r="AG105" s="169">
        <v>0</v>
      </c>
    </row>
    <row r="106" spans="1:33" hidden="1" outlineLevel="1" x14ac:dyDescent="0.25">
      <c r="A106" s="102">
        <v>6.25E-2</v>
      </c>
      <c r="B106" s="128">
        <v>8.3333333333333329E-2</v>
      </c>
      <c r="C106" s="167">
        <f>IFERROR(SUMIFS(Исход!$G:$G,Исход!$A:$A,C$1,Исход!$B:$B,$A106)/(SUMIFS(Исход!$G:$G,Исход!$A:$A,C$1,Исход!$B:$B,$A106)+SUMIFS(Исход!$D:$D,Исход!$A:$A,C$1,Исход!$B:$B,$A106)),0)</f>
        <v>0</v>
      </c>
      <c r="D106" s="168">
        <f>IFERROR(SUMIFS(Исход!$G:$G,Исход!$A:$A,D$1,Исход!$B:$B,$A106)/(SUMIFS(Исход!$G:$G,Исход!$A:$A,D$1,Исход!$B:$B,$A106)+SUMIFS(Исход!$D:$D,Исход!$A:$A,D$1,Исход!$B:$B,$A106)),0)</f>
        <v>0</v>
      </c>
      <c r="E106" s="168">
        <f>IFERROR(SUMIFS(Исход!$G:$G,Исход!$A:$A,E$1,Исход!$B:$B,$A106)/(SUMIFS(Исход!$G:$G,Исход!$A:$A,E$1,Исход!$B:$B,$A106)+SUMIFS(Исход!$D:$D,Исход!$A:$A,E$1,Исход!$B:$B,$A106)),0)</f>
        <v>0</v>
      </c>
      <c r="F106" s="168">
        <f>IFERROR(SUMIFS(Исход!$G:$G,Исход!$A:$A,F$1,Исход!$B:$B,$A106)/(SUMIFS(Исход!$G:$G,Исход!$A:$A,F$1,Исход!$B:$B,$A106)+SUMIFS(Исход!$D:$D,Исход!$A:$A,F$1,Исход!$B:$B,$A106)),0)</f>
        <v>0</v>
      </c>
      <c r="G106" s="168">
        <f>IFERROR(SUMIFS(Исход!$G:$G,Исход!$A:$A,G$1,Исход!$B:$B,$A106)/(SUMIFS(Исход!$G:$G,Исход!$A:$A,G$1,Исход!$B:$B,$A106)+SUMIFS(Исход!$D:$D,Исход!$A:$A,G$1,Исход!$B:$B,$A106)),0)</f>
        <v>0</v>
      </c>
      <c r="H106" s="168">
        <f>IFERROR(SUMIFS(Исход!$G:$G,Исход!$A:$A,H$1,Исход!$B:$B,$A106)/(SUMIFS(Исход!$G:$G,Исход!$A:$A,H$1,Исход!$B:$B,$A106)+SUMIFS(Исход!$D:$D,Исход!$A:$A,H$1,Исход!$B:$B,$A106)),0)</f>
        <v>0</v>
      </c>
      <c r="I106" s="168">
        <f>IFERROR(SUMIFS(Исход!$G:$G,Исход!$A:$A,I$1,Исход!$B:$B,$A106)/(SUMIFS(Исход!$G:$G,Исход!$A:$A,I$1,Исход!$B:$B,$A106)+SUMIFS(Исход!$D:$D,Исход!$A:$A,I$1,Исход!$B:$B,$A106)),0)</f>
        <v>0</v>
      </c>
      <c r="J106" s="168">
        <f>IFERROR(SUMIFS(Исход!$G:$G,Исход!$A:$A,J$1,Исход!$B:$B,$A106)/(SUMIFS(Исход!$G:$G,Исход!$A:$A,J$1,Исход!$B:$B,$A106)+SUMIFS(Исход!$D:$D,Исход!$A:$A,J$1,Исход!$B:$B,$A106)),0)</f>
        <v>0</v>
      </c>
      <c r="K106" s="168">
        <f>IFERROR(SUMIFS(Исход!$G:$G,Исход!$A:$A,K$1,Исход!$B:$B,$A106)/(SUMIFS(Исход!$G:$G,Исход!$A:$A,K$1,Исход!$B:$B,$A106)+SUMIFS(Исход!$D:$D,Исход!$A:$A,K$1,Исход!$B:$B,$A106)),0)</f>
        <v>0</v>
      </c>
      <c r="L106" s="168">
        <f>IFERROR(SUMIFS(Исход!$G:$G,Исход!$A:$A,L$1,Исход!$B:$B,$A106)/(SUMIFS(Исход!$G:$G,Исход!$A:$A,L$1,Исход!$B:$B,$A106)+SUMIFS(Исход!$D:$D,Исход!$A:$A,L$1,Исход!$B:$B,$A106)),0)</f>
        <v>0</v>
      </c>
      <c r="M106" s="168">
        <f>IFERROR(SUMIFS(Исход!$G:$G,Исход!$A:$A,M$1,Исход!$B:$B,$A106)/(SUMIFS(Исход!$G:$G,Исход!$A:$A,M$1,Исход!$B:$B,$A106)+SUMIFS(Исход!$D:$D,Исход!$A:$A,M$1,Исход!$B:$B,$A106)),0)</f>
        <v>0</v>
      </c>
      <c r="N106" s="168">
        <f>IFERROR(SUMIFS(Исход!$G:$G,Исход!$A:$A,N$1,Исход!$B:$B,$A106)/(SUMIFS(Исход!$G:$G,Исход!$A:$A,N$1,Исход!$B:$B,$A106)+SUMIFS(Исход!$D:$D,Исход!$A:$A,N$1,Исход!$B:$B,$A106)),0)</f>
        <v>0</v>
      </c>
      <c r="O106" s="168">
        <f>IFERROR(SUMIFS(Исход!$G:$G,Исход!$A:$A,O$1,Исход!$B:$B,$A106)/(SUMIFS(Исход!$G:$G,Исход!$A:$A,O$1,Исход!$B:$B,$A106)+SUMIFS(Исход!$D:$D,Исход!$A:$A,O$1,Исход!$B:$B,$A106)),0)</f>
        <v>0</v>
      </c>
      <c r="P106" s="168">
        <f>IFERROR(SUMIFS(Исход!$G:$G,Исход!$A:$A,P$1,Исход!$B:$B,$A106)/(SUMIFS(Исход!$G:$G,Исход!$A:$A,P$1,Исход!$B:$B,$A106)+SUMIFS(Исход!$D:$D,Исход!$A:$A,P$1,Исход!$B:$B,$A106)),0)</f>
        <v>0</v>
      </c>
      <c r="Q106" s="168">
        <f>IFERROR(SUMIFS(Исход!$G:$G,Исход!$A:$A,Q$1,Исход!$B:$B,$A106)/(SUMIFS(Исход!$G:$G,Исход!$A:$A,Q$1,Исход!$B:$B,$A106)+SUMIFS(Исход!$D:$D,Исход!$A:$A,Q$1,Исход!$B:$B,$A106)),0)</f>
        <v>0</v>
      </c>
      <c r="R106" s="168">
        <f>IFERROR(SUMIFS(Исход!$G:$G,Исход!$A:$A,R$1,Исход!$B:$B,$A106)/(SUMIFS(Исход!$G:$G,Исход!$A:$A,R$1,Исход!$B:$B,$A106)+SUMIFS(Исход!$D:$D,Исход!$A:$A,R$1,Исход!$B:$B,$A106)),0)</f>
        <v>0</v>
      </c>
      <c r="S106" s="168">
        <f>IFERROR(SUMIFS(Исход!$G:$G,Исход!$A:$A,S$1,Исход!$B:$B,$A106)/(SUMIFS(Исход!$G:$G,Исход!$A:$A,S$1,Исход!$B:$B,$A106)+SUMIFS(Исход!$D:$D,Исход!$A:$A,S$1,Исход!$B:$B,$A106)),0)</f>
        <v>0</v>
      </c>
      <c r="T106" s="168">
        <f>IFERROR(SUMIFS(Исход!$G:$G,Исход!$A:$A,T$1,Исход!$B:$B,$A106)/(SUMIFS(Исход!$G:$G,Исход!$A:$A,T$1,Исход!$B:$B,$A106)+SUMIFS(Исход!$D:$D,Исход!$A:$A,T$1,Исход!$B:$B,$A106)),0)</f>
        <v>0</v>
      </c>
      <c r="U106" s="168">
        <v>0</v>
      </c>
      <c r="V106" s="168">
        <v>0</v>
      </c>
      <c r="W106" s="168">
        <v>0</v>
      </c>
      <c r="X106" s="168">
        <v>0</v>
      </c>
      <c r="Y106" s="168">
        <v>0</v>
      </c>
      <c r="Z106" s="168">
        <v>0</v>
      </c>
      <c r="AA106" s="168">
        <v>0</v>
      </c>
      <c r="AB106" s="168">
        <v>0</v>
      </c>
      <c r="AC106" s="168">
        <v>0</v>
      </c>
      <c r="AD106" s="168">
        <v>0</v>
      </c>
      <c r="AE106" s="168">
        <v>0</v>
      </c>
      <c r="AF106" s="168">
        <v>0</v>
      </c>
      <c r="AG106" s="169">
        <v>0</v>
      </c>
    </row>
    <row r="107" spans="1:33" hidden="1" outlineLevel="1" x14ac:dyDescent="0.25">
      <c r="A107" s="102">
        <v>8.3333333333333329E-2</v>
      </c>
      <c r="B107" s="128">
        <v>0.10416666666666667</v>
      </c>
      <c r="C107" s="167">
        <f>IFERROR(SUMIFS(Исход!$G:$G,Исход!$A:$A,C$1,Исход!$B:$B,$A107)/(SUMIFS(Исход!$G:$G,Исход!$A:$A,C$1,Исход!$B:$B,$A107)+SUMIFS(Исход!$D:$D,Исход!$A:$A,C$1,Исход!$B:$B,$A107)),0)</f>
        <v>0</v>
      </c>
      <c r="D107" s="168">
        <f>IFERROR(SUMIFS(Исход!$G:$G,Исход!$A:$A,D$1,Исход!$B:$B,$A107)/(SUMIFS(Исход!$G:$G,Исход!$A:$A,D$1,Исход!$B:$B,$A107)+SUMIFS(Исход!$D:$D,Исход!$A:$A,D$1,Исход!$B:$B,$A107)),0)</f>
        <v>0</v>
      </c>
      <c r="E107" s="168">
        <f>IFERROR(SUMIFS(Исход!$G:$G,Исход!$A:$A,E$1,Исход!$B:$B,$A107)/(SUMIFS(Исход!$G:$G,Исход!$A:$A,E$1,Исход!$B:$B,$A107)+SUMIFS(Исход!$D:$D,Исход!$A:$A,E$1,Исход!$B:$B,$A107)),0)</f>
        <v>0</v>
      </c>
      <c r="F107" s="168">
        <f>IFERROR(SUMIFS(Исход!$G:$G,Исход!$A:$A,F$1,Исход!$B:$B,$A107)/(SUMIFS(Исход!$G:$G,Исход!$A:$A,F$1,Исход!$B:$B,$A107)+SUMIFS(Исход!$D:$D,Исход!$A:$A,F$1,Исход!$B:$B,$A107)),0)</f>
        <v>0</v>
      </c>
      <c r="G107" s="168">
        <f>IFERROR(SUMIFS(Исход!$G:$G,Исход!$A:$A,G$1,Исход!$B:$B,$A107)/(SUMIFS(Исход!$G:$G,Исход!$A:$A,G$1,Исход!$B:$B,$A107)+SUMIFS(Исход!$D:$D,Исход!$A:$A,G$1,Исход!$B:$B,$A107)),0)</f>
        <v>0</v>
      </c>
      <c r="H107" s="168">
        <f>IFERROR(SUMIFS(Исход!$G:$G,Исход!$A:$A,H$1,Исход!$B:$B,$A107)/(SUMIFS(Исход!$G:$G,Исход!$A:$A,H$1,Исход!$B:$B,$A107)+SUMIFS(Исход!$D:$D,Исход!$A:$A,H$1,Исход!$B:$B,$A107)),0)</f>
        <v>0</v>
      </c>
      <c r="I107" s="168">
        <f>IFERROR(SUMIFS(Исход!$G:$G,Исход!$A:$A,I$1,Исход!$B:$B,$A107)/(SUMIFS(Исход!$G:$G,Исход!$A:$A,I$1,Исход!$B:$B,$A107)+SUMIFS(Исход!$D:$D,Исход!$A:$A,I$1,Исход!$B:$B,$A107)),0)</f>
        <v>0</v>
      </c>
      <c r="J107" s="168">
        <f>IFERROR(SUMIFS(Исход!$G:$G,Исход!$A:$A,J$1,Исход!$B:$B,$A107)/(SUMIFS(Исход!$G:$G,Исход!$A:$A,J$1,Исход!$B:$B,$A107)+SUMIFS(Исход!$D:$D,Исход!$A:$A,J$1,Исход!$B:$B,$A107)),0)</f>
        <v>0</v>
      </c>
      <c r="K107" s="168">
        <f>IFERROR(SUMIFS(Исход!$G:$G,Исход!$A:$A,K$1,Исход!$B:$B,$A107)/(SUMIFS(Исход!$G:$G,Исход!$A:$A,K$1,Исход!$B:$B,$A107)+SUMIFS(Исход!$D:$D,Исход!$A:$A,K$1,Исход!$B:$B,$A107)),0)</f>
        <v>0</v>
      </c>
      <c r="L107" s="168">
        <f>IFERROR(SUMIFS(Исход!$G:$G,Исход!$A:$A,L$1,Исход!$B:$B,$A107)/(SUMIFS(Исход!$G:$G,Исход!$A:$A,L$1,Исход!$B:$B,$A107)+SUMIFS(Исход!$D:$D,Исход!$A:$A,L$1,Исход!$B:$B,$A107)),0)</f>
        <v>0</v>
      </c>
      <c r="M107" s="168">
        <f>IFERROR(SUMIFS(Исход!$G:$G,Исход!$A:$A,M$1,Исход!$B:$B,$A107)/(SUMIFS(Исход!$G:$G,Исход!$A:$A,M$1,Исход!$B:$B,$A107)+SUMIFS(Исход!$D:$D,Исход!$A:$A,M$1,Исход!$B:$B,$A107)),0)</f>
        <v>0</v>
      </c>
      <c r="N107" s="168">
        <f>IFERROR(SUMIFS(Исход!$G:$G,Исход!$A:$A,N$1,Исход!$B:$B,$A107)/(SUMIFS(Исход!$G:$G,Исход!$A:$A,N$1,Исход!$B:$B,$A107)+SUMIFS(Исход!$D:$D,Исход!$A:$A,N$1,Исход!$B:$B,$A107)),0)</f>
        <v>0</v>
      </c>
      <c r="O107" s="168">
        <f>IFERROR(SUMIFS(Исход!$G:$G,Исход!$A:$A,O$1,Исход!$B:$B,$A107)/(SUMIFS(Исход!$G:$G,Исход!$A:$A,O$1,Исход!$B:$B,$A107)+SUMIFS(Исход!$D:$D,Исход!$A:$A,O$1,Исход!$B:$B,$A107)),0)</f>
        <v>0</v>
      </c>
      <c r="P107" s="168">
        <f>IFERROR(SUMIFS(Исход!$G:$G,Исход!$A:$A,P$1,Исход!$B:$B,$A107)/(SUMIFS(Исход!$G:$G,Исход!$A:$A,P$1,Исход!$B:$B,$A107)+SUMIFS(Исход!$D:$D,Исход!$A:$A,P$1,Исход!$B:$B,$A107)),0)</f>
        <v>0</v>
      </c>
      <c r="Q107" s="168">
        <f>IFERROR(SUMIFS(Исход!$G:$G,Исход!$A:$A,Q$1,Исход!$B:$B,$A107)/(SUMIFS(Исход!$G:$G,Исход!$A:$A,Q$1,Исход!$B:$B,$A107)+SUMIFS(Исход!$D:$D,Исход!$A:$A,Q$1,Исход!$B:$B,$A107)),0)</f>
        <v>0</v>
      </c>
      <c r="R107" s="168">
        <f>IFERROR(SUMIFS(Исход!$G:$G,Исход!$A:$A,R$1,Исход!$B:$B,$A107)/(SUMIFS(Исход!$G:$G,Исход!$A:$A,R$1,Исход!$B:$B,$A107)+SUMIFS(Исход!$D:$D,Исход!$A:$A,R$1,Исход!$B:$B,$A107)),0)</f>
        <v>0</v>
      </c>
      <c r="S107" s="168">
        <f>IFERROR(SUMIFS(Исход!$G:$G,Исход!$A:$A,S$1,Исход!$B:$B,$A107)/(SUMIFS(Исход!$G:$G,Исход!$A:$A,S$1,Исход!$B:$B,$A107)+SUMIFS(Исход!$D:$D,Исход!$A:$A,S$1,Исход!$B:$B,$A107)),0)</f>
        <v>0</v>
      </c>
      <c r="T107" s="168">
        <f>IFERROR(SUMIFS(Исход!$G:$G,Исход!$A:$A,T$1,Исход!$B:$B,$A107)/(SUMIFS(Исход!$G:$G,Исход!$A:$A,T$1,Исход!$B:$B,$A107)+SUMIFS(Исход!$D:$D,Исход!$A:$A,T$1,Исход!$B:$B,$A107)),0)</f>
        <v>0</v>
      </c>
      <c r="U107" s="168">
        <v>0</v>
      </c>
      <c r="V107" s="168">
        <v>0</v>
      </c>
      <c r="W107" s="168">
        <v>0</v>
      </c>
      <c r="X107" s="168">
        <v>0</v>
      </c>
      <c r="Y107" s="168">
        <v>0</v>
      </c>
      <c r="Z107" s="168">
        <v>0</v>
      </c>
      <c r="AA107" s="168">
        <v>0</v>
      </c>
      <c r="AB107" s="168">
        <v>0</v>
      </c>
      <c r="AC107" s="168">
        <v>0</v>
      </c>
      <c r="AD107" s="168">
        <v>0</v>
      </c>
      <c r="AE107" s="168">
        <v>0</v>
      </c>
      <c r="AF107" s="168">
        <v>0</v>
      </c>
      <c r="AG107" s="169">
        <v>0</v>
      </c>
    </row>
    <row r="108" spans="1:33" hidden="1" outlineLevel="1" x14ac:dyDescent="0.25">
      <c r="A108" s="102">
        <v>0.10416666666666667</v>
      </c>
      <c r="B108" s="128">
        <v>0.125</v>
      </c>
      <c r="C108" s="167">
        <f>IFERROR(SUMIFS(Исход!$G:$G,Исход!$A:$A,C$1,Исход!$B:$B,$A108)/(SUMIFS(Исход!$G:$G,Исход!$A:$A,C$1,Исход!$B:$B,$A108)+SUMIFS(Исход!$D:$D,Исход!$A:$A,C$1,Исход!$B:$B,$A108)),0)</f>
        <v>0</v>
      </c>
      <c r="D108" s="168">
        <f>IFERROR(SUMIFS(Исход!$G:$G,Исход!$A:$A,D$1,Исход!$B:$B,$A108)/(SUMIFS(Исход!$G:$G,Исход!$A:$A,D$1,Исход!$B:$B,$A108)+SUMIFS(Исход!$D:$D,Исход!$A:$A,D$1,Исход!$B:$B,$A108)),0)</f>
        <v>0</v>
      </c>
      <c r="E108" s="168">
        <f>IFERROR(SUMIFS(Исход!$G:$G,Исход!$A:$A,E$1,Исход!$B:$B,$A108)/(SUMIFS(Исход!$G:$G,Исход!$A:$A,E$1,Исход!$B:$B,$A108)+SUMIFS(Исход!$D:$D,Исход!$A:$A,E$1,Исход!$B:$B,$A108)),0)</f>
        <v>0</v>
      </c>
      <c r="F108" s="168">
        <f>IFERROR(SUMIFS(Исход!$G:$G,Исход!$A:$A,F$1,Исход!$B:$B,$A108)/(SUMIFS(Исход!$G:$G,Исход!$A:$A,F$1,Исход!$B:$B,$A108)+SUMIFS(Исход!$D:$D,Исход!$A:$A,F$1,Исход!$B:$B,$A108)),0)</f>
        <v>0</v>
      </c>
      <c r="G108" s="168">
        <f>IFERROR(SUMIFS(Исход!$G:$G,Исход!$A:$A,G$1,Исход!$B:$B,$A108)/(SUMIFS(Исход!$G:$G,Исход!$A:$A,G$1,Исход!$B:$B,$A108)+SUMIFS(Исход!$D:$D,Исход!$A:$A,G$1,Исход!$B:$B,$A108)),0)</f>
        <v>0</v>
      </c>
      <c r="H108" s="168">
        <f>IFERROR(SUMIFS(Исход!$G:$G,Исход!$A:$A,H$1,Исход!$B:$B,$A108)/(SUMIFS(Исход!$G:$G,Исход!$A:$A,H$1,Исход!$B:$B,$A108)+SUMIFS(Исход!$D:$D,Исход!$A:$A,H$1,Исход!$B:$B,$A108)),0)</f>
        <v>0</v>
      </c>
      <c r="I108" s="168">
        <f>IFERROR(SUMIFS(Исход!$G:$G,Исход!$A:$A,I$1,Исход!$B:$B,$A108)/(SUMIFS(Исход!$G:$G,Исход!$A:$A,I$1,Исход!$B:$B,$A108)+SUMIFS(Исход!$D:$D,Исход!$A:$A,I$1,Исход!$B:$B,$A108)),0)</f>
        <v>0</v>
      </c>
      <c r="J108" s="168">
        <f>IFERROR(SUMIFS(Исход!$G:$G,Исход!$A:$A,J$1,Исход!$B:$B,$A108)/(SUMIFS(Исход!$G:$G,Исход!$A:$A,J$1,Исход!$B:$B,$A108)+SUMIFS(Исход!$D:$D,Исход!$A:$A,J$1,Исход!$B:$B,$A108)),0)</f>
        <v>0</v>
      </c>
      <c r="K108" s="168">
        <f>IFERROR(SUMIFS(Исход!$G:$G,Исход!$A:$A,K$1,Исход!$B:$B,$A108)/(SUMIFS(Исход!$G:$G,Исход!$A:$A,K$1,Исход!$B:$B,$A108)+SUMIFS(Исход!$D:$D,Исход!$A:$A,K$1,Исход!$B:$B,$A108)),0)</f>
        <v>0</v>
      </c>
      <c r="L108" s="168">
        <f>IFERROR(SUMIFS(Исход!$G:$G,Исход!$A:$A,L$1,Исход!$B:$B,$A108)/(SUMIFS(Исход!$G:$G,Исход!$A:$A,L$1,Исход!$B:$B,$A108)+SUMIFS(Исход!$D:$D,Исход!$A:$A,L$1,Исход!$B:$B,$A108)),0)</f>
        <v>0</v>
      </c>
      <c r="M108" s="168">
        <f>IFERROR(SUMIFS(Исход!$G:$G,Исход!$A:$A,M$1,Исход!$B:$B,$A108)/(SUMIFS(Исход!$G:$G,Исход!$A:$A,M$1,Исход!$B:$B,$A108)+SUMIFS(Исход!$D:$D,Исход!$A:$A,M$1,Исход!$B:$B,$A108)),0)</f>
        <v>0</v>
      </c>
      <c r="N108" s="168">
        <f>IFERROR(SUMIFS(Исход!$G:$G,Исход!$A:$A,N$1,Исход!$B:$B,$A108)/(SUMIFS(Исход!$G:$G,Исход!$A:$A,N$1,Исход!$B:$B,$A108)+SUMIFS(Исход!$D:$D,Исход!$A:$A,N$1,Исход!$B:$B,$A108)),0)</f>
        <v>0</v>
      </c>
      <c r="O108" s="168">
        <f>IFERROR(SUMIFS(Исход!$G:$G,Исход!$A:$A,O$1,Исход!$B:$B,$A108)/(SUMIFS(Исход!$G:$G,Исход!$A:$A,O$1,Исход!$B:$B,$A108)+SUMIFS(Исход!$D:$D,Исход!$A:$A,O$1,Исход!$B:$B,$A108)),0)</f>
        <v>0</v>
      </c>
      <c r="P108" s="168">
        <f>IFERROR(SUMIFS(Исход!$G:$G,Исход!$A:$A,P$1,Исход!$B:$B,$A108)/(SUMIFS(Исход!$G:$G,Исход!$A:$A,P$1,Исход!$B:$B,$A108)+SUMIFS(Исход!$D:$D,Исход!$A:$A,P$1,Исход!$B:$B,$A108)),0)</f>
        <v>0</v>
      </c>
      <c r="Q108" s="168">
        <f>IFERROR(SUMIFS(Исход!$G:$G,Исход!$A:$A,Q$1,Исход!$B:$B,$A108)/(SUMIFS(Исход!$G:$G,Исход!$A:$A,Q$1,Исход!$B:$B,$A108)+SUMIFS(Исход!$D:$D,Исход!$A:$A,Q$1,Исход!$B:$B,$A108)),0)</f>
        <v>0</v>
      </c>
      <c r="R108" s="168">
        <f>IFERROR(SUMIFS(Исход!$G:$G,Исход!$A:$A,R$1,Исход!$B:$B,$A108)/(SUMIFS(Исход!$G:$G,Исход!$A:$A,R$1,Исход!$B:$B,$A108)+SUMIFS(Исход!$D:$D,Исход!$A:$A,R$1,Исход!$B:$B,$A108)),0)</f>
        <v>0</v>
      </c>
      <c r="S108" s="168">
        <f>IFERROR(SUMIFS(Исход!$G:$G,Исход!$A:$A,S$1,Исход!$B:$B,$A108)/(SUMIFS(Исход!$G:$G,Исход!$A:$A,S$1,Исход!$B:$B,$A108)+SUMIFS(Исход!$D:$D,Исход!$A:$A,S$1,Исход!$B:$B,$A108)),0)</f>
        <v>0</v>
      </c>
      <c r="T108" s="168">
        <f>IFERROR(SUMIFS(Исход!$G:$G,Исход!$A:$A,T$1,Исход!$B:$B,$A108)/(SUMIFS(Исход!$G:$G,Исход!$A:$A,T$1,Исход!$B:$B,$A108)+SUMIFS(Исход!$D:$D,Исход!$A:$A,T$1,Исход!$B:$B,$A108)),0)</f>
        <v>0</v>
      </c>
      <c r="U108" s="168">
        <v>0</v>
      </c>
      <c r="V108" s="168">
        <v>0</v>
      </c>
      <c r="W108" s="168">
        <v>0</v>
      </c>
      <c r="X108" s="168">
        <v>0</v>
      </c>
      <c r="Y108" s="168">
        <v>0</v>
      </c>
      <c r="Z108" s="168">
        <v>0</v>
      </c>
      <c r="AA108" s="168">
        <v>0</v>
      </c>
      <c r="AB108" s="168">
        <v>0</v>
      </c>
      <c r="AC108" s="168">
        <v>0</v>
      </c>
      <c r="AD108" s="168">
        <v>0</v>
      </c>
      <c r="AE108" s="168">
        <v>0</v>
      </c>
      <c r="AF108" s="168">
        <v>0</v>
      </c>
      <c r="AG108" s="169">
        <v>0</v>
      </c>
    </row>
    <row r="109" spans="1:33" hidden="1" outlineLevel="1" x14ac:dyDescent="0.25">
      <c r="A109" s="102">
        <v>0.125</v>
      </c>
      <c r="B109" s="128">
        <v>0.14583333333333334</v>
      </c>
      <c r="C109" s="167">
        <f>IFERROR(SUMIFS(Исход!$G:$G,Исход!$A:$A,C$1,Исход!$B:$B,$A109)/(SUMIFS(Исход!$G:$G,Исход!$A:$A,C$1,Исход!$B:$B,$A109)+SUMIFS(Исход!$D:$D,Исход!$A:$A,C$1,Исход!$B:$B,$A109)),0)</f>
        <v>0</v>
      </c>
      <c r="D109" s="168">
        <f>IFERROR(SUMIFS(Исход!$G:$G,Исход!$A:$A,D$1,Исход!$B:$B,$A109)/(SUMIFS(Исход!$G:$G,Исход!$A:$A,D$1,Исход!$B:$B,$A109)+SUMIFS(Исход!$D:$D,Исход!$A:$A,D$1,Исход!$B:$B,$A109)),0)</f>
        <v>0</v>
      </c>
      <c r="E109" s="168">
        <f>IFERROR(SUMIFS(Исход!$G:$G,Исход!$A:$A,E$1,Исход!$B:$B,$A109)/(SUMIFS(Исход!$G:$G,Исход!$A:$A,E$1,Исход!$B:$B,$A109)+SUMIFS(Исход!$D:$D,Исход!$A:$A,E$1,Исход!$B:$B,$A109)),0)</f>
        <v>0</v>
      </c>
      <c r="F109" s="168">
        <f>IFERROR(SUMIFS(Исход!$G:$G,Исход!$A:$A,F$1,Исход!$B:$B,$A109)/(SUMIFS(Исход!$G:$G,Исход!$A:$A,F$1,Исход!$B:$B,$A109)+SUMIFS(Исход!$D:$D,Исход!$A:$A,F$1,Исход!$B:$B,$A109)),0)</f>
        <v>0</v>
      </c>
      <c r="G109" s="168">
        <f>IFERROR(SUMIFS(Исход!$G:$G,Исход!$A:$A,G$1,Исход!$B:$B,$A109)/(SUMIFS(Исход!$G:$G,Исход!$A:$A,G$1,Исход!$B:$B,$A109)+SUMIFS(Исход!$D:$D,Исход!$A:$A,G$1,Исход!$B:$B,$A109)),0)</f>
        <v>0</v>
      </c>
      <c r="H109" s="168">
        <f>IFERROR(SUMIFS(Исход!$G:$G,Исход!$A:$A,H$1,Исход!$B:$B,$A109)/(SUMIFS(Исход!$G:$G,Исход!$A:$A,H$1,Исход!$B:$B,$A109)+SUMIFS(Исход!$D:$D,Исход!$A:$A,H$1,Исход!$B:$B,$A109)),0)</f>
        <v>0</v>
      </c>
      <c r="I109" s="168">
        <f>IFERROR(SUMIFS(Исход!$G:$G,Исход!$A:$A,I$1,Исход!$B:$B,$A109)/(SUMIFS(Исход!$G:$G,Исход!$A:$A,I$1,Исход!$B:$B,$A109)+SUMIFS(Исход!$D:$D,Исход!$A:$A,I$1,Исход!$B:$B,$A109)),0)</f>
        <v>0</v>
      </c>
      <c r="J109" s="168">
        <f>IFERROR(SUMIFS(Исход!$G:$G,Исход!$A:$A,J$1,Исход!$B:$B,$A109)/(SUMIFS(Исход!$G:$G,Исход!$A:$A,J$1,Исход!$B:$B,$A109)+SUMIFS(Исход!$D:$D,Исход!$A:$A,J$1,Исход!$B:$B,$A109)),0)</f>
        <v>0</v>
      </c>
      <c r="K109" s="168">
        <f>IFERROR(SUMIFS(Исход!$G:$G,Исход!$A:$A,K$1,Исход!$B:$B,$A109)/(SUMIFS(Исход!$G:$G,Исход!$A:$A,K$1,Исход!$B:$B,$A109)+SUMIFS(Исход!$D:$D,Исход!$A:$A,K$1,Исход!$B:$B,$A109)),0)</f>
        <v>0</v>
      </c>
      <c r="L109" s="168">
        <f>IFERROR(SUMIFS(Исход!$G:$G,Исход!$A:$A,L$1,Исход!$B:$B,$A109)/(SUMIFS(Исход!$G:$G,Исход!$A:$A,L$1,Исход!$B:$B,$A109)+SUMIFS(Исход!$D:$D,Исход!$A:$A,L$1,Исход!$B:$B,$A109)),0)</f>
        <v>0</v>
      </c>
      <c r="M109" s="168">
        <f>IFERROR(SUMIFS(Исход!$G:$G,Исход!$A:$A,M$1,Исход!$B:$B,$A109)/(SUMIFS(Исход!$G:$G,Исход!$A:$A,M$1,Исход!$B:$B,$A109)+SUMIFS(Исход!$D:$D,Исход!$A:$A,M$1,Исход!$B:$B,$A109)),0)</f>
        <v>0</v>
      </c>
      <c r="N109" s="168">
        <f>IFERROR(SUMIFS(Исход!$G:$G,Исход!$A:$A,N$1,Исход!$B:$B,$A109)/(SUMIFS(Исход!$G:$G,Исход!$A:$A,N$1,Исход!$B:$B,$A109)+SUMIFS(Исход!$D:$D,Исход!$A:$A,N$1,Исход!$B:$B,$A109)),0)</f>
        <v>0</v>
      </c>
      <c r="O109" s="168">
        <f>IFERROR(SUMIFS(Исход!$G:$G,Исход!$A:$A,O$1,Исход!$B:$B,$A109)/(SUMIFS(Исход!$G:$G,Исход!$A:$A,O$1,Исход!$B:$B,$A109)+SUMIFS(Исход!$D:$D,Исход!$A:$A,O$1,Исход!$B:$B,$A109)),0)</f>
        <v>0</v>
      </c>
      <c r="P109" s="168">
        <f>IFERROR(SUMIFS(Исход!$G:$G,Исход!$A:$A,P$1,Исход!$B:$B,$A109)/(SUMIFS(Исход!$G:$G,Исход!$A:$A,P$1,Исход!$B:$B,$A109)+SUMIFS(Исход!$D:$D,Исход!$A:$A,P$1,Исход!$B:$B,$A109)),0)</f>
        <v>0</v>
      </c>
      <c r="Q109" s="168">
        <f>IFERROR(SUMIFS(Исход!$G:$G,Исход!$A:$A,Q$1,Исход!$B:$B,$A109)/(SUMIFS(Исход!$G:$G,Исход!$A:$A,Q$1,Исход!$B:$B,$A109)+SUMIFS(Исход!$D:$D,Исход!$A:$A,Q$1,Исход!$B:$B,$A109)),0)</f>
        <v>0</v>
      </c>
      <c r="R109" s="168">
        <f>IFERROR(SUMIFS(Исход!$G:$G,Исход!$A:$A,R$1,Исход!$B:$B,$A109)/(SUMIFS(Исход!$G:$G,Исход!$A:$A,R$1,Исход!$B:$B,$A109)+SUMIFS(Исход!$D:$D,Исход!$A:$A,R$1,Исход!$B:$B,$A109)),0)</f>
        <v>0</v>
      </c>
      <c r="S109" s="168">
        <f>IFERROR(SUMIFS(Исход!$G:$G,Исход!$A:$A,S$1,Исход!$B:$B,$A109)/(SUMIFS(Исход!$G:$G,Исход!$A:$A,S$1,Исход!$B:$B,$A109)+SUMIFS(Исход!$D:$D,Исход!$A:$A,S$1,Исход!$B:$B,$A109)),0)</f>
        <v>0</v>
      </c>
      <c r="T109" s="168">
        <f>IFERROR(SUMIFS(Исход!$G:$G,Исход!$A:$A,T$1,Исход!$B:$B,$A109)/(SUMIFS(Исход!$G:$G,Исход!$A:$A,T$1,Исход!$B:$B,$A109)+SUMIFS(Исход!$D:$D,Исход!$A:$A,T$1,Исход!$B:$B,$A109)),0)</f>
        <v>0</v>
      </c>
      <c r="U109" s="168">
        <v>0</v>
      </c>
      <c r="V109" s="168">
        <v>0</v>
      </c>
      <c r="W109" s="168">
        <v>0</v>
      </c>
      <c r="X109" s="168">
        <v>0</v>
      </c>
      <c r="Y109" s="168">
        <v>0</v>
      </c>
      <c r="Z109" s="168">
        <v>0</v>
      </c>
      <c r="AA109" s="168">
        <v>0</v>
      </c>
      <c r="AB109" s="168">
        <v>0</v>
      </c>
      <c r="AC109" s="168">
        <v>0</v>
      </c>
      <c r="AD109" s="168">
        <v>0</v>
      </c>
      <c r="AE109" s="168">
        <v>0</v>
      </c>
      <c r="AF109" s="168">
        <v>0</v>
      </c>
      <c r="AG109" s="169">
        <v>0</v>
      </c>
    </row>
    <row r="110" spans="1:33" hidden="1" outlineLevel="1" x14ac:dyDescent="0.25">
      <c r="A110" s="102">
        <v>0.14583333333333334</v>
      </c>
      <c r="B110" s="128">
        <v>0.16666666666666666</v>
      </c>
      <c r="C110" s="167">
        <f>IFERROR(SUMIFS(Исход!$G:$G,Исход!$A:$A,C$1,Исход!$B:$B,$A110)/(SUMIFS(Исход!$G:$G,Исход!$A:$A,C$1,Исход!$B:$B,$A110)+SUMIFS(Исход!$D:$D,Исход!$A:$A,C$1,Исход!$B:$B,$A110)),0)</f>
        <v>0</v>
      </c>
      <c r="D110" s="168">
        <f>IFERROR(SUMIFS(Исход!$G:$G,Исход!$A:$A,D$1,Исход!$B:$B,$A110)/(SUMIFS(Исход!$G:$G,Исход!$A:$A,D$1,Исход!$B:$B,$A110)+SUMIFS(Исход!$D:$D,Исход!$A:$A,D$1,Исход!$B:$B,$A110)),0)</f>
        <v>0</v>
      </c>
      <c r="E110" s="168">
        <f>IFERROR(SUMIFS(Исход!$G:$G,Исход!$A:$A,E$1,Исход!$B:$B,$A110)/(SUMIFS(Исход!$G:$G,Исход!$A:$A,E$1,Исход!$B:$B,$A110)+SUMIFS(Исход!$D:$D,Исход!$A:$A,E$1,Исход!$B:$B,$A110)),0)</f>
        <v>0</v>
      </c>
      <c r="F110" s="168">
        <f>IFERROR(SUMIFS(Исход!$G:$G,Исход!$A:$A,F$1,Исход!$B:$B,$A110)/(SUMIFS(Исход!$G:$G,Исход!$A:$A,F$1,Исход!$B:$B,$A110)+SUMIFS(Исход!$D:$D,Исход!$A:$A,F$1,Исход!$B:$B,$A110)),0)</f>
        <v>0</v>
      </c>
      <c r="G110" s="168">
        <f>IFERROR(SUMIFS(Исход!$G:$G,Исход!$A:$A,G$1,Исход!$B:$B,$A110)/(SUMIFS(Исход!$G:$G,Исход!$A:$A,G$1,Исход!$B:$B,$A110)+SUMIFS(Исход!$D:$D,Исход!$A:$A,G$1,Исход!$B:$B,$A110)),0)</f>
        <v>0</v>
      </c>
      <c r="H110" s="168">
        <f>IFERROR(SUMIFS(Исход!$G:$G,Исход!$A:$A,H$1,Исход!$B:$B,$A110)/(SUMIFS(Исход!$G:$G,Исход!$A:$A,H$1,Исход!$B:$B,$A110)+SUMIFS(Исход!$D:$D,Исход!$A:$A,H$1,Исход!$B:$B,$A110)),0)</f>
        <v>0</v>
      </c>
      <c r="I110" s="168">
        <f>IFERROR(SUMIFS(Исход!$G:$G,Исход!$A:$A,I$1,Исход!$B:$B,$A110)/(SUMIFS(Исход!$G:$G,Исход!$A:$A,I$1,Исход!$B:$B,$A110)+SUMIFS(Исход!$D:$D,Исход!$A:$A,I$1,Исход!$B:$B,$A110)),0)</f>
        <v>0</v>
      </c>
      <c r="J110" s="168">
        <f>IFERROR(SUMIFS(Исход!$G:$G,Исход!$A:$A,J$1,Исход!$B:$B,$A110)/(SUMIFS(Исход!$G:$G,Исход!$A:$A,J$1,Исход!$B:$B,$A110)+SUMIFS(Исход!$D:$D,Исход!$A:$A,J$1,Исход!$B:$B,$A110)),0)</f>
        <v>0</v>
      </c>
      <c r="K110" s="168">
        <f>IFERROR(SUMIFS(Исход!$G:$G,Исход!$A:$A,K$1,Исход!$B:$B,$A110)/(SUMIFS(Исход!$G:$G,Исход!$A:$A,K$1,Исход!$B:$B,$A110)+SUMIFS(Исход!$D:$D,Исход!$A:$A,K$1,Исход!$B:$B,$A110)),0)</f>
        <v>0</v>
      </c>
      <c r="L110" s="168">
        <f>IFERROR(SUMIFS(Исход!$G:$G,Исход!$A:$A,L$1,Исход!$B:$B,$A110)/(SUMIFS(Исход!$G:$G,Исход!$A:$A,L$1,Исход!$B:$B,$A110)+SUMIFS(Исход!$D:$D,Исход!$A:$A,L$1,Исход!$B:$B,$A110)),0)</f>
        <v>0</v>
      </c>
      <c r="M110" s="168">
        <f>IFERROR(SUMIFS(Исход!$G:$G,Исход!$A:$A,M$1,Исход!$B:$B,$A110)/(SUMIFS(Исход!$G:$G,Исход!$A:$A,M$1,Исход!$B:$B,$A110)+SUMIFS(Исход!$D:$D,Исход!$A:$A,M$1,Исход!$B:$B,$A110)),0)</f>
        <v>0</v>
      </c>
      <c r="N110" s="168">
        <f>IFERROR(SUMIFS(Исход!$G:$G,Исход!$A:$A,N$1,Исход!$B:$B,$A110)/(SUMIFS(Исход!$G:$G,Исход!$A:$A,N$1,Исход!$B:$B,$A110)+SUMIFS(Исход!$D:$D,Исход!$A:$A,N$1,Исход!$B:$B,$A110)),0)</f>
        <v>0</v>
      </c>
      <c r="O110" s="168">
        <f>IFERROR(SUMIFS(Исход!$G:$G,Исход!$A:$A,O$1,Исход!$B:$B,$A110)/(SUMIFS(Исход!$G:$G,Исход!$A:$A,O$1,Исход!$B:$B,$A110)+SUMIFS(Исход!$D:$D,Исход!$A:$A,O$1,Исход!$B:$B,$A110)),0)</f>
        <v>0</v>
      </c>
      <c r="P110" s="168">
        <f>IFERROR(SUMIFS(Исход!$G:$G,Исход!$A:$A,P$1,Исход!$B:$B,$A110)/(SUMIFS(Исход!$G:$G,Исход!$A:$A,P$1,Исход!$B:$B,$A110)+SUMIFS(Исход!$D:$D,Исход!$A:$A,P$1,Исход!$B:$B,$A110)),0)</f>
        <v>0</v>
      </c>
      <c r="Q110" s="168">
        <f>IFERROR(SUMIFS(Исход!$G:$G,Исход!$A:$A,Q$1,Исход!$B:$B,$A110)/(SUMIFS(Исход!$G:$G,Исход!$A:$A,Q$1,Исход!$B:$B,$A110)+SUMIFS(Исход!$D:$D,Исход!$A:$A,Q$1,Исход!$B:$B,$A110)),0)</f>
        <v>0</v>
      </c>
      <c r="R110" s="168">
        <f>IFERROR(SUMIFS(Исход!$G:$G,Исход!$A:$A,R$1,Исход!$B:$B,$A110)/(SUMIFS(Исход!$G:$G,Исход!$A:$A,R$1,Исход!$B:$B,$A110)+SUMIFS(Исход!$D:$D,Исход!$A:$A,R$1,Исход!$B:$B,$A110)),0)</f>
        <v>0</v>
      </c>
      <c r="S110" s="168">
        <f>IFERROR(SUMIFS(Исход!$G:$G,Исход!$A:$A,S$1,Исход!$B:$B,$A110)/(SUMIFS(Исход!$G:$G,Исход!$A:$A,S$1,Исход!$B:$B,$A110)+SUMIFS(Исход!$D:$D,Исход!$A:$A,S$1,Исход!$B:$B,$A110)),0)</f>
        <v>0</v>
      </c>
      <c r="T110" s="168">
        <f>IFERROR(SUMIFS(Исход!$G:$G,Исход!$A:$A,T$1,Исход!$B:$B,$A110)/(SUMIFS(Исход!$G:$G,Исход!$A:$A,T$1,Исход!$B:$B,$A110)+SUMIFS(Исход!$D:$D,Исход!$A:$A,T$1,Исход!$B:$B,$A110)),0)</f>
        <v>0</v>
      </c>
      <c r="U110" s="168">
        <v>0</v>
      </c>
      <c r="V110" s="168">
        <v>0</v>
      </c>
      <c r="W110" s="168">
        <v>0</v>
      </c>
      <c r="X110" s="168">
        <v>0</v>
      </c>
      <c r="Y110" s="168">
        <v>0</v>
      </c>
      <c r="Z110" s="168">
        <v>0</v>
      </c>
      <c r="AA110" s="168">
        <v>0</v>
      </c>
      <c r="AB110" s="168">
        <v>0</v>
      </c>
      <c r="AC110" s="168">
        <v>0</v>
      </c>
      <c r="AD110" s="168">
        <v>0</v>
      </c>
      <c r="AE110" s="168">
        <v>0</v>
      </c>
      <c r="AF110" s="168">
        <v>0</v>
      </c>
      <c r="AG110" s="169">
        <v>0</v>
      </c>
    </row>
    <row r="111" spans="1:33" hidden="1" outlineLevel="1" x14ac:dyDescent="0.25">
      <c r="A111" s="102">
        <v>0.16666666666666666</v>
      </c>
      <c r="B111" s="128">
        <v>0.1875</v>
      </c>
      <c r="C111" s="167">
        <f>IFERROR(SUMIFS(Исход!$G:$G,Исход!$A:$A,C$1,Исход!$B:$B,$A111)/(SUMIFS(Исход!$G:$G,Исход!$A:$A,C$1,Исход!$B:$B,$A111)+SUMIFS(Исход!$D:$D,Исход!$A:$A,C$1,Исход!$B:$B,$A111)),0)</f>
        <v>0</v>
      </c>
      <c r="D111" s="168">
        <f>IFERROR(SUMIFS(Исход!$G:$G,Исход!$A:$A,D$1,Исход!$B:$B,$A111)/(SUMIFS(Исход!$G:$G,Исход!$A:$A,D$1,Исход!$B:$B,$A111)+SUMIFS(Исход!$D:$D,Исход!$A:$A,D$1,Исход!$B:$B,$A111)),0)</f>
        <v>0</v>
      </c>
      <c r="E111" s="168">
        <f>IFERROR(SUMIFS(Исход!$G:$G,Исход!$A:$A,E$1,Исход!$B:$B,$A111)/(SUMIFS(Исход!$G:$G,Исход!$A:$A,E$1,Исход!$B:$B,$A111)+SUMIFS(Исход!$D:$D,Исход!$A:$A,E$1,Исход!$B:$B,$A111)),0)</f>
        <v>0</v>
      </c>
      <c r="F111" s="168">
        <f>IFERROR(SUMIFS(Исход!$G:$G,Исход!$A:$A,F$1,Исход!$B:$B,$A111)/(SUMIFS(Исход!$G:$G,Исход!$A:$A,F$1,Исход!$B:$B,$A111)+SUMIFS(Исход!$D:$D,Исход!$A:$A,F$1,Исход!$B:$B,$A111)),0)</f>
        <v>0</v>
      </c>
      <c r="G111" s="168">
        <f>IFERROR(SUMIFS(Исход!$G:$G,Исход!$A:$A,G$1,Исход!$B:$B,$A111)/(SUMIFS(Исход!$G:$G,Исход!$A:$A,G$1,Исход!$B:$B,$A111)+SUMIFS(Исход!$D:$D,Исход!$A:$A,G$1,Исход!$B:$B,$A111)),0)</f>
        <v>0</v>
      </c>
      <c r="H111" s="168">
        <f>IFERROR(SUMIFS(Исход!$G:$G,Исход!$A:$A,H$1,Исход!$B:$B,$A111)/(SUMIFS(Исход!$G:$G,Исход!$A:$A,H$1,Исход!$B:$B,$A111)+SUMIFS(Исход!$D:$D,Исход!$A:$A,H$1,Исход!$B:$B,$A111)),0)</f>
        <v>0</v>
      </c>
      <c r="I111" s="168">
        <f>IFERROR(SUMIFS(Исход!$G:$G,Исход!$A:$A,I$1,Исход!$B:$B,$A111)/(SUMIFS(Исход!$G:$G,Исход!$A:$A,I$1,Исход!$B:$B,$A111)+SUMIFS(Исход!$D:$D,Исход!$A:$A,I$1,Исход!$B:$B,$A111)),0)</f>
        <v>0</v>
      </c>
      <c r="J111" s="168">
        <f>IFERROR(SUMIFS(Исход!$G:$G,Исход!$A:$A,J$1,Исход!$B:$B,$A111)/(SUMIFS(Исход!$G:$G,Исход!$A:$A,J$1,Исход!$B:$B,$A111)+SUMIFS(Исход!$D:$D,Исход!$A:$A,J$1,Исход!$B:$B,$A111)),0)</f>
        <v>0</v>
      </c>
      <c r="K111" s="168">
        <f>IFERROR(SUMIFS(Исход!$G:$G,Исход!$A:$A,K$1,Исход!$B:$B,$A111)/(SUMIFS(Исход!$G:$G,Исход!$A:$A,K$1,Исход!$B:$B,$A111)+SUMIFS(Исход!$D:$D,Исход!$A:$A,K$1,Исход!$B:$B,$A111)),0)</f>
        <v>0</v>
      </c>
      <c r="L111" s="168">
        <f>IFERROR(SUMIFS(Исход!$G:$G,Исход!$A:$A,L$1,Исход!$B:$B,$A111)/(SUMIFS(Исход!$G:$G,Исход!$A:$A,L$1,Исход!$B:$B,$A111)+SUMIFS(Исход!$D:$D,Исход!$A:$A,L$1,Исход!$B:$B,$A111)),0)</f>
        <v>0</v>
      </c>
      <c r="M111" s="168">
        <f>IFERROR(SUMIFS(Исход!$G:$G,Исход!$A:$A,M$1,Исход!$B:$B,$A111)/(SUMIFS(Исход!$G:$G,Исход!$A:$A,M$1,Исход!$B:$B,$A111)+SUMIFS(Исход!$D:$D,Исход!$A:$A,M$1,Исход!$B:$B,$A111)),0)</f>
        <v>0</v>
      </c>
      <c r="N111" s="168">
        <f>IFERROR(SUMIFS(Исход!$G:$G,Исход!$A:$A,N$1,Исход!$B:$B,$A111)/(SUMIFS(Исход!$G:$G,Исход!$A:$A,N$1,Исход!$B:$B,$A111)+SUMIFS(Исход!$D:$D,Исход!$A:$A,N$1,Исход!$B:$B,$A111)),0)</f>
        <v>0</v>
      </c>
      <c r="O111" s="168">
        <f>IFERROR(SUMIFS(Исход!$G:$G,Исход!$A:$A,O$1,Исход!$B:$B,$A111)/(SUMIFS(Исход!$G:$G,Исход!$A:$A,O$1,Исход!$B:$B,$A111)+SUMIFS(Исход!$D:$D,Исход!$A:$A,O$1,Исход!$B:$B,$A111)),0)</f>
        <v>0</v>
      </c>
      <c r="P111" s="168">
        <f>IFERROR(SUMIFS(Исход!$G:$G,Исход!$A:$A,P$1,Исход!$B:$B,$A111)/(SUMIFS(Исход!$G:$G,Исход!$A:$A,P$1,Исход!$B:$B,$A111)+SUMIFS(Исход!$D:$D,Исход!$A:$A,P$1,Исход!$B:$B,$A111)),0)</f>
        <v>0</v>
      </c>
      <c r="Q111" s="168">
        <f>IFERROR(SUMIFS(Исход!$G:$G,Исход!$A:$A,Q$1,Исход!$B:$B,$A111)/(SUMIFS(Исход!$G:$G,Исход!$A:$A,Q$1,Исход!$B:$B,$A111)+SUMIFS(Исход!$D:$D,Исход!$A:$A,Q$1,Исход!$B:$B,$A111)),0)</f>
        <v>0</v>
      </c>
      <c r="R111" s="168">
        <f>IFERROR(SUMIFS(Исход!$G:$G,Исход!$A:$A,R$1,Исход!$B:$B,$A111)/(SUMIFS(Исход!$G:$G,Исход!$A:$A,R$1,Исход!$B:$B,$A111)+SUMIFS(Исход!$D:$D,Исход!$A:$A,R$1,Исход!$B:$B,$A111)),0)</f>
        <v>0</v>
      </c>
      <c r="S111" s="168">
        <f>IFERROR(SUMIFS(Исход!$G:$G,Исход!$A:$A,S$1,Исход!$B:$B,$A111)/(SUMIFS(Исход!$G:$G,Исход!$A:$A,S$1,Исход!$B:$B,$A111)+SUMIFS(Исход!$D:$D,Исход!$A:$A,S$1,Исход!$B:$B,$A111)),0)</f>
        <v>0</v>
      </c>
      <c r="T111" s="168">
        <f>IFERROR(SUMIFS(Исход!$G:$G,Исход!$A:$A,T$1,Исход!$B:$B,$A111)/(SUMIFS(Исход!$G:$G,Исход!$A:$A,T$1,Исход!$B:$B,$A111)+SUMIFS(Исход!$D:$D,Исход!$A:$A,T$1,Исход!$B:$B,$A111)),0)</f>
        <v>0</v>
      </c>
      <c r="U111" s="168">
        <v>0</v>
      </c>
      <c r="V111" s="168">
        <v>0</v>
      </c>
      <c r="W111" s="168">
        <v>0</v>
      </c>
      <c r="X111" s="168">
        <v>0</v>
      </c>
      <c r="Y111" s="168">
        <v>0</v>
      </c>
      <c r="Z111" s="168">
        <v>0</v>
      </c>
      <c r="AA111" s="168">
        <v>0</v>
      </c>
      <c r="AB111" s="168">
        <v>0</v>
      </c>
      <c r="AC111" s="168">
        <v>0</v>
      </c>
      <c r="AD111" s="168">
        <v>0</v>
      </c>
      <c r="AE111" s="168">
        <v>0</v>
      </c>
      <c r="AF111" s="168">
        <v>0</v>
      </c>
      <c r="AG111" s="169">
        <v>0</v>
      </c>
    </row>
    <row r="112" spans="1:33" hidden="1" outlineLevel="1" x14ac:dyDescent="0.25">
      <c r="A112" s="102">
        <v>0.1875</v>
      </c>
      <c r="B112" s="128">
        <v>0.20833333333333334</v>
      </c>
      <c r="C112" s="167">
        <f>IFERROR(SUMIFS(Исход!$G:$G,Исход!$A:$A,C$1,Исход!$B:$B,$A112)/(SUMIFS(Исход!$G:$G,Исход!$A:$A,C$1,Исход!$B:$B,$A112)+SUMIFS(Исход!$D:$D,Исход!$A:$A,C$1,Исход!$B:$B,$A112)),0)</f>
        <v>0</v>
      </c>
      <c r="D112" s="168">
        <f>IFERROR(SUMIFS(Исход!$G:$G,Исход!$A:$A,D$1,Исход!$B:$B,$A112)/(SUMIFS(Исход!$G:$G,Исход!$A:$A,D$1,Исход!$B:$B,$A112)+SUMIFS(Исход!$D:$D,Исход!$A:$A,D$1,Исход!$B:$B,$A112)),0)</f>
        <v>0</v>
      </c>
      <c r="E112" s="168">
        <f>IFERROR(SUMIFS(Исход!$G:$G,Исход!$A:$A,E$1,Исход!$B:$B,$A112)/(SUMIFS(Исход!$G:$G,Исход!$A:$A,E$1,Исход!$B:$B,$A112)+SUMIFS(Исход!$D:$D,Исход!$A:$A,E$1,Исход!$B:$B,$A112)),0)</f>
        <v>0</v>
      </c>
      <c r="F112" s="168">
        <f>IFERROR(SUMIFS(Исход!$G:$G,Исход!$A:$A,F$1,Исход!$B:$B,$A112)/(SUMIFS(Исход!$G:$G,Исход!$A:$A,F$1,Исход!$B:$B,$A112)+SUMIFS(Исход!$D:$D,Исход!$A:$A,F$1,Исход!$B:$B,$A112)),0)</f>
        <v>0</v>
      </c>
      <c r="G112" s="168">
        <f>IFERROR(SUMIFS(Исход!$G:$G,Исход!$A:$A,G$1,Исход!$B:$B,$A112)/(SUMIFS(Исход!$G:$G,Исход!$A:$A,G$1,Исход!$B:$B,$A112)+SUMIFS(Исход!$D:$D,Исход!$A:$A,G$1,Исход!$B:$B,$A112)),0)</f>
        <v>0</v>
      </c>
      <c r="H112" s="168">
        <f>IFERROR(SUMIFS(Исход!$G:$G,Исход!$A:$A,H$1,Исход!$B:$B,$A112)/(SUMIFS(Исход!$G:$G,Исход!$A:$A,H$1,Исход!$B:$B,$A112)+SUMIFS(Исход!$D:$D,Исход!$A:$A,H$1,Исход!$B:$B,$A112)),0)</f>
        <v>0</v>
      </c>
      <c r="I112" s="168">
        <f>IFERROR(SUMIFS(Исход!$G:$G,Исход!$A:$A,I$1,Исход!$B:$B,$A112)/(SUMIFS(Исход!$G:$G,Исход!$A:$A,I$1,Исход!$B:$B,$A112)+SUMIFS(Исход!$D:$D,Исход!$A:$A,I$1,Исход!$B:$B,$A112)),0)</f>
        <v>0</v>
      </c>
      <c r="J112" s="168">
        <f>IFERROR(SUMIFS(Исход!$G:$G,Исход!$A:$A,J$1,Исход!$B:$B,$A112)/(SUMIFS(Исход!$G:$G,Исход!$A:$A,J$1,Исход!$B:$B,$A112)+SUMIFS(Исход!$D:$D,Исход!$A:$A,J$1,Исход!$B:$B,$A112)),0)</f>
        <v>0</v>
      </c>
      <c r="K112" s="168">
        <f>IFERROR(SUMIFS(Исход!$G:$G,Исход!$A:$A,K$1,Исход!$B:$B,$A112)/(SUMIFS(Исход!$G:$G,Исход!$A:$A,K$1,Исход!$B:$B,$A112)+SUMIFS(Исход!$D:$D,Исход!$A:$A,K$1,Исход!$B:$B,$A112)),0)</f>
        <v>0</v>
      </c>
      <c r="L112" s="168">
        <f>IFERROR(SUMIFS(Исход!$G:$G,Исход!$A:$A,L$1,Исход!$B:$B,$A112)/(SUMIFS(Исход!$G:$G,Исход!$A:$A,L$1,Исход!$B:$B,$A112)+SUMIFS(Исход!$D:$D,Исход!$A:$A,L$1,Исход!$B:$B,$A112)),0)</f>
        <v>0</v>
      </c>
      <c r="M112" s="168">
        <f>IFERROR(SUMIFS(Исход!$G:$G,Исход!$A:$A,M$1,Исход!$B:$B,$A112)/(SUMIFS(Исход!$G:$G,Исход!$A:$A,M$1,Исход!$B:$B,$A112)+SUMIFS(Исход!$D:$D,Исход!$A:$A,M$1,Исход!$B:$B,$A112)),0)</f>
        <v>0</v>
      </c>
      <c r="N112" s="168">
        <f>IFERROR(SUMIFS(Исход!$G:$G,Исход!$A:$A,N$1,Исход!$B:$B,$A112)/(SUMIFS(Исход!$G:$G,Исход!$A:$A,N$1,Исход!$B:$B,$A112)+SUMIFS(Исход!$D:$D,Исход!$A:$A,N$1,Исход!$B:$B,$A112)),0)</f>
        <v>0</v>
      </c>
      <c r="O112" s="168">
        <f>IFERROR(SUMIFS(Исход!$G:$G,Исход!$A:$A,O$1,Исход!$B:$B,$A112)/(SUMIFS(Исход!$G:$G,Исход!$A:$A,O$1,Исход!$B:$B,$A112)+SUMIFS(Исход!$D:$D,Исход!$A:$A,O$1,Исход!$B:$B,$A112)),0)</f>
        <v>0</v>
      </c>
      <c r="P112" s="168">
        <f>IFERROR(SUMIFS(Исход!$G:$G,Исход!$A:$A,P$1,Исход!$B:$B,$A112)/(SUMIFS(Исход!$G:$G,Исход!$A:$A,P$1,Исход!$B:$B,$A112)+SUMIFS(Исход!$D:$D,Исход!$A:$A,P$1,Исход!$B:$B,$A112)),0)</f>
        <v>0</v>
      </c>
      <c r="Q112" s="168">
        <f>IFERROR(SUMIFS(Исход!$G:$G,Исход!$A:$A,Q$1,Исход!$B:$B,$A112)/(SUMIFS(Исход!$G:$G,Исход!$A:$A,Q$1,Исход!$B:$B,$A112)+SUMIFS(Исход!$D:$D,Исход!$A:$A,Q$1,Исход!$B:$B,$A112)),0)</f>
        <v>0</v>
      </c>
      <c r="R112" s="168">
        <f>IFERROR(SUMIFS(Исход!$G:$G,Исход!$A:$A,R$1,Исход!$B:$B,$A112)/(SUMIFS(Исход!$G:$G,Исход!$A:$A,R$1,Исход!$B:$B,$A112)+SUMIFS(Исход!$D:$D,Исход!$A:$A,R$1,Исход!$B:$B,$A112)),0)</f>
        <v>0</v>
      </c>
      <c r="S112" s="168">
        <f>IFERROR(SUMIFS(Исход!$G:$G,Исход!$A:$A,S$1,Исход!$B:$B,$A112)/(SUMIFS(Исход!$G:$G,Исход!$A:$A,S$1,Исход!$B:$B,$A112)+SUMIFS(Исход!$D:$D,Исход!$A:$A,S$1,Исход!$B:$B,$A112)),0)</f>
        <v>0</v>
      </c>
      <c r="T112" s="168">
        <f>IFERROR(SUMIFS(Исход!$G:$G,Исход!$A:$A,T$1,Исход!$B:$B,$A112)/(SUMIFS(Исход!$G:$G,Исход!$A:$A,T$1,Исход!$B:$B,$A112)+SUMIFS(Исход!$D:$D,Исход!$A:$A,T$1,Исход!$B:$B,$A112)),0)</f>
        <v>0</v>
      </c>
      <c r="U112" s="168">
        <v>0</v>
      </c>
      <c r="V112" s="168">
        <v>0</v>
      </c>
      <c r="W112" s="168">
        <v>0</v>
      </c>
      <c r="X112" s="168">
        <v>0</v>
      </c>
      <c r="Y112" s="168">
        <v>0</v>
      </c>
      <c r="Z112" s="168">
        <v>0</v>
      </c>
      <c r="AA112" s="168">
        <v>0</v>
      </c>
      <c r="AB112" s="168">
        <v>0</v>
      </c>
      <c r="AC112" s="168">
        <v>0</v>
      </c>
      <c r="AD112" s="168">
        <v>0</v>
      </c>
      <c r="AE112" s="168">
        <v>0</v>
      </c>
      <c r="AF112" s="168">
        <v>0</v>
      </c>
      <c r="AG112" s="169">
        <v>0</v>
      </c>
    </row>
    <row r="113" spans="1:33" hidden="1" outlineLevel="1" x14ac:dyDescent="0.25">
      <c r="A113" s="102">
        <v>0.20833333333333334</v>
      </c>
      <c r="B113" s="128">
        <v>0.22916666666666666</v>
      </c>
      <c r="C113" s="167">
        <f>IFERROR(SUMIFS(Исход!$G:$G,Исход!$A:$A,C$1,Исход!$B:$B,$A113)/(SUMIFS(Исход!$G:$G,Исход!$A:$A,C$1,Исход!$B:$B,$A113)+SUMIFS(Исход!$D:$D,Исход!$A:$A,C$1,Исход!$B:$B,$A113)),0)</f>
        <v>0</v>
      </c>
      <c r="D113" s="168">
        <f>IFERROR(SUMIFS(Исход!$G:$G,Исход!$A:$A,D$1,Исход!$B:$B,$A113)/(SUMIFS(Исход!$G:$G,Исход!$A:$A,D$1,Исход!$B:$B,$A113)+SUMIFS(Исход!$D:$D,Исход!$A:$A,D$1,Исход!$B:$B,$A113)),0)</f>
        <v>0</v>
      </c>
      <c r="E113" s="168">
        <f>IFERROR(SUMIFS(Исход!$G:$G,Исход!$A:$A,E$1,Исход!$B:$B,$A113)/(SUMIFS(Исход!$G:$G,Исход!$A:$A,E$1,Исход!$B:$B,$A113)+SUMIFS(Исход!$D:$D,Исход!$A:$A,E$1,Исход!$B:$B,$A113)),0)</f>
        <v>0</v>
      </c>
      <c r="F113" s="168">
        <f>IFERROR(SUMIFS(Исход!$G:$G,Исход!$A:$A,F$1,Исход!$B:$B,$A113)/(SUMIFS(Исход!$G:$G,Исход!$A:$A,F$1,Исход!$B:$B,$A113)+SUMIFS(Исход!$D:$D,Исход!$A:$A,F$1,Исход!$B:$B,$A113)),0)</f>
        <v>0</v>
      </c>
      <c r="G113" s="168">
        <f>IFERROR(SUMIFS(Исход!$G:$G,Исход!$A:$A,G$1,Исход!$B:$B,$A113)/(SUMIFS(Исход!$G:$G,Исход!$A:$A,G$1,Исход!$B:$B,$A113)+SUMIFS(Исход!$D:$D,Исход!$A:$A,G$1,Исход!$B:$B,$A113)),0)</f>
        <v>0</v>
      </c>
      <c r="H113" s="168">
        <f>IFERROR(SUMIFS(Исход!$G:$G,Исход!$A:$A,H$1,Исход!$B:$B,$A113)/(SUMIFS(Исход!$G:$G,Исход!$A:$A,H$1,Исход!$B:$B,$A113)+SUMIFS(Исход!$D:$D,Исход!$A:$A,H$1,Исход!$B:$B,$A113)),0)</f>
        <v>0</v>
      </c>
      <c r="I113" s="168">
        <f>IFERROR(SUMIFS(Исход!$G:$G,Исход!$A:$A,I$1,Исход!$B:$B,$A113)/(SUMIFS(Исход!$G:$G,Исход!$A:$A,I$1,Исход!$B:$B,$A113)+SUMIFS(Исход!$D:$D,Исход!$A:$A,I$1,Исход!$B:$B,$A113)),0)</f>
        <v>0</v>
      </c>
      <c r="J113" s="168">
        <f>IFERROR(SUMIFS(Исход!$G:$G,Исход!$A:$A,J$1,Исход!$B:$B,$A113)/(SUMIFS(Исход!$G:$G,Исход!$A:$A,J$1,Исход!$B:$B,$A113)+SUMIFS(Исход!$D:$D,Исход!$A:$A,J$1,Исход!$B:$B,$A113)),0)</f>
        <v>0</v>
      </c>
      <c r="K113" s="168">
        <f>IFERROR(SUMIFS(Исход!$G:$G,Исход!$A:$A,K$1,Исход!$B:$B,$A113)/(SUMIFS(Исход!$G:$G,Исход!$A:$A,K$1,Исход!$B:$B,$A113)+SUMIFS(Исход!$D:$D,Исход!$A:$A,K$1,Исход!$B:$B,$A113)),0)</f>
        <v>0</v>
      </c>
      <c r="L113" s="168">
        <f>IFERROR(SUMIFS(Исход!$G:$G,Исход!$A:$A,L$1,Исход!$B:$B,$A113)/(SUMIFS(Исход!$G:$G,Исход!$A:$A,L$1,Исход!$B:$B,$A113)+SUMIFS(Исход!$D:$D,Исход!$A:$A,L$1,Исход!$B:$B,$A113)),0)</f>
        <v>0</v>
      </c>
      <c r="M113" s="168">
        <f>IFERROR(SUMIFS(Исход!$G:$G,Исход!$A:$A,M$1,Исход!$B:$B,$A113)/(SUMIFS(Исход!$G:$G,Исход!$A:$A,M$1,Исход!$B:$B,$A113)+SUMIFS(Исход!$D:$D,Исход!$A:$A,M$1,Исход!$B:$B,$A113)),0)</f>
        <v>0</v>
      </c>
      <c r="N113" s="168">
        <f>IFERROR(SUMIFS(Исход!$G:$G,Исход!$A:$A,N$1,Исход!$B:$B,$A113)/(SUMIFS(Исход!$G:$G,Исход!$A:$A,N$1,Исход!$B:$B,$A113)+SUMIFS(Исход!$D:$D,Исход!$A:$A,N$1,Исход!$B:$B,$A113)),0)</f>
        <v>0</v>
      </c>
      <c r="O113" s="168">
        <f>IFERROR(SUMIFS(Исход!$G:$G,Исход!$A:$A,O$1,Исход!$B:$B,$A113)/(SUMIFS(Исход!$G:$G,Исход!$A:$A,O$1,Исход!$B:$B,$A113)+SUMIFS(Исход!$D:$D,Исход!$A:$A,O$1,Исход!$B:$B,$A113)),0)</f>
        <v>0</v>
      </c>
      <c r="P113" s="168">
        <f>IFERROR(SUMIFS(Исход!$G:$G,Исход!$A:$A,P$1,Исход!$B:$B,$A113)/(SUMIFS(Исход!$G:$G,Исход!$A:$A,P$1,Исход!$B:$B,$A113)+SUMIFS(Исход!$D:$D,Исход!$A:$A,P$1,Исход!$B:$B,$A113)),0)</f>
        <v>0</v>
      </c>
      <c r="Q113" s="168">
        <f>IFERROR(SUMIFS(Исход!$G:$G,Исход!$A:$A,Q$1,Исход!$B:$B,$A113)/(SUMIFS(Исход!$G:$G,Исход!$A:$A,Q$1,Исход!$B:$B,$A113)+SUMIFS(Исход!$D:$D,Исход!$A:$A,Q$1,Исход!$B:$B,$A113)),0)</f>
        <v>0</v>
      </c>
      <c r="R113" s="168">
        <f>IFERROR(SUMIFS(Исход!$G:$G,Исход!$A:$A,R$1,Исход!$B:$B,$A113)/(SUMIFS(Исход!$G:$G,Исход!$A:$A,R$1,Исход!$B:$B,$A113)+SUMIFS(Исход!$D:$D,Исход!$A:$A,R$1,Исход!$B:$B,$A113)),0)</f>
        <v>0</v>
      </c>
      <c r="S113" s="168">
        <f>IFERROR(SUMIFS(Исход!$G:$G,Исход!$A:$A,S$1,Исход!$B:$B,$A113)/(SUMIFS(Исход!$G:$G,Исход!$A:$A,S$1,Исход!$B:$B,$A113)+SUMIFS(Исход!$D:$D,Исход!$A:$A,S$1,Исход!$B:$B,$A113)),0)</f>
        <v>0</v>
      </c>
      <c r="T113" s="168">
        <f>IFERROR(SUMIFS(Исход!$G:$G,Исход!$A:$A,T$1,Исход!$B:$B,$A113)/(SUMIFS(Исход!$G:$G,Исход!$A:$A,T$1,Исход!$B:$B,$A113)+SUMIFS(Исход!$D:$D,Исход!$A:$A,T$1,Исход!$B:$B,$A113)),0)</f>
        <v>0</v>
      </c>
      <c r="U113" s="168">
        <v>0</v>
      </c>
      <c r="V113" s="168">
        <v>0</v>
      </c>
      <c r="W113" s="168">
        <v>0</v>
      </c>
      <c r="X113" s="168">
        <v>0</v>
      </c>
      <c r="Y113" s="168">
        <v>0</v>
      </c>
      <c r="Z113" s="168">
        <v>0</v>
      </c>
      <c r="AA113" s="168">
        <v>0</v>
      </c>
      <c r="AB113" s="168">
        <v>0</v>
      </c>
      <c r="AC113" s="168">
        <v>0</v>
      </c>
      <c r="AD113" s="168">
        <v>0</v>
      </c>
      <c r="AE113" s="168">
        <v>0</v>
      </c>
      <c r="AF113" s="168">
        <v>0</v>
      </c>
      <c r="AG113" s="169">
        <v>0</v>
      </c>
    </row>
    <row r="114" spans="1:33" hidden="1" outlineLevel="1" x14ac:dyDescent="0.25">
      <c r="A114" s="102">
        <v>0.22916666666666666</v>
      </c>
      <c r="B114" s="128">
        <v>0.25</v>
      </c>
      <c r="C114" s="167">
        <f>IFERROR(SUMIFS(Исход!$G:$G,Исход!$A:$A,C$1,Исход!$B:$B,$A114)/(SUMIFS(Исход!$G:$G,Исход!$A:$A,C$1,Исход!$B:$B,$A114)+SUMIFS(Исход!$D:$D,Исход!$A:$A,C$1,Исход!$B:$B,$A114)),0)</f>
        <v>0</v>
      </c>
      <c r="D114" s="168">
        <f>IFERROR(SUMIFS(Исход!$G:$G,Исход!$A:$A,D$1,Исход!$B:$B,$A114)/(SUMIFS(Исход!$G:$G,Исход!$A:$A,D$1,Исход!$B:$B,$A114)+SUMIFS(Исход!$D:$D,Исход!$A:$A,D$1,Исход!$B:$B,$A114)),0)</f>
        <v>0</v>
      </c>
      <c r="E114" s="168">
        <f>IFERROR(SUMIFS(Исход!$G:$G,Исход!$A:$A,E$1,Исход!$B:$B,$A114)/(SUMIFS(Исход!$G:$G,Исход!$A:$A,E$1,Исход!$B:$B,$A114)+SUMIFS(Исход!$D:$D,Исход!$A:$A,E$1,Исход!$B:$B,$A114)),0)</f>
        <v>0</v>
      </c>
      <c r="F114" s="168">
        <f>IFERROR(SUMIFS(Исход!$G:$G,Исход!$A:$A,F$1,Исход!$B:$B,$A114)/(SUMIFS(Исход!$G:$G,Исход!$A:$A,F$1,Исход!$B:$B,$A114)+SUMIFS(Исход!$D:$D,Исход!$A:$A,F$1,Исход!$B:$B,$A114)),0)</f>
        <v>0</v>
      </c>
      <c r="G114" s="168">
        <f>IFERROR(SUMIFS(Исход!$G:$G,Исход!$A:$A,G$1,Исход!$B:$B,$A114)/(SUMIFS(Исход!$G:$G,Исход!$A:$A,G$1,Исход!$B:$B,$A114)+SUMIFS(Исход!$D:$D,Исход!$A:$A,G$1,Исход!$B:$B,$A114)),0)</f>
        <v>0</v>
      </c>
      <c r="H114" s="168">
        <f>IFERROR(SUMIFS(Исход!$G:$G,Исход!$A:$A,H$1,Исход!$B:$B,$A114)/(SUMIFS(Исход!$G:$G,Исход!$A:$A,H$1,Исход!$B:$B,$A114)+SUMIFS(Исход!$D:$D,Исход!$A:$A,H$1,Исход!$B:$B,$A114)),0)</f>
        <v>0</v>
      </c>
      <c r="I114" s="168">
        <f>IFERROR(SUMIFS(Исход!$G:$G,Исход!$A:$A,I$1,Исход!$B:$B,$A114)/(SUMIFS(Исход!$G:$G,Исход!$A:$A,I$1,Исход!$B:$B,$A114)+SUMIFS(Исход!$D:$D,Исход!$A:$A,I$1,Исход!$B:$B,$A114)),0)</f>
        <v>0</v>
      </c>
      <c r="J114" s="168">
        <f>IFERROR(SUMIFS(Исход!$G:$G,Исход!$A:$A,J$1,Исход!$B:$B,$A114)/(SUMIFS(Исход!$G:$G,Исход!$A:$A,J$1,Исход!$B:$B,$A114)+SUMIFS(Исход!$D:$D,Исход!$A:$A,J$1,Исход!$B:$B,$A114)),0)</f>
        <v>0</v>
      </c>
      <c r="K114" s="168">
        <f>IFERROR(SUMIFS(Исход!$G:$G,Исход!$A:$A,K$1,Исход!$B:$B,$A114)/(SUMIFS(Исход!$G:$G,Исход!$A:$A,K$1,Исход!$B:$B,$A114)+SUMIFS(Исход!$D:$D,Исход!$A:$A,K$1,Исход!$B:$B,$A114)),0)</f>
        <v>0</v>
      </c>
      <c r="L114" s="168">
        <f>IFERROR(SUMIFS(Исход!$G:$G,Исход!$A:$A,L$1,Исход!$B:$B,$A114)/(SUMIFS(Исход!$G:$G,Исход!$A:$A,L$1,Исход!$B:$B,$A114)+SUMIFS(Исход!$D:$D,Исход!$A:$A,L$1,Исход!$B:$B,$A114)),0)</f>
        <v>0</v>
      </c>
      <c r="M114" s="168">
        <f>IFERROR(SUMIFS(Исход!$G:$G,Исход!$A:$A,M$1,Исход!$B:$B,$A114)/(SUMIFS(Исход!$G:$G,Исход!$A:$A,M$1,Исход!$B:$B,$A114)+SUMIFS(Исход!$D:$D,Исход!$A:$A,M$1,Исход!$B:$B,$A114)),0)</f>
        <v>0</v>
      </c>
      <c r="N114" s="168">
        <f>IFERROR(SUMIFS(Исход!$G:$G,Исход!$A:$A,N$1,Исход!$B:$B,$A114)/(SUMIFS(Исход!$G:$G,Исход!$A:$A,N$1,Исход!$B:$B,$A114)+SUMIFS(Исход!$D:$D,Исход!$A:$A,N$1,Исход!$B:$B,$A114)),0)</f>
        <v>0</v>
      </c>
      <c r="O114" s="168">
        <f>IFERROR(SUMIFS(Исход!$G:$G,Исход!$A:$A,O$1,Исход!$B:$B,$A114)/(SUMIFS(Исход!$G:$G,Исход!$A:$A,O$1,Исход!$B:$B,$A114)+SUMIFS(Исход!$D:$D,Исход!$A:$A,O$1,Исход!$B:$B,$A114)),0)</f>
        <v>0</v>
      </c>
      <c r="P114" s="168">
        <f>IFERROR(SUMIFS(Исход!$G:$G,Исход!$A:$A,P$1,Исход!$B:$B,$A114)/(SUMIFS(Исход!$G:$G,Исход!$A:$A,P$1,Исход!$B:$B,$A114)+SUMIFS(Исход!$D:$D,Исход!$A:$A,P$1,Исход!$B:$B,$A114)),0)</f>
        <v>0</v>
      </c>
      <c r="Q114" s="168">
        <f>IFERROR(SUMIFS(Исход!$G:$G,Исход!$A:$A,Q$1,Исход!$B:$B,$A114)/(SUMIFS(Исход!$G:$G,Исход!$A:$A,Q$1,Исход!$B:$B,$A114)+SUMIFS(Исход!$D:$D,Исход!$A:$A,Q$1,Исход!$B:$B,$A114)),0)</f>
        <v>0</v>
      </c>
      <c r="R114" s="168">
        <f>IFERROR(SUMIFS(Исход!$G:$G,Исход!$A:$A,R$1,Исход!$B:$B,$A114)/(SUMIFS(Исход!$G:$G,Исход!$A:$A,R$1,Исход!$B:$B,$A114)+SUMIFS(Исход!$D:$D,Исход!$A:$A,R$1,Исход!$B:$B,$A114)),0)</f>
        <v>0</v>
      </c>
      <c r="S114" s="168">
        <f>IFERROR(SUMIFS(Исход!$G:$G,Исход!$A:$A,S$1,Исход!$B:$B,$A114)/(SUMIFS(Исход!$G:$G,Исход!$A:$A,S$1,Исход!$B:$B,$A114)+SUMIFS(Исход!$D:$D,Исход!$A:$A,S$1,Исход!$B:$B,$A114)),0)</f>
        <v>0</v>
      </c>
      <c r="T114" s="168">
        <f>IFERROR(SUMIFS(Исход!$G:$G,Исход!$A:$A,T$1,Исход!$B:$B,$A114)/(SUMIFS(Исход!$G:$G,Исход!$A:$A,T$1,Исход!$B:$B,$A114)+SUMIFS(Исход!$D:$D,Исход!$A:$A,T$1,Исход!$B:$B,$A114)),0)</f>
        <v>0</v>
      </c>
      <c r="U114" s="168">
        <v>0</v>
      </c>
      <c r="V114" s="168">
        <v>0</v>
      </c>
      <c r="W114" s="168">
        <v>0</v>
      </c>
      <c r="X114" s="168">
        <v>0</v>
      </c>
      <c r="Y114" s="168">
        <v>0</v>
      </c>
      <c r="Z114" s="168">
        <v>0</v>
      </c>
      <c r="AA114" s="168">
        <v>0</v>
      </c>
      <c r="AB114" s="168">
        <v>0</v>
      </c>
      <c r="AC114" s="168">
        <v>0</v>
      </c>
      <c r="AD114" s="168">
        <v>0</v>
      </c>
      <c r="AE114" s="168">
        <v>0</v>
      </c>
      <c r="AF114" s="168">
        <v>0</v>
      </c>
      <c r="AG114" s="169">
        <v>0</v>
      </c>
    </row>
    <row r="115" spans="1:33" hidden="1" outlineLevel="1" x14ac:dyDescent="0.25">
      <c r="A115" s="102">
        <v>0.25</v>
      </c>
      <c r="B115" s="128">
        <v>0.27083333333333331</v>
      </c>
      <c r="C115" s="167">
        <f>IFERROR(SUMIFS(Исход!$G:$G,Исход!$A:$A,C$1,Исход!$B:$B,$A115)/(SUMIFS(Исход!$G:$G,Исход!$A:$A,C$1,Исход!$B:$B,$A115)+SUMIFS(Исход!$D:$D,Исход!$A:$A,C$1,Исход!$B:$B,$A115)),0)</f>
        <v>0</v>
      </c>
      <c r="D115" s="168">
        <f>IFERROR(SUMIFS(Исход!$G:$G,Исход!$A:$A,D$1,Исход!$B:$B,$A115)/(SUMIFS(Исход!$G:$G,Исход!$A:$A,D$1,Исход!$B:$B,$A115)+SUMIFS(Исход!$D:$D,Исход!$A:$A,D$1,Исход!$B:$B,$A115)),0)</f>
        <v>0</v>
      </c>
      <c r="E115" s="168">
        <f>IFERROR(SUMIFS(Исход!$G:$G,Исход!$A:$A,E$1,Исход!$B:$B,$A115)/(SUMIFS(Исход!$G:$G,Исход!$A:$A,E$1,Исход!$B:$B,$A115)+SUMIFS(Исход!$D:$D,Исход!$A:$A,E$1,Исход!$B:$B,$A115)),0)</f>
        <v>0</v>
      </c>
      <c r="F115" s="168">
        <f>IFERROR(SUMIFS(Исход!$G:$G,Исход!$A:$A,F$1,Исход!$B:$B,$A115)/(SUMIFS(Исход!$G:$G,Исход!$A:$A,F$1,Исход!$B:$B,$A115)+SUMIFS(Исход!$D:$D,Исход!$A:$A,F$1,Исход!$B:$B,$A115)),0)</f>
        <v>0</v>
      </c>
      <c r="G115" s="168">
        <f>IFERROR(SUMIFS(Исход!$G:$G,Исход!$A:$A,G$1,Исход!$B:$B,$A115)/(SUMIFS(Исход!$G:$G,Исход!$A:$A,G$1,Исход!$B:$B,$A115)+SUMIFS(Исход!$D:$D,Исход!$A:$A,G$1,Исход!$B:$B,$A115)),0)</f>
        <v>0</v>
      </c>
      <c r="H115" s="168">
        <f>IFERROR(SUMIFS(Исход!$G:$G,Исход!$A:$A,H$1,Исход!$B:$B,$A115)/(SUMIFS(Исход!$G:$G,Исход!$A:$A,H$1,Исход!$B:$B,$A115)+SUMIFS(Исход!$D:$D,Исход!$A:$A,H$1,Исход!$B:$B,$A115)),0)</f>
        <v>0</v>
      </c>
      <c r="I115" s="168">
        <f>IFERROR(SUMIFS(Исход!$G:$G,Исход!$A:$A,I$1,Исход!$B:$B,$A115)/(SUMIFS(Исход!$G:$G,Исход!$A:$A,I$1,Исход!$B:$B,$A115)+SUMIFS(Исход!$D:$D,Исход!$A:$A,I$1,Исход!$B:$B,$A115)),0)</f>
        <v>0</v>
      </c>
      <c r="J115" s="168">
        <f>IFERROR(SUMIFS(Исход!$G:$G,Исход!$A:$A,J$1,Исход!$B:$B,$A115)/(SUMIFS(Исход!$G:$G,Исход!$A:$A,J$1,Исход!$B:$B,$A115)+SUMIFS(Исход!$D:$D,Исход!$A:$A,J$1,Исход!$B:$B,$A115)),0)</f>
        <v>0</v>
      </c>
      <c r="K115" s="168">
        <f>IFERROR(SUMIFS(Исход!$G:$G,Исход!$A:$A,K$1,Исход!$B:$B,$A115)/(SUMIFS(Исход!$G:$G,Исход!$A:$A,K$1,Исход!$B:$B,$A115)+SUMIFS(Исход!$D:$D,Исход!$A:$A,K$1,Исход!$B:$B,$A115)),0)</f>
        <v>0</v>
      </c>
      <c r="L115" s="168">
        <f>IFERROR(SUMIFS(Исход!$G:$G,Исход!$A:$A,L$1,Исход!$B:$B,$A115)/(SUMIFS(Исход!$G:$G,Исход!$A:$A,L$1,Исход!$B:$B,$A115)+SUMIFS(Исход!$D:$D,Исход!$A:$A,L$1,Исход!$B:$B,$A115)),0)</f>
        <v>0</v>
      </c>
      <c r="M115" s="168">
        <f>IFERROR(SUMIFS(Исход!$G:$G,Исход!$A:$A,M$1,Исход!$B:$B,$A115)/(SUMIFS(Исход!$G:$G,Исход!$A:$A,M$1,Исход!$B:$B,$A115)+SUMIFS(Исход!$D:$D,Исход!$A:$A,M$1,Исход!$B:$B,$A115)),0)</f>
        <v>0</v>
      </c>
      <c r="N115" s="168">
        <f>IFERROR(SUMIFS(Исход!$G:$G,Исход!$A:$A,N$1,Исход!$B:$B,$A115)/(SUMIFS(Исход!$G:$G,Исход!$A:$A,N$1,Исход!$B:$B,$A115)+SUMIFS(Исход!$D:$D,Исход!$A:$A,N$1,Исход!$B:$B,$A115)),0)</f>
        <v>0</v>
      </c>
      <c r="O115" s="168">
        <f>IFERROR(SUMIFS(Исход!$G:$G,Исход!$A:$A,O$1,Исход!$B:$B,$A115)/(SUMIFS(Исход!$G:$G,Исход!$A:$A,O$1,Исход!$B:$B,$A115)+SUMIFS(Исход!$D:$D,Исход!$A:$A,O$1,Исход!$B:$B,$A115)),0)</f>
        <v>0</v>
      </c>
      <c r="P115" s="168">
        <f>IFERROR(SUMIFS(Исход!$G:$G,Исход!$A:$A,P$1,Исход!$B:$B,$A115)/(SUMIFS(Исход!$G:$G,Исход!$A:$A,P$1,Исход!$B:$B,$A115)+SUMIFS(Исход!$D:$D,Исход!$A:$A,P$1,Исход!$B:$B,$A115)),0)</f>
        <v>0</v>
      </c>
      <c r="Q115" s="168">
        <f>IFERROR(SUMIFS(Исход!$G:$G,Исход!$A:$A,Q$1,Исход!$B:$B,$A115)/(SUMIFS(Исход!$G:$G,Исход!$A:$A,Q$1,Исход!$B:$B,$A115)+SUMIFS(Исход!$D:$D,Исход!$A:$A,Q$1,Исход!$B:$B,$A115)),0)</f>
        <v>0</v>
      </c>
      <c r="R115" s="168">
        <f>IFERROR(SUMIFS(Исход!$G:$G,Исход!$A:$A,R$1,Исход!$B:$B,$A115)/(SUMIFS(Исход!$G:$G,Исход!$A:$A,R$1,Исход!$B:$B,$A115)+SUMIFS(Исход!$D:$D,Исход!$A:$A,R$1,Исход!$B:$B,$A115)),0)</f>
        <v>0</v>
      </c>
      <c r="S115" s="168">
        <f>IFERROR(SUMIFS(Исход!$G:$G,Исход!$A:$A,S$1,Исход!$B:$B,$A115)/(SUMIFS(Исход!$G:$G,Исход!$A:$A,S$1,Исход!$B:$B,$A115)+SUMIFS(Исход!$D:$D,Исход!$A:$A,S$1,Исход!$B:$B,$A115)),0)</f>
        <v>0</v>
      </c>
      <c r="T115" s="168">
        <f>IFERROR(SUMIFS(Исход!$G:$G,Исход!$A:$A,T$1,Исход!$B:$B,$A115)/(SUMIFS(Исход!$G:$G,Исход!$A:$A,T$1,Исход!$B:$B,$A115)+SUMIFS(Исход!$D:$D,Исход!$A:$A,T$1,Исход!$B:$B,$A115)),0)</f>
        <v>0</v>
      </c>
      <c r="U115" s="168">
        <v>0</v>
      </c>
      <c r="V115" s="168">
        <v>0</v>
      </c>
      <c r="W115" s="168">
        <v>0</v>
      </c>
      <c r="X115" s="168">
        <v>0</v>
      </c>
      <c r="Y115" s="168">
        <v>0</v>
      </c>
      <c r="Z115" s="168">
        <v>0</v>
      </c>
      <c r="AA115" s="168">
        <v>0</v>
      </c>
      <c r="AB115" s="168">
        <v>0</v>
      </c>
      <c r="AC115" s="168">
        <v>0</v>
      </c>
      <c r="AD115" s="168">
        <v>0</v>
      </c>
      <c r="AE115" s="168">
        <v>0</v>
      </c>
      <c r="AF115" s="168">
        <v>0</v>
      </c>
      <c r="AG115" s="169">
        <v>0</v>
      </c>
    </row>
    <row r="116" spans="1:33" ht="15.75" hidden="1" outlineLevel="1" thickBot="1" x14ac:dyDescent="0.3">
      <c r="A116" s="104">
        <v>0.27083333333333331</v>
      </c>
      <c r="B116" s="131">
        <v>0.29166666666666669</v>
      </c>
      <c r="C116" s="170">
        <f>IFERROR(SUMIFS(Исход!$G:$G,Исход!$A:$A,C$1,Исход!$B:$B,$A116)/(SUMIFS(Исход!$G:$G,Исход!$A:$A,C$1,Исход!$B:$B,$A116)+SUMIFS(Исход!$D:$D,Исход!$A:$A,C$1,Исход!$B:$B,$A116)),0)</f>
        <v>0</v>
      </c>
      <c r="D116" s="171">
        <f>IFERROR(SUMIFS(Исход!$G:$G,Исход!$A:$A,D$1,Исход!$B:$B,$A116)/(SUMIFS(Исход!$G:$G,Исход!$A:$A,D$1,Исход!$B:$B,$A116)+SUMIFS(Исход!$D:$D,Исход!$A:$A,D$1,Исход!$B:$B,$A116)),0)</f>
        <v>0</v>
      </c>
      <c r="E116" s="171">
        <f>IFERROR(SUMIFS(Исход!$G:$G,Исход!$A:$A,E$1,Исход!$B:$B,$A116)/(SUMIFS(Исход!$G:$G,Исход!$A:$A,E$1,Исход!$B:$B,$A116)+SUMIFS(Исход!$D:$D,Исход!$A:$A,E$1,Исход!$B:$B,$A116)),0)</f>
        <v>0</v>
      </c>
      <c r="F116" s="171">
        <f>IFERROR(SUMIFS(Исход!$G:$G,Исход!$A:$A,F$1,Исход!$B:$B,$A116)/(SUMIFS(Исход!$G:$G,Исход!$A:$A,F$1,Исход!$B:$B,$A116)+SUMIFS(Исход!$D:$D,Исход!$A:$A,F$1,Исход!$B:$B,$A116)),0)</f>
        <v>0</v>
      </c>
      <c r="G116" s="171">
        <f>IFERROR(SUMIFS(Исход!$G:$G,Исход!$A:$A,G$1,Исход!$B:$B,$A116)/(SUMIFS(Исход!$G:$G,Исход!$A:$A,G$1,Исход!$B:$B,$A116)+SUMIFS(Исход!$D:$D,Исход!$A:$A,G$1,Исход!$B:$B,$A116)),0)</f>
        <v>0</v>
      </c>
      <c r="H116" s="171">
        <f>IFERROR(SUMIFS(Исход!$G:$G,Исход!$A:$A,H$1,Исход!$B:$B,$A116)/(SUMIFS(Исход!$G:$G,Исход!$A:$A,H$1,Исход!$B:$B,$A116)+SUMIFS(Исход!$D:$D,Исход!$A:$A,H$1,Исход!$B:$B,$A116)),0)</f>
        <v>0</v>
      </c>
      <c r="I116" s="171">
        <f>IFERROR(SUMIFS(Исход!$G:$G,Исход!$A:$A,I$1,Исход!$B:$B,$A116)/(SUMIFS(Исход!$G:$G,Исход!$A:$A,I$1,Исход!$B:$B,$A116)+SUMIFS(Исход!$D:$D,Исход!$A:$A,I$1,Исход!$B:$B,$A116)),0)</f>
        <v>0</v>
      </c>
      <c r="J116" s="171">
        <f>IFERROR(SUMIFS(Исход!$G:$G,Исход!$A:$A,J$1,Исход!$B:$B,$A116)/(SUMIFS(Исход!$G:$G,Исход!$A:$A,J$1,Исход!$B:$B,$A116)+SUMIFS(Исход!$D:$D,Исход!$A:$A,J$1,Исход!$B:$B,$A116)),0)</f>
        <v>0</v>
      </c>
      <c r="K116" s="171">
        <f>IFERROR(SUMIFS(Исход!$G:$G,Исход!$A:$A,K$1,Исход!$B:$B,$A116)/(SUMIFS(Исход!$G:$G,Исход!$A:$A,K$1,Исход!$B:$B,$A116)+SUMIFS(Исход!$D:$D,Исход!$A:$A,K$1,Исход!$B:$B,$A116)),0)</f>
        <v>0</v>
      </c>
      <c r="L116" s="171">
        <f>IFERROR(SUMIFS(Исход!$G:$G,Исход!$A:$A,L$1,Исход!$B:$B,$A116)/(SUMIFS(Исход!$G:$G,Исход!$A:$A,L$1,Исход!$B:$B,$A116)+SUMIFS(Исход!$D:$D,Исход!$A:$A,L$1,Исход!$B:$B,$A116)),0)</f>
        <v>0</v>
      </c>
      <c r="M116" s="171">
        <f>IFERROR(SUMIFS(Исход!$G:$G,Исход!$A:$A,M$1,Исход!$B:$B,$A116)/(SUMIFS(Исход!$G:$G,Исход!$A:$A,M$1,Исход!$B:$B,$A116)+SUMIFS(Исход!$D:$D,Исход!$A:$A,M$1,Исход!$B:$B,$A116)),0)</f>
        <v>0</v>
      </c>
      <c r="N116" s="171">
        <f>IFERROR(SUMIFS(Исход!$G:$G,Исход!$A:$A,N$1,Исход!$B:$B,$A116)/(SUMIFS(Исход!$G:$G,Исход!$A:$A,N$1,Исход!$B:$B,$A116)+SUMIFS(Исход!$D:$D,Исход!$A:$A,N$1,Исход!$B:$B,$A116)),0)</f>
        <v>0</v>
      </c>
      <c r="O116" s="171">
        <f>IFERROR(SUMIFS(Исход!$G:$G,Исход!$A:$A,O$1,Исход!$B:$B,$A116)/(SUMIFS(Исход!$G:$G,Исход!$A:$A,O$1,Исход!$B:$B,$A116)+SUMIFS(Исход!$D:$D,Исход!$A:$A,O$1,Исход!$B:$B,$A116)),0)</f>
        <v>0</v>
      </c>
      <c r="P116" s="171">
        <f>IFERROR(SUMIFS(Исход!$G:$G,Исход!$A:$A,P$1,Исход!$B:$B,$A116)/(SUMIFS(Исход!$G:$G,Исход!$A:$A,P$1,Исход!$B:$B,$A116)+SUMIFS(Исход!$D:$D,Исход!$A:$A,P$1,Исход!$B:$B,$A116)),0)</f>
        <v>0</v>
      </c>
      <c r="Q116" s="171">
        <f>IFERROR(SUMIFS(Исход!$G:$G,Исход!$A:$A,Q$1,Исход!$B:$B,$A116)/(SUMIFS(Исход!$G:$G,Исход!$A:$A,Q$1,Исход!$B:$B,$A116)+SUMIFS(Исход!$D:$D,Исход!$A:$A,Q$1,Исход!$B:$B,$A116)),0)</f>
        <v>0</v>
      </c>
      <c r="R116" s="171">
        <f>IFERROR(SUMIFS(Исход!$G:$G,Исход!$A:$A,R$1,Исход!$B:$B,$A116)/(SUMIFS(Исход!$G:$G,Исход!$A:$A,R$1,Исход!$B:$B,$A116)+SUMIFS(Исход!$D:$D,Исход!$A:$A,R$1,Исход!$B:$B,$A116)),0)</f>
        <v>0</v>
      </c>
      <c r="S116" s="171">
        <f>IFERROR(SUMIFS(Исход!$G:$G,Исход!$A:$A,S$1,Исход!$B:$B,$A116)/(SUMIFS(Исход!$G:$G,Исход!$A:$A,S$1,Исход!$B:$B,$A116)+SUMIFS(Исход!$D:$D,Исход!$A:$A,S$1,Исход!$B:$B,$A116)),0)</f>
        <v>0</v>
      </c>
      <c r="T116" s="171">
        <f>IFERROR(SUMIFS(Исход!$G:$G,Исход!$A:$A,T$1,Исход!$B:$B,$A116)/(SUMIFS(Исход!$G:$G,Исход!$A:$A,T$1,Исход!$B:$B,$A116)+SUMIFS(Исход!$D:$D,Исход!$A:$A,T$1,Исход!$B:$B,$A116)),0)</f>
        <v>0</v>
      </c>
      <c r="U116" s="171">
        <v>0</v>
      </c>
      <c r="V116" s="171">
        <v>0</v>
      </c>
      <c r="W116" s="171">
        <v>0</v>
      </c>
      <c r="X116" s="171">
        <v>0</v>
      </c>
      <c r="Y116" s="171">
        <v>0</v>
      </c>
      <c r="Z116" s="171">
        <v>0</v>
      </c>
      <c r="AA116" s="171">
        <v>0</v>
      </c>
      <c r="AB116" s="171">
        <v>0</v>
      </c>
      <c r="AC116" s="171">
        <v>0</v>
      </c>
      <c r="AD116" s="171">
        <v>0</v>
      </c>
      <c r="AE116" s="171">
        <v>0</v>
      </c>
      <c r="AF116" s="171">
        <v>0</v>
      </c>
      <c r="AG116" s="172">
        <v>0</v>
      </c>
    </row>
    <row r="117" spans="1:33" hidden="1" outlineLevel="1" x14ac:dyDescent="0.25">
      <c r="A117" s="106">
        <v>0.29166666666666669</v>
      </c>
      <c r="B117" s="124">
        <v>0.3125</v>
      </c>
      <c r="C117" s="158">
        <f>IFERROR(SUMIFS(Исход!$G:$G,Исход!$A:$A,C$1,Исход!$B:$B,$A117)/(SUMIFS(Исход!$G:$G,Исход!$A:$A,C$1,Исход!$B:$B,$A117)+SUMIFS(Исход!$D:$D,Исход!$A:$A,C$1,Исход!$B:$B,$A117)),0)</f>
        <v>0</v>
      </c>
      <c r="D117" s="157">
        <f>IFERROR(SUMIFS(Исход!$G:$G,Исход!$A:$A,D$1,Исход!$B:$B,$A117)/(SUMIFS(Исход!$G:$G,Исход!$A:$A,D$1,Исход!$B:$B,$A117)+SUMIFS(Исход!$D:$D,Исход!$A:$A,D$1,Исход!$B:$B,$A117)),0)</f>
        <v>0</v>
      </c>
      <c r="E117" s="157">
        <f>IFERROR(SUMIFS(Исход!$G:$G,Исход!$A:$A,E$1,Исход!$B:$B,$A117)/(SUMIFS(Исход!$G:$G,Исход!$A:$A,E$1,Исход!$B:$B,$A117)+SUMIFS(Исход!$D:$D,Исход!$A:$A,E$1,Исход!$B:$B,$A117)),0)</f>
        <v>0</v>
      </c>
      <c r="F117" s="157">
        <f>IFERROR(SUMIFS(Исход!$G:$G,Исход!$A:$A,F$1,Исход!$B:$B,$A117)/(SUMIFS(Исход!$G:$G,Исход!$A:$A,F$1,Исход!$B:$B,$A117)+SUMIFS(Исход!$D:$D,Исход!$A:$A,F$1,Исход!$B:$B,$A117)),0)</f>
        <v>0</v>
      </c>
      <c r="G117" s="157">
        <f>IFERROR(SUMIFS(Исход!$G:$G,Исход!$A:$A,G$1,Исход!$B:$B,$A117)/(SUMIFS(Исход!$G:$G,Исход!$A:$A,G$1,Исход!$B:$B,$A117)+SUMIFS(Исход!$D:$D,Исход!$A:$A,G$1,Исход!$B:$B,$A117)),0)</f>
        <v>0</v>
      </c>
      <c r="H117" s="157">
        <f>IFERROR(SUMIFS(Исход!$G:$G,Исход!$A:$A,H$1,Исход!$B:$B,$A117)/(SUMIFS(Исход!$G:$G,Исход!$A:$A,H$1,Исход!$B:$B,$A117)+SUMIFS(Исход!$D:$D,Исход!$A:$A,H$1,Исход!$B:$B,$A117)),0)</f>
        <v>0</v>
      </c>
      <c r="I117" s="157">
        <f>IFERROR(SUMIFS(Исход!$G:$G,Исход!$A:$A,I$1,Исход!$B:$B,$A117)/(SUMIFS(Исход!$G:$G,Исход!$A:$A,I$1,Исход!$B:$B,$A117)+SUMIFS(Исход!$D:$D,Исход!$A:$A,I$1,Исход!$B:$B,$A117)),0)</f>
        <v>0</v>
      </c>
      <c r="J117" s="157">
        <f>IFERROR(SUMIFS(Исход!$G:$G,Исход!$A:$A,J$1,Исход!$B:$B,$A117)/(SUMIFS(Исход!$G:$G,Исход!$A:$A,J$1,Исход!$B:$B,$A117)+SUMIFS(Исход!$D:$D,Исход!$A:$A,J$1,Исход!$B:$B,$A117)),0)</f>
        <v>0</v>
      </c>
      <c r="K117" s="157">
        <f>IFERROR(SUMIFS(Исход!$G:$G,Исход!$A:$A,K$1,Исход!$B:$B,$A117)/(SUMIFS(Исход!$G:$G,Исход!$A:$A,K$1,Исход!$B:$B,$A117)+SUMIFS(Исход!$D:$D,Исход!$A:$A,K$1,Исход!$B:$B,$A117)),0)</f>
        <v>0</v>
      </c>
      <c r="L117" s="157">
        <f>IFERROR(SUMIFS(Исход!$G:$G,Исход!$A:$A,L$1,Исход!$B:$B,$A117)/(SUMIFS(Исход!$G:$G,Исход!$A:$A,L$1,Исход!$B:$B,$A117)+SUMIFS(Исход!$D:$D,Исход!$A:$A,L$1,Исход!$B:$B,$A117)),0)</f>
        <v>0</v>
      </c>
      <c r="M117" s="157">
        <f>IFERROR(SUMIFS(Исход!$G:$G,Исход!$A:$A,M$1,Исход!$B:$B,$A117)/(SUMIFS(Исход!$G:$G,Исход!$A:$A,M$1,Исход!$B:$B,$A117)+SUMIFS(Исход!$D:$D,Исход!$A:$A,M$1,Исход!$B:$B,$A117)),0)</f>
        <v>0</v>
      </c>
      <c r="N117" s="157">
        <f>IFERROR(SUMIFS(Исход!$G:$G,Исход!$A:$A,N$1,Исход!$B:$B,$A117)/(SUMIFS(Исход!$G:$G,Исход!$A:$A,N$1,Исход!$B:$B,$A117)+SUMIFS(Исход!$D:$D,Исход!$A:$A,N$1,Исход!$B:$B,$A117)),0)</f>
        <v>0</v>
      </c>
      <c r="O117" s="157">
        <f>IFERROR(SUMIFS(Исход!$G:$G,Исход!$A:$A,O$1,Исход!$B:$B,$A117)/(SUMIFS(Исход!$G:$G,Исход!$A:$A,O$1,Исход!$B:$B,$A117)+SUMIFS(Исход!$D:$D,Исход!$A:$A,O$1,Исход!$B:$B,$A117)),0)</f>
        <v>0</v>
      </c>
      <c r="P117" s="157">
        <f>IFERROR(SUMIFS(Исход!$G:$G,Исход!$A:$A,P$1,Исход!$B:$B,$A117)/(SUMIFS(Исход!$G:$G,Исход!$A:$A,P$1,Исход!$B:$B,$A117)+SUMIFS(Исход!$D:$D,Исход!$A:$A,P$1,Исход!$B:$B,$A117)),0)</f>
        <v>0</v>
      </c>
      <c r="Q117" s="157">
        <f>IFERROR(SUMIFS(Исход!$G:$G,Исход!$A:$A,Q$1,Исход!$B:$B,$A117)/(SUMIFS(Исход!$G:$G,Исход!$A:$A,Q$1,Исход!$B:$B,$A117)+SUMIFS(Исход!$D:$D,Исход!$A:$A,Q$1,Исход!$B:$B,$A117)),0)</f>
        <v>0</v>
      </c>
      <c r="R117" s="157">
        <f>IFERROR(SUMIFS(Исход!$G:$G,Исход!$A:$A,R$1,Исход!$B:$B,$A117)/(SUMIFS(Исход!$G:$G,Исход!$A:$A,R$1,Исход!$B:$B,$A117)+SUMIFS(Исход!$D:$D,Исход!$A:$A,R$1,Исход!$B:$B,$A117)),0)</f>
        <v>0</v>
      </c>
      <c r="S117" s="157">
        <f>IFERROR(SUMIFS(Исход!$G:$G,Исход!$A:$A,S$1,Исход!$B:$B,$A117)/(SUMIFS(Исход!$G:$G,Исход!$A:$A,S$1,Исход!$B:$B,$A117)+SUMIFS(Исход!$D:$D,Исход!$A:$A,S$1,Исход!$B:$B,$A117)),0)</f>
        <v>0</v>
      </c>
      <c r="T117" s="157">
        <f>IFERROR(SUMIFS(Исход!$G:$G,Исход!$A:$A,T$1,Исход!$B:$B,$A117)/(SUMIFS(Исход!$G:$G,Исход!$A:$A,T$1,Исход!$B:$B,$A117)+SUMIFS(Исход!$D:$D,Исход!$A:$A,T$1,Исход!$B:$B,$A117)),0)</f>
        <v>0</v>
      </c>
      <c r="U117" s="157">
        <f>IFERROR(SUMIFS(Исход!$G:$G,Исход!$A:$A,U$1,Исход!$B:$B,$A117)/(SUMIFS(Исход!$G:$G,Исход!$A:$A,U$1,Исход!$B:$B,$A117)+SUMIFS(Исход!$D:$D,Исход!$A:$A,U$1,Исход!$B:$B,$A117)),0)</f>
        <v>0</v>
      </c>
      <c r="V117" s="157">
        <f>IFERROR(SUMIFS(Исход!$G:$G,Исход!$A:$A,V$1,Исход!$B:$B,$A117)/(SUMIFS(Исход!$G:$G,Исход!$A:$A,V$1,Исход!$B:$B,$A117)+SUMIFS(Исход!$D:$D,Исход!$A:$A,V$1,Исход!$B:$B,$A117)),0)</f>
        <v>0</v>
      </c>
      <c r="W117" s="157">
        <f>IFERROR(SUMIFS(Исход!$G:$G,Исход!$A:$A,W$1,Исход!$B:$B,$A117)/(SUMIFS(Исход!$G:$G,Исход!$A:$A,W$1,Исход!$B:$B,$A117)+SUMIFS(Исход!$D:$D,Исход!$A:$A,W$1,Исход!$B:$B,$A117)),0)</f>
        <v>0</v>
      </c>
      <c r="X117" s="157">
        <f>IFERROR(SUMIFS(Исход!$G:$G,Исход!$A:$A,X$1,Исход!$B:$B,$A117)/(SUMIFS(Исход!$G:$G,Исход!$A:$A,X$1,Исход!$B:$B,$A117)+SUMIFS(Исход!$D:$D,Исход!$A:$A,X$1,Исход!$B:$B,$A117)),0)</f>
        <v>0</v>
      </c>
      <c r="Y117" s="157">
        <f>IFERROR(SUMIFS(Исход!$G:$G,Исход!$A:$A,Y$1,Исход!$B:$B,$A117)/(SUMIFS(Исход!$G:$G,Исход!$A:$A,Y$1,Исход!$B:$B,$A117)+SUMIFS(Исход!$D:$D,Исход!$A:$A,Y$1,Исход!$B:$B,$A117)),0)</f>
        <v>0</v>
      </c>
      <c r="Z117" s="157">
        <f>IFERROR(SUMIFS(Исход!$G:$G,Исход!$A:$A,Z$1,Исход!$B:$B,$A117)/(SUMIFS(Исход!$G:$G,Исход!$A:$A,Z$1,Исход!$B:$B,$A117)+SUMIFS(Исход!$D:$D,Исход!$A:$A,Z$1,Исход!$B:$B,$A117)),0)</f>
        <v>0</v>
      </c>
      <c r="AA117" s="157">
        <f>IFERROR(SUMIFS(Исход!$G:$G,Исход!$A:$A,AA$1,Исход!$B:$B,$A117)/(SUMIFS(Исход!$G:$G,Исход!$A:$A,AA$1,Исход!$B:$B,$A117)+SUMIFS(Исход!$D:$D,Исход!$A:$A,AA$1,Исход!$B:$B,$A117)),0)</f>
        <v>0</v>
      </c>
      <c r="AB117" s="157">
        <f>IFERROR(SUMIFS(Исход!$G:$G,Исход!$A:$A,AB$1,Исход!$B:$B,$A117)/(SUMIFS(Исход!$G:$G,Исход!$A:$A,AB$1,Исход!$B:$B,$A117)+SUMIFS(Исход!$D:$D,Исход!$A:$A,AB$1,Исход!$B:$B,$A117)),0)</f>
        <v>0</v>
      </c>
      <c r="AC117" s="157">
        <f>IFERROR(SUMIFS(Исход!$G:$G,Исход!$A:$A,AC$1,Исход!$B:$B,$A117)/(SUMIFS(Исход!$G:$G,Исход!$A:$A,AC$1,Исход!$B:$B,$A117)+SUMIFS(Исход!$D:$D,Исход!$A:$A,AC$1,Исход!$B:$B,$A117)),0)</f>
        <v>0</v>
      </c>
      <c r="AD117" s="157">
        <f>IFERROR(SUMIFS(Исход!$G:$G,Исход!$A:$A,AD$1,Исход!$B:$B,$A117)/(SUMIFS(Исход!$G:$G,Исход!$A:$A,AD$1,Исход!$B:$B,$A117)+SUMIFS(Исход!$D:$D,Исход!$A:$A,AD$1,Исход!$B:$B,$A117)),0)</f>
        <v>0</v>
      </c>
      <c r="AE117" s="157">
        <f>IFERROR(SUMIFS(Исход!$G:$G,Исход!$A:$A,AE$1,Исход!$B:$B,$A117)/(SUMIFS(Исход!$G:$G,Исход!$A:$A,AE$1,Исход!$B:$B,$A117)+SUMIFS(Исход!$D:$D,Исход!$A:$A,AE$1,Исход!$B:$B,$A117)),0)</f>
        <v>0</v>
      </c>
      <c r="AF117" s="157">
        <f>IFERROR(SUMIFS(Исход!$G:$G,Исход!$A:$A,AF$1,Исход!$B:$B,$A117)/(SUMIFS(Исход!$G:$G,Исход!$A:$A,AF$1,Исход!$B:$B,$A117)+SUMIFS(Исход!$D:$D,Исход!$A:$A,AF$1,Исход!$B:$B,$A117)),0)</f>
        <v>0</v>
      </c>
      <c r="AG117" s="173">
        <f>IFERROR(SUMIFS(Исход!$G:$G,Исход!$A:$A,AG$1,Исход!$B:$B,$A117)/(SUMIFS(Исход!$G:$G,Исход!$A:$A,AG$1,Исход!$B:$B,$A117)+SUMIFS(Исход!$D:$D,Исход!$A:$A,AG$1,Исход!$B:$B,$A117)),0)</f>
        <v>0</v>
      </c>
    </row>
    <row r="118" spans="1:33" hidden="1" outlineLevel="1" x14ac:dyDescent="0.25">
      <c r="A118" s="103">
        <v>0.3125</v>
      </c>
      <c r="B118" s="123">
        <v>0.33333333333333331</v>
      </c>
      <c r="C118" s="159">
        <f>IFERROR(SUMIFS(Исход!$G:$G,Исход!$A:$A,C$1,Исход!$B:$B,$A118)/(SUMIFS(Исход!$G:$G,Исход!$A:$A,C$1,Исход!$B:$B,$A118)+SUMIFS(Исход!$D:$D,Исход!$A:$A,C$1,Исход!$B:$B,$A118)),0)</f>
        <v>0</v>
      </c>
      <c r="D118" s="7">
        <f>IFERROR(SUMIFS(Исход!$G:$G,Исход!$A:$A,D$1,Исход!$B:$B,$A118)/(SUMIFS(Исход!$G:$G,Исход!$A:$A,D$1,Исход!$B:$B,$A118)+SUMIFS(Исход!$D:$D,Исход!$A:$A,D$1,Исход!$B:$B,$A118)),0)</f>
        <v>0</v>
      </c>
      <c r="E118" s="7">
        <f>IFERROR(SUMIFS(Исход!$G:$G,Исход!$A:$A,E$1,Исход!$B:$B,$A118)/(SUMIFS(Исход!$G:$G,Исход!$A:$A,E$1,Исход!$B:$B,$A118)+SUMIFS(Исход!$D:$D,Исход!$A:$A,E$1,Исход!$B:$B,$A118)),0)</f>
        <v>0</v>
      </c>
      <c r="F118" s="7">
        <f>IFERROR(SUMIFS(Исход!$G:$G,Исход!$A:$A,F$1,Исход!$B:$B,$A118)/(SUMIFS(Исход!$G:$G,Исход!$A:$A,F$1,Исход!$B:$B,$A118)+SUMIFS(Исход!$D:$D,Исход!$A:$A,F$1,Исход!$B:$B,$A118)),0)</f>
        <v>0</v>
      </c>
      <c r="G118" s="7">
        <f>IFERROR(SUMIFS(Исход!$G:$G,Исход!$A:$A,G$1,Исход!$B:$B,$A118)/(SUMIFS(Исход!$G:$G,Исход!$A:$A,G$1,Исход!$B:$B,$A118)+SUMIFS(Исход!$D:$D,Исход!$A:$A,G$1,Исход!$B:$B,$A118)),0)</f>
        <v>0</v>
      </c>
      <c r="H118" s="7">
        <f>IFERROR(SUMIFS(Исход!$G:$G,Исход!$A:$A,H$1,Исход!$B:$B,$A118)/(SUMIFS(Исход!$G:$G,Исход!$A:$A,H$1,Исход!$B:$B,$A118)+SUMIFS(Исход!$D:$D,Исход!$A:$A,H$1,Исход!$B:$B,$A118)),0)</f>
        <v>0</v>
      </c>
      <c r="I118" s="7">
        <f>IFERROR(SUMIFS(Исход!$G:$G,Исход!$A:$A,I$1,Исход!$B:$B,$A118)/(SUMIFS(Исход!$G:$G,Исход!$A:$A,I$1,Исход!$B:$B,$A118)+SUMIFS(Исход!$D:$D,Исход!$A:$A,I$1,Исход!$B:$B,$A118)),0)</f>
        <v>0</v>
      </c>
      <c r="J118" s="7">
        <f>IFERROR(SUMIFS(Исход!$G:$G,Исход!$A:$A,J$1,Исход!$B:$B,$A118)/(SUMIFS(Исход!$G:$G,Исход!$A:$A,J$1,Исход!$B:$B,$A118)+SUMIFS(Исход!$D:$D,Исход!$A:$A,J$1,Исход!$B:$B,$A118)),0)</f>
        <v>0</v>
      </c>
      <c r="K118" s="7">
        <f>IFERROR(SUMIFS(Исход!$G:$G,Исход!$A:$A,K$1,Исход!$B:$B,$A118)/(SUMIFS(Исход!$G:$G,Исход!$A:$A,K$1,Исход!$B:$B,$A118)+SUMIFS(Исход!$D:$D,Исход!$A:$A,K$1,Исход!$B:$B,$A118)),0)</f>
        <v>0</v>
      </c>
      <c r="L118" s="7">
        <f>IFERROR(SUMIFS(Исход!$G:$G,Исход!$A:$A,L$1,Исход!$B:$B,$A118)/(SUMIFS(Исход!$G:$G,Исход!$A:$A,L$1,Исход!$B:$B,$A118)+SUMIFS(Исход!$D:$D,Исход!$A:$A,L$1,Исход!$B:$B,$A118)),0)</f>
        <v>0</v>
      </c>
      <c r="M118" s="7">
        <f>IFERROR(SUMIFS(Исход!$G:$G,Исход!$A:$A,M$1,Исход!$B:$B,$A118)/(SUMIFS(Исход!$G:$G,Исход!$A:$A,M$1,Исход!$B:$B,$A118)+SUMIFS(Исход!$D:$D,Исход!$A:$A,M$1,Исход!$B:$B,$A118)),0)</f>
        <v>0</v>
      </c>
      <c r="N118" s="7">
        <f>IFERROR(SUMIFS(Исход!$G:$G,Исход!$A:$A,N$1,Исход!$B:$B,$A118)/(SUMIFS(Исход!$G:$G,Исход!$A:$A,N$1,Исход!$B:$B,$A118)+SUMIFS(Исход!$D:$D,Исход!$A:$A,N$1,Исход!$B:$B,$A118)),0)</f>
        <v>0</v>
      </c>
      <c r="O118" s="7">
        <f>IFERROR(SUMIFS(Исход!$G:$G,Исход!$A:$A,O$1,Исход!$B:$B,$A118)/(SUMIFS(Исход!$G:$G,Исход!$A:$A,O$1,Исход!$B:$B,$A118)+SUMIFS(Исход!$D:$D,Исход!$A:$A,O$1,Исход!$B:$B,$A118)),0)</f>
        <v>0</v>
      </c>
      <c r="P118" s="7">
        <f>IFERROR(SUMIFS(Исход!$G:$G,Исход!$A:$A,P$1,Исход!$B:$B,$A118)/(SUMIFS(Исход!$G:$G,Исход!$A:$A,P$1,Исход!$B:$B,$A118)+SUMIFS(Исход!$D:$D,Исход!$A:$A,P$1,Исход!$B:$B,$A118)),0)</f>
        <v>0</v>
      </c>
      <c r="Q118" s="7">
        <f>IFERROR(SUMIFS(Исход!$G:$G,Исход!$A:$A,Q$1,Исход!$B:$B,$A118)/(SUMIFS(Исход!$G:$G,Исход!$A:$A,Q$1,Исход!$B:$B,$A118)+SUMIFS(Исход!$D:$D,Исход!$A:$A,Q$1,Исход!$B:$B,$A118)),0)</f>
        <v>0</v>
      </c>
      <c r="R118" s="7">
        <f>IFERROR(SUMIFS(Исход!$G:$G,Исход!$A:$A,R$1,Исход!$B:$B,$A118)/(SUMIFS(Исход!$G:$G,Исход!$A:$A,R$1,Исход!$B:$B,$A118)+SUMIFS(Исход!$D:$D,Исход!$A:$A,R$1,Исход!$B:$B,$A118)),0)</f>
        <v>0</v>
      </c>
      <c r="S118" s="7">
        <f>IFERROR(SUMIFS(Исход!$G:$G,Исход!$A:$A,S$1,Исход!$B:$B,$A118)/(SUMIFS(Исход!$G:$G,Исход!$A:$A,S$1,Исход!$B:$B,$A118)+SUMIFS(Исход!$D:$D,Исход!$A:$A,S$1,Исход!$B:$B,$A118)),0)</f>
        <v>0</v>
      </c>
      <c r="T118" s="7">
        <f>IFERROR(SUMIFS(Исход!$G:$G,Исход!$A:$A,T$1,Исход!$B:$B,$A118)/(SUMIFS(Исход!$G:$G,Исход!$A:$A,T$1,Исход!$B:$B,$A118)+SUMIFS(Исход!$D:$D,Исход!$A:$A,T$1,Исход!$B:$B,$A118)),0)</f>
        <v>0</v>
      </c>
      <c r="U118" s="7">
        <f>IFERROR(SUMIFS(Исход!$G:$G,Исход!$A:$A,U$1,Исход!$B:$B,$A118)/(SUMIFS(Исход!$G:$G,Исход!$A:$A,U$1,Исход!$B:$B,$A118)+SUMIFS(Исход!$D:$D,Исход!$A:$A,U$1,Исход!$B:$B,$A118)),0)</f>
        <v>0</v>
      </c>
      <c r="V118" s="7">
        <f>IFERROR(SUMIFS(Исход!$G:$G,Исход!$A:$A,V$1,Исход!$B:$B,$A118)/(SUMIFS(Исход!$G:$G,Исход!$A:$A,V$1,Исход!$B:$B,$A118)+SUMIFS(Исход!$D:$D,Исход!$A:$A,V$1,Исход!$B:$B,$A118)),0)</f>
        <v>0</v>
      </c>
      <c r="W118" s="7">
        <f>IFERROR(SUMIFS(Исход!$G:$G,Исход!$A:$A,W$1,Исход!$B:$B,$A118)/(SUMIFS(Исход!$G:$G,Исход!$A:$A,W$1,Исход!$B:$B,$A118)+SUMIFS(Исход!$D:$D,Исход!$A:$A,W$1,Исход!$B:$B,$A118)),0)</f>
        <v>0</v>
      </c>
      <c r="X118" s="7">
        <f>IFERROR(SUMIFS(Исход!$G:$G,Исход!$A:$A,X$1,Исход!$B:$B,$A118)/(SUMIFS(Исход!$G:$G,Исход!$A:$A,X$1,Исход!$B:$B,$A118)+SUMIFS(Исход!$D:$D,Исход!$A:$A,X$1,Исход!$B:$B,$A118)),0)</f>
        <v>0</v>
      </c>
      <c r="Y118" s="7">
        <f>IFERROR(SUMIFS(Исход!$G:$G,Исход!$A:$A,Y$1,Исход!$B:$B,$A118)/(SUMIFS(Исход!$G:$G,Исход!$A:$A,Y$1,Исход!$B:$B,$A118)+SUMIFS(Исход!$D:$D,Исход!$A:$A,Y$1,Исход!$B:$B,$A118)),0)</f>
        <v>0</v>
      </c>
      <c r="Z118" s="7">
        <f>IFERROR(SUMIFS(Исход!$G:$G,Исход!$A:$A,Z$1,Исход!$B:$B,$A118)/(SUMIFS(Исход!$G:$G,Исход!$A:$A,Z$1,Исход!$B:$B,$A118)+SUMIFS(Исход!$D:$D,Исход!$A:$A,Z$1,Исход!$B:$B,$A118)),0)</f>
        <v>0</v>
      </c>
      <c r="AA118" s="7">
        <f>IFERROR(SUMIFS(Исход!$G:$G,Исход!$A:$A,AA$1,Исход!$B:$B,$A118)/(SUMIFS(Исход!$G:$G,Исход!$A:$A,AA$1,Исход!$B:$B,$A118)+SUMIFS(Исход!$D:$D,Исход!$A:$A,AA$1,Исход!$B:$B,$A118)),0)</f>
        <v>0</v>
      </c>
      <c r="AB118" s="7">
        <f>IFERROR(SUMIFS(Исход!$G:$G,Исход!$A:$A,AB$1,Исход!$B:$B,$A118)/(SUMIFS(Исход!$G:$G,Исход!$A:$A,AB$1,Исход!$B:$B,$A118)+SUMIFS(Исход!$D:$D,Исход!$A:$A,AB$1,Исход!$B:$B,$A118)),0)</f>
        <v>0</v>
      </c>
      <c r="AC118" s="7">
        <f>IFERROR(SUMIFS(Исход!$G:$G,Исход!$A:$A,AC$1,Исход!$B:$B,$A118)/(SUMIFS(Исход!$G:$G,Исход!$A:$A,AC$1,Исход!$B:$B,$A118)+SUMIFS(Исход!$D:$D,Исход!$A:$A,AC$1,Исход!$B:$B,$A118)),0)</f>
        <v>0</v>
      </c>
      <c r="AD118" s="7">
        <f>IFERROR(SUMIFS(Исход!$G:$G,Исход!$A:$A,AD$1,Исход!$B:$B,$A118)/(SUMIFS(Исход!$G:$G,Исход!$A:$A,AD$1,Исход!$B:$B,$A118)+SUMIFS(Исход!$D:$D,Исход!$A:$A,AD$1,Исход!$B:$B,$A118)),0)</f>
        <v>0</v>
      </c>
      <c r="AE118" s="7">
        <f>IFERROR(SUMIFS(Исход!$G:$G,Исход!$A:$A,AE$1,Исход!$B:$B,$A118)/(SUMIFS(Исход!$G:$G,Исход!$A:$A,AE$1,Исход!$B:$B,$A118)+SUMIFS(Исход!$D:$D,Исход!$A:$A,AE$1,Исход!$B:$B,$A118)),0)</f>
        <v>0</v>
      </c>
      <c r="AF118" s="7">
        <f>IFERROR(SUMIFS(Исход!$G:$G,Исход!$A:$A,AF$1,Исход!$B:$B,$A118)/(SUMIFS(Исход!$G:$G,Исход!$A:$A,AF$1,Исход!$B:$B,$A118)+SUMIFS(Исход!$D:$D,Исход!$A:$A,AF$1,Исход!$B:$B,$A118)),0)</f>
        <v>0</v>
      </c>
      <c r="AG118" s="160">
        <f>IFERROR(SUMIFS(Исход!$G:$G,Исход!$A:$A,AG$1,Исход!$B:$B,$A118)/(SUMIFS(Исход!$G:$G,Исход!$A:$A,AG$1,Исход!$B:$B,$A118)+SUMIFS(Исход!$D:$D,Исход!$A:$A,AG$1,Исход!$B:$B,$A118)),0)</f>
        <v>0</v>
      </c>
    </row>
    <row r="119" spans="1:33" hidden="1" outlineLevel="1" x14ac:dyDescent="0.25">
      <c r="A119" s="103">
        <v>0.33333333333333331</v>
      </c>
      <c r="B119" s="123">
        <v>0.35416666666666669</v>
      </c>
      <c r="C119" s="159">
        <f>IFERROR(SUMIFS(Исход!$G:$G,Исход!$A:$A,C$1,Исход!$B:$B,$A119)/(SUMIFS(Исход!$G:$G,Исход!$A:$A,C$1,Исход!$B:$B,$A119)+SUMIFS(Исход!$D:$D,Исход!$A:$A,C$1,Исход!$B:$B,$A119)),0)</f>
        <v>0</v>
      </c>
      <c r="D119" s="7">
        <f>IFERROR(SUMIFS(Исход!$G:$G,Исход!$A:$A,D$1,Исход!$B:$B,$A119)/(SUMIFS(Исход!$G:$G,Исход!$A:$A,D$1,Исход!$B:$B,$A119)+SUMIFS(Исход!$D:$D,Исход!$A:$A,D$1,Исход!$B:$B,$A119)),0)</f>
        <v>0</v>
      </c>
      <c r="E119" s="7">
        <f>IFERROR(SUMIFS(Исход!$G:$G,Исход!$A:$A,E$1,Исход!$B:$B,$A119)/(SUMIFS(Исход!$G:$G,Исход!$A:$A,E$1,Исход!$B:$B,$A119)+SUMIFS(Исход!$D:$D,Исход!$A:$A,E$1,Исход!$B:$B,$A119)),0)</f>
        <v>0</v>
      </c>
      <c r="F119" s="7">
        <f>IFERROR(SUMIFS(Исход!$G:$G,Исход!$A:$A,F$1,Исход!$B:$B,$A119)/(SUMIFS(Исход!$G:$G,Исход!$A:$A,F$1,Исход!$B:$B,$A119)+SUMIFS(Исход!$D:$D,Исход!$A:$A,F$1,Исход!$B:$B,$A119)),0)</f>
        <v>0</v>
      </c>
      <c r="G119" s="7">
        <f>IFERROR(SUMIFS(Исход!$G:$G,Исход!$A:$A,G$1,Исход!$B:$B,$A119)/(SUMIFS(Исход!$G:$G,Исход!$A:$A,G$1,Исход!$B:$B,$A119)+SUMIFS(Исход!$D:$D,Исход!$A:$A,G$1,Исход!$B:$B,$A119)),0)</f>
        <v>0</v>
      </c>
      <c r="H119" s="7">
        <f>IFERROR(SUMIFS(Исход!$G:$G,Исход!$A:$A,H$1,Исход!$B:$B,$A119)/(SUMIFS(Исход!$G:$G,Исход!$A:$A,H$1,Исход!$B:$B,$A119)+SUMIFS(Исход!$D:$D,Исход!$A:$A,H$1,Исход!$B:$B,$A119)),0)</f>
        <v>0</v>
      </c>
      <c r="I119" s="7">
        <f>IFERROR(SUMIFS(Исход!$G:$G,Исход!$A:$A,I$1,Исход!$B:$B,$A119)/(SUMIFS(Исход!$G:$G,Исход!$A:$A,I$1,Исход!$B:$B,$A119)+SUMIFS(Исход!$D:$D,Исход!$A:$A,I$1,Исход!$B:$B,$A119)),0)</f>
        <v>0</v>
      </c>
      <c r="J119" s="7">
        <f>IFERROR(SUMIFS(Исход!$G:$G,Исход!$A:$A,J$1,Исход!$B:$B,$A119)/(SUMIFS(Исход!$G:$G,Исход!$A:$A,J$1,Исход!$B:$B,$A119)+SUMIFS(Исход!$D:$D,Исход!$A:$A,J$1,Исход!$B:$B,$A119)),0)</f>
        <v>0</v>
      </c>
      <c r="K119" s="7">
        <f>IFERROR(SUMIFS(Исход!$G:$G,Исход!$A:$A,K$1,Исход!$B:$B,$A119)/(SUMIFS(Исход!$G:$G,Исход!$A:$A,K$1,Исход!$B:$B,$A119)+SUMIFS(Исход!$D:$D,Исход!$A:$A,K$1,Исход!$B:$B,$A119)),0)</f>
        <v>0</v>
      </c>
      <c r="L119" s="7">
        <f>IFERROR(SUMIFS(Исход!$G:$G,Исход!$A:$A,L$1,Исход!$B:$B,$A119)/(SUMIFS(Исход!$G:$G,Исход!$A:$A,L$1,Исход!$B:$B,$A119)+SUMIFS(Исход!$D:$D,Исход!$A:$A,L$1,Исход!$B:$B,$A119)),0)</f>
        <v>0</v>
      </c>
      <c r="M119" s="7">
        <f>IFERROR(SUMIFS(Исход!$G:$G,Исход!$A:$A,M$1,Исход!$B:$B,$A119)/(SUMIFS(Исход!$G:$G,Исход!$A:$A,M$1,Исход!$B:$B,$A119)+SUMIFS(Исход!$D:$D,Исход!$A:$A,M$1,Исход!$B:$B,$A119)),0)</f>
        <v>0</v>
      </c>
      <c r="N119" s="7">
        <f>IFERROR(SUMIFS(Исход!$G:$G,Исход!$A:$A,N$1,Исход!$B:$B,$A119)/(SUMIFS(Исход!$G:$G,Исход!$A:$A,N$1,Исход!$B:$B,$A119)+SUMIFS(Исход!$D:$D,Исход!$A:$A,N$1,Исход!$B:$B,$A119)),0)</f>
        <v>0</v>
      </c>
      <c r="O119" s="7">
        <f>IFERROR(SUMIFS(Исход!$G:$G,Исход!$A:$A,O$1,Исход!$B:$B,$A119)/(SUMIFS(Исход!$G:$G,Исход!$A:$A,O$1,Исход!$B:$B,$A119)+SUMIFS(Исход!$D:$D,Исход!$A:$A,O$1,Исход!$B:$B,$A119)),0)</f>
        <v>0</v>
      </c>
      <c r="P119" s="7">
        <f>IFERROR(SUMIFS(Исход!$G:$G,Исход!$A:$A,P$1,Исход!$B:$B,$A119)/(SUMIFS(Исход!$G:$G,Исход!$A:$A,P$1,Исход!$B:$B,$A119)+SUMIFS(Исход!$D:$D,Исход!$A:$A,P$1,Исход!$B:$B,$A119)),0)</f>
        <v>0</v>
      </c>
      <c r="Q119" s="7">
        <f>IFERROR(SUMIFS(Исход!$G:$G,Исход!$A:$A,Q$1,Исход!$B:$B,$A119)/(SUMIFS(Исход!$G:$G,Исход!$A:$A,Q$1,Исход!$B:$B,$A119)+SUMIFS(Исход!$D:$D,Исход!$A:$A,Q$1,Исход!$B:$B,$A119)),0)</f>
        <v>0</v>
      </c>
      <c r="R119" s="7">
        <f>IFERROR(SUMIFS(Исход!$G:$G,Исход!$A:$A,R$1,Исход!$B:$B,$A119)/(SUMIFS(Исход!$G:$G,Исход!$A:$A,R$1,Исход!$B:$B,$A119)+SUMIFS(Исход!$D:$D,Исход!$A:$A,R$1,Исход!$B:$B,$A119)),0)</f>
        <v>0</v>
      </c>
      <c r="S119" s="7">
        <f>IFERROR(SUMIFS(Исход!$G:$G,Исход!$A:$A,S$1,Исход!$B:$B,$A119)/(SUMIFS(Исход!$G:$G,Исход!$A:$A,S$1,Исход!$B:$B,$A119)+SUMIFS(Исход!$D:$D,Исход!$A:$A,S$1,Исход!$B:$B,$A119)),0)</f>
        <v>0</v>
      </c>
      <c r="T119" s="7">
        <f>IFERROR(SUMIFS(Исход!$G:$G,Исход!$A:$A,T$1,Исход!$B:$B,$A119)/(SUMIFS(Исход!$G:$G,Исход!$A:$A,T$1,Исход!$B:$B,$A119)+SUMIFS(Исход!$D:$D,Исход!$A:$A,T$1,Исход!$B:$B,$A119)),0)</f>
        <v>0</v>
      </c>
      <c r="U119" s="7">
        <f>IFERROR(SUMIFS(Исход!$G:$G,Исход!$A:$A,U$1,Исход!$B:$B,$A119)/(SUMIFS(Исход!$G:$G,Исход!$A:$A,U$1,Исход!$B:$B,$A119)+SUMIFS(Исход!$D:$D,Исход!$A:$A,U$1,Исход!$B:$B,$A119)),0)</f>
        <v>0</v>
      </c>
      <c r="V119" s="7">
        <f>IFERROR(SUMIFS(Исход!$G:$G,Исход!$A:$A,V$1,Исход!$B:$B,$A119)/(SUMIFS(Исход!$G:$G,Исход!$A:$A,V$1,Исход!$B:$B,$A119)+SUMIFS(Исход!$D:$D,Исход!$A:$A,V$1,Исход!$B:$B,$A119)),0)</f>
        <v>0</v>
      </c>
      <c r="W119" s="7">
        <f>IFERROR(SUMIFS(Исход!$G:$G,Исход!$A:$A,W$1,Исход!$B:$B,$A119)/(SUMIFS(Исход!$G:$G,Исход!$A:$A,W$1,Исход!$B:$B,$A119)+SUMIFS(Исход!$D:$D,Исход!$A:$A,W$1,Исход!$B:$B,$A119)),0)</f>
        <v>0</v>
      </c>
      <c r="X119" s="7">
        <f>IFERROR(SUMIFS(Исход!$G:$G,Исход!$A:$A,X$1,Исход!$B:$B,$A119)/(SUMIFS(Исход!$G:$G,Исход!$A:$A,X$1,Исход!$B:$B,$A119)+SUMIFS(Исход!$D:$D,Исход!$A:$A,X$1,Исход!$B:$B,$A119)),0)</f>
        <v>0</v>
      </c>
      <c r="Y119" s="7">
        <f>IFERROR(SUMIFS(Исход!$G:$G,Исход!$A:$A,Y$1,Исход!$B:$B,$A119)/(SUMIFS(Исход!$G:$G,Исход!$A:$A,Y$1,Исход!$B:$B,$A119)+SUMIFS(Исход!$D:$D,Исход!$A:$A,Y$1,Исход!$B:$B,$A119)),0)</f>
        <v>0</v>
      </c>
      <c r="Z119" s="7">
        <f>IFERROR(SUMIFS(Исход!$G:$G,Исход!$A:$A,Z$1,Исход!$B:$B,$A119)/(SUMIFS(Исход!$G:$G,Исход!$A:$A,Z$1,Исход!$B:$B,$A119)+SUMIFS(Исход!$D:$D,Исход!$A:$A,Z$1,Исход!$B:$B,$A119)),0)</f>
        <v>0</v>
      </c>
      <c r="AA119" s="7">
        <f>IFERROR(SUMIFS(Исход!$G:$G,Исход!$A:$A,AA$1,Исход!$B:$B,$A119)/(SUMIFS(Исход!$G:$G,Исход!$A:$A,AA$1,Исход!$B:$B,$A119)+SUMIFS(Исход!$D:$D,Исход!$A:$A,AA$1,Исход!$B:$B,$A119)),0)</f>
        <v>0</v>
      </c>
      <c r="AB119" s="7">
        <f>IFERROR(SUMIFS(Исход!$G:$G,Исход!$A:$A,AB$1,Исход!$B:$B,$A119)/(SUMIFS(Исход!$G:$G,Исход!$A:$A,AB$1,Исход!$B:$B,$A119)+SUMIFS(Исход!$D:$D,Исход!$A:$A,AB$1,Исход!$B:$B,$A119)),0)</f>
        <v>0</v>
      </c>
      <c r="AC119" s="7">
        <f>IFERROR(SUMIFS(Исход!$G:$G,Исход!$A:$A,AC$1,Исход!$B:$B,$A119)/(SUMIFS(Исход!$G:$G,Исход!$A:$A,AC$1,Исход!$B:$B,$A119)+SUMIFS(Исход!$D:$D,Исход!$A:$A,AC$1,Исход!$B:$B,$A119)),0)</f>
        <v>0</v>
      </c>
      <c r="AD119" s="7">
        <f>IFERROR(SUMIFS(Исход!$G:$G,Исход!$A:$A,AD$1,Исход!$B:$B,$A119)/(SUMIFS(Исход!$G:$G,Исход!$A:$A,AD$1,Исход!$B:$B,$A119)+SUMIFS(Исход!$D:$D,Исход!$A:$A,AD$1,Исход!$B:$B,$A119)),0)</f>
        <v>0</v>
      </c>
      <c r="AE119" s="7">
        <f>IFERROR(SUMIFS(Исход!$G:$G,Исход!$A:$A,AE$1,Исход!$B:$B,$A119)/(SUMIFS(Исход!$G:$G,Исход!$A:$A,AE$1,Исход!$B:$B,$A119)+SUMIFS(Исход!$D:$D,Исход!$A:$A,AE$1,Исход!$B:$B,$A119)),0)</f>
        <v>0</v>
      </c>
      <c r="AF119" s="7">
        <f>IFERROR(SUMIFS(Исход!$G:$G,Исход!$A:$A,AF$1,Исход!$B:$B,$A119)/(SUMIFS(Исход!$G:$G,Исход!$A:$A,AF$1,Исход!$B:$B,$A119)+SUMIFS(Исход!$D:$D,Исход!$A:$A,AF$1,Исход!$B:$B,$A119)),0)</f>
        <v>0</v>
      </c>
      <c r="AG119" s="160">
        <f>IFERROR(SUMIFS(Исход!$G:$G,Исход!$A:$A,AG$1,Исход!$B:$B,$A119)/(SUMIFS(Исход!$G:$G,Исход!$A:$A,AG$1,Исход!$B:$B,$A119)+SUMIFS(Исход!$D:$D,Исход!$A:$A,AG$1,Исход!$B:$B,$A119)),0)</f>
        <v>0</v>
      </c>
    </row>
    <row r="120" spans="1:33" hidden="1" outlineLevel="1" x14ac:dyDescent="0.25">
      <c r="A120" s="103">
        <v>0.35416666666666669</v>
      </c>
      <c r="B120" s="123">
        <v>0.375</v>
      </c>
      <c r="C120" s="159">
        <f>IFERROR(SUMIFS(Исход!$G:$G,Исход!$A:$A,C$1,Исход!$B:$B,$A120)/(SUMIFS(Исход!$G:$G,Исход!$A:$A,C$1,Исход!$B:$B,$A120)+SUMIFS(Исход!$D:$D,Исход!$A:$A,C$1,Исход!$B:$B,$A120)),0)</f>
        <v>0</v>
      </c>
      <c r="D120" s="7">
        <f>IFERROR(SUMIFS(Исход!$G:$G,Исход!$A:$A,D$1,Исход!$B:$B,$A120)/(SUMIFS(Исход!$G:$G,Исход!$A:$A,D$1,Исход!$B:$B,$A120)+SUMIFS(Исход!$D:$D,Исход!$A:$A,D$1,Исход!$B:$B,$A120)),0)</f>
        <v>0</v>
      </c>
      <c r="E120" s="7">
        <f>IFERROR(SUMIFS(Исход!$G:$G,Исход!$A:$A,E$1,Исход!$B:$B,$A120)/(SUMIFS(Исход!$G:$G,Исход!$A:$A,E$1,Исход!$B:$B,$A120)+SUMIFS(Исход!$D:$D,Исход!$A:$A,E$1,Исход!$B:$B,$A120)),0)</f>
        <v>0</v>
      </c>
      <c r="F120" s="7">
        <f>IFERROR(SUMIFS(Исход!$G:$G,Исход!$A:$A,F$1,Исход!$B:$B,$A120)/(SUMIFS(Исход!$G:$G,Исход!$A:$A,F$1,Исход!$B:$B,$A120)+SUMIFS(Исход!$D:$D,Исход!$A:$A,F$1,Исход!$B:$B,$A120)),0)</f>
        <v>0</v>
      </c>
      <c r="G120" s="7">
        <f>IFERROR(SUMIFS(Исход!$G:$G,Исход!$A:$A,G$1,Исход!$B:$B,$A120)/(SUMIFS(Исход!$G:$G,Исход!$A:$A,G$1,Исход!$B:$B,$A120)+SUMIFS(Исход!$D:$D,Исход!$A:$A,G$1,Исход!$B:$B,$A120)),0)</f>
        <v>0</v>
      </c>
      <c r="H120" s="7">
        <f>IFERROR(SUMIFS(Исход!$G:$G,Исход!$A:$A,H$1,Исход!$B:$B,$A120)/(SUMIFS(Исход!$G:$G,Исход!$A:$A,H$1,Исход!$B:$B,$A120)+SUMIFS(Исход!$D:$D,Исход!$A:$A,H$1,Исход!$B:$B,$A120)),0)</f>
        <v>0</v>
      </c>
      <c r="I120" s="7">
        <f>IFERROR(SUMIFS(Исход!$G:$G,Исход!$A:$A,I$1,Исход!$B:$B,$A120)/(SUMIFS(Исход!$G:$G,Исход!$A:$A,I$1,Исход!$B:$B,$A120)+SUMIFS(Исход!$D:$D,Исход!$A:$A,I$1,Исход!$B:$B,$A120)),0)</f>
        <v>0</v>
      </c>
      <c r="J120" s="7">
        <f>IFERROR(SUMIFS(Исход!$G:$G,Исход!$A:$A,J$1,Исход!$B:$B,$A120)/(SUMIFS(Исход!$G:$G,Исход!$A:$A,J$1,Исход!$B:$B,$A120)+SUMIFS(Исход!$D:$D,Исход!$A:$A,J$1,Исход!$B:$B,$A120)),0)</f>
        <v>0</v>
      </c>
      <c r="K120" s="7">
        <f>IFERROR(SUMIFS(Исход!$G:$G,Исход!$A:$A,K$1,Исход!$B:$B,$A120)/(SUMIFS(Исход!$G:$G,Исход!$A:$A,K$1,Исход!$B:$B,$A120)+SUMIFS(Исход!$D:$D,Исход!$A:$A,K$1,Исход!$B:$B,$A120)),0)</f>
        <v>0</v>
      </c>
      <c r="L120" s="7">
        <f>IFERROR(SUMIFS(Исход!$G:$G,Исход!$A:$A,L$1,Исход!$B:$B,$A120)/(SUMIFS(Исход!$G:$G,Исход!$A:$A,L$1,Исход!$B:$B,$A120)+SUMIFS(Исход!$D:$D,Исход!$A:$A,L$1,Исход!$B:$B,$A120)),0)</f>
        <v>0</v>
      </c>
      <c r="M120" s="7">
        <f>IFERROR(SUMIFS(Исход!$G:$G,Исход!$A:$A,M$1,Исход!$B:$B,$A120)/(SUMIFS(Исход!$G:$G,Исход!$A:$A,M$1,Исход!$B:$B,$A120)+SUMIFS(Исход!$D:$D,Исход!$A:$A,M$1,Исход!$B:$B,$A120)),0)</f>
        <v>0</v>
      </c>
      <c r="N120" s="7">
        <f>IFERROR(SUMIFS(Исход!$G:$G,Исход!$A:$A,N$1,Исход!$B:$B,$A120)/(SUMIFS(Исход!$G:$G,Исход!$A:$A,N$1,Исход!$B:$B,$A120)+SUMIFS(Исход!$D:$D,Исход!$A:$A,N$1,Исход!$B:$B,$A120)),0)</f>
        <v>0</v>
      </c>
      <c r="O120" s="7">
        <f>IFERROR(SUMIFS(Исход!$G:$G,Исход!$A:$A,O$1,Исход!$B:$B,$A120)/(SUMIFS(Исход!$G:$G,Исход!$A:$A,O$1,Исход!$B:$B,$A120)+SUMIFS(Исход!$D:$D,Исход!$A:$A,O$1,Исход!$B:$B,$A120)),0)</f>
        <v>0</v>
      </c>
      <c r="P120" s="7">
        <f>IFERROR(SUMIFS(Исход!$G:$G,Исход!$A:$A,P$1,Исход!$B:$B,$A120)/(SUMIFS(Исход!$G:$G,Исход!$A:$A,P$1,Исход!$B:$B,$A120)+SUMIFS(Исход!$D:$D,Исход!$A:$A,P$1,Исход!$B:$B,$A120)),0)</f>
        <v>0</v>
      </c>
      <c r="Q120" s="7">
        <f>IFERROR(SUMIFS(Исход!$G:$G,Исход!$A:$A,Q$1,Исход!$B:$B,$A120)/(SUMIFS(Исход!$G:$G,Исход!$A:$A,Q$1,Исход!$B:$B,$A120)+SUMIFS(Исход!$D:$D,Исход!$A:$A,Q$1,Исход!$B:$B,$A120)),0)</f>
        <v>0</v>
      </c>
      <c r="R120" s="7">
        <f>IFERROR(SUMIFS(Исход!$G:$G,Исход!$A:$A,R$1,Исход!$B:$B,$A120)/(SUMIFS(Исход!$G:$G,Исход!$A:$A,R$1,Исход!$B:$B,$A120)+SUMIFS(Исход!$D:$D,Исход!$A:$A,R$1,Исход!$B:$B,$A120)),0)</f>
        <v>0</v>
      </c>
      <c r="S120" s="7">
        <f>IFERROR(SUMIFS(Исход!$G:$G,Исход!$A:$A,S$1,Исход!$B:$B,$A120)/(SUMIFS(Исход!$G:$G,Исход!$A:$A,S$1,Исход!$B:$B,$A120)+SUMIFS(Исход!$D:$D,Исход!$A:$A,S$1,Исход!$B:$B,$A120)),0)</f>
        <v>0</v>
      </c>
      <c r="T120" s="7">
        <f>IFERROR(SUMIFS(Исход!$G:$G,Исход!$A:$A,T$1,Исход!$B:$B,$A120)/(SUMIFS(Исход!$G:$G,Исход!$A:$A,T$1,Исход!$B:$B,$A120)+SUMIFS(Исход!$D:$D,Исход!$A:$A,T$1,Исход!$B:$B,$A120)),0)</f>
        <v>0</v>
      </c>
      <c r="U120" s="7">
        <f>IFERROR(SUMIFS(Исход!$G:$G,Исход!$A:$A,U$1,Исход!$B:$B,$A120)/(SUMIFS(Исход!$G:$G,Исход!$A:$A,U$1,Исход!$B:$B,$A120)+SUMIFS(Исход!$D:$D,Исход!$A:$A,U$1,Исход!$B:$B,$A120)),0)</f>
        <v>0</v>
      </c>
      <c r="V120" s="7">
        <f>IFERROR(SUMIFS(Исход!$G:$G,Исход!$A:$A,V$1,Исход!$B:$B,$A120)/(SUMIFS(Исход!$G:$G,Исход!$A:$A,V$1,Исход!$B:$B,$A120)+SUMIFS(Исход!$D:$D,Исход!$A:$A,V$1,Исход!$B:$B,$A120)),0)</f>
        <v>0</v>
      </c>
      <c r="W120" s="7">
        <f>IFERROR(SUMIFS(Исход!$G:$G,Исход!$A:$A,W$1,Исход!$B:$B,$A120)/(SUMIFS(Исход!$G:$G,Исход!$A:$A,W$1,Исход!$B:$B,$A120)+SUMIFS(Исход!$D:$D,Исход!$A:$A,W$1,Исход!$B:$B,$A120)),0)</f>
        <v>0</v>
      </c>
      <c r="X120" s="7">
        <f>IFERROR(SUMIFS(Исход!$G:$G,Исход!$A:$A,X$1,Исход!$B:$B,$A120)/(SUMIFS(Исход!$G:$G,Исход!$A:$A,X$1,Исход!$B:$B,$A120)+SUMIFS(Исход!$D:$D,Исход!$A:$A,X$1,Исход!$B:$B,$A120)),0)</f>
        <v>0</v>
      </c>
      <c r="Y120" s="7">
        <f>IFERROR(SUMIFS(Исход!$G:$G,Исход!$A:$A,Y$1,Исход!$B:$B,$A120)/(SUMIFS(Исход!$G:$G,Исход!$A:$A,Y$1,Исход!$B:$B,$A120)+SUMIFS(Исход!$D:$D,Исход!$A:$A,Y$1,Исход!$B:$B,$A120)),0)</f>
        <v>0</v>
      </c>
      <c r="Z120" s="7">
        <f>IFERROR(SUMIFS(Исход!$G:$G,Исход!$A:$A,Z$1,Исход!$B:$B,$A120)/(SUMIFS(Исход!$G:$G,Исход!$A:$A,Z$1,Исход!$B:$B,$A120)+SUMIFS(Исход!$D:$D,Исход!$A:$A,Z$1,Исход!$B:$B,$A120)),0)</f>
        <v>0</v>
      </c>
      <c r="AA120" s="7">
        <f>IFERROR(SUMIFS(Исход!$G:$G,Исход!$A:$A,AA$1,Исход!$B:$B,$A120)/(SUMIFS(Исход!$G:$G,Исход!$A:$A,AA$1,Исход!$B:$B,$A120)+SUMIFS(Исход!$D:$D,Исход!$A:$A,AA$1,Исход!$B:$B,$A120)),0)</f>
        <v>0</v>
      </c>
      <c r="AB120" s="7">
        <f>IFERROR(SUMIFS(Исход!$G:$G,Исход!$A:$A,AB$1,Исход!$B:$B,$A120)/(SUMIFS(Исход!$G:$G,Исход!$A:$A,AB$1,Исход!$B:$B,$A120)+SUMIFS(Исход!$D:$D,Исход!$A:$A,AB$1,Исход!$B:$B,$A120)),0)</f>
        <v>0</v>
      </c>
      <c r="AC120" s="7">
        <f>IFERROR(SUMIFS(Исход!$G:$G,Исход!$A:$A,AC$1,Исход!$B:$B,$A120)/(SUMIFS(Исход!$G:$G,Исход!$A:$A,AC$1,Исход!$B:$B,$A120)+SUMIFS(Исход!$D:$D,Исход!$A:$A,AC$1,Исход!$B:$B,$A120)),0)</f>
        <v>0</v>
      </c>
      <c r="AD120" s="7">
        <f>IFERROR(SUMIFS(Исход!$G:$G,Исход!$A:$A,AD$1,Исход!$B:$B,$A120)/(SUMIFS(Исход!$G:$G,Исход!$A:$A,AD$1,Исход!$B:$B,$A120)+SUMIFS(Исход!$D:$D,Исход!$A:$A,AD$1,Исход!$B:$B,$A120)),0)</f>
        <v>0</v>
      </c>
      <c r="AE120" s="7">
        <f>IFERROR(SUMIFS(Исход!$G:$G,Исход!$A:$A,AE$1,Исход!$B:$B,$A120)/(SUMIFS(Исход!$G:$G,Исход!$A:$A,AE$1,Исход!$B:$B,$A120)+SUMIFS(Исход!$D:$D,Исход!$A:$A,AE$1,Исход!$B:$B,$A120)),0)</f>
        <v>0</v>
      </c>
      <c r="AF120" s="7">
        <f>IFERROR(SUMIFS(Исход!$G:$G,Исход!$A:$A,AF$1,Исход!$B:$B,$A120)/(SUMIFS(Исход!$G:$G,Исход!$A:$A,AF$1,Исход!$B:$B,$A120)+SUMIFS(Исход!$D:$D,Исход!$A:$A,AF$1,Исход!$B:$B,$A120)),0)</f>
        <v>0</v>
      </c>
      <c r="AG120" s="160">
        <f>IFERROR(SUMIFS(Исход!$G:$G,Исход!$A:$A,AG$1,Исход!$B:$B,$A120)/(SUMIFS(Исход!$G:$G,Исход!$A:$A,AG$1,Исход!$B:$B,$A120)+SUMIFS(Исход!$D:$D,Исход!$A:$A,AG$1,Исход!$B:$B,$A120)),0)</f>
        <v>0</v>
      </c>
    </row>
    <row r="121" spans="1:33" hidden="1" outlineLevel="1" x14ac:dyDescent="0.25">
      <c r="A121" s="103">
        <v>0.375</v>
      </c>
      <c r="B121" s="123">
        <v>0.39583333333333331</v>
      </c>
      <c r="C121" s="159">
        <f>IFERROR(SUMIFS(Исход!$G:$G,Исход!$A:$A,C$1,Исход!$B:$B,$A121)/(SUMIFS(Исход!$G:$G,Исход!$A:$A,C$1,Исход!$B:$B,$A121)+SUMIFS(Исход!$D:$D,Исход!$A:$A,C$1,Исход!$B:$B,$A121)),0)</f>
        <v>0</v>
      </c>
      <c r="D121" s="7">
        <f>IFERROR(SUMIFS(Исход!$G:$G,Исход!$A:$A,D$1,Исход!$B:$B,$A121)/(SUMIFS(Исход!$G:$G,Исход!$A:$A,D$1,Исход!$B:$B,$A121)+SUMIFS(Исход!$D:$D,Исход!$A:$A,D$1,Исход!$B:$B,$A121)),0)</f>
        <v>0</v>
      </c>
      <c r="E121" s="7">
        <f>IFERROR(SUMIFS(Исход!$G:$G,Исход!$A:$A,E$1,Исход!$B:$B,$A121)/(SUMIFS(Исход!$G:$G,Исход!$A:$A,E$1,Исход!$B:$B,$A121)+SUMIFS(Исход!$D:$D,Исход!$A:$A,E$1,Исход!$B:$B,$A121)),0)</f>
        <v>0</v>
      </c>
      <c r="F121" s="7">
        <f>IFERROR(SUMIFS(Исход!$G:$G,Исход!$A:$A,F$1,Исход!$B:$B,$A121)/(SUMIFS(Исход!$G:$G,Исход!$A:$A,F$1,Исход!$B:$B,$A121)+SUMIFS(Исход!$D:$D,Исход!$A:$A,F$1,Исход!$B:$B,$A121)),0)</f>
        <v>0</v>
      </c>
      <c r="G121" s="7">
        <f>IFERROR(SUMIFS(Исход!$G:$G,Исход!$A:$A,G$1,Исход!$B:$B,$A121)/(SUMIFS(Исход!$G:$G,Исход!$A:$A,G$1,Исход!$B:$B,$A121)+SUMIFS(Исход!$D:$D,Исход!$A:$A,G$1,Исход!$B:$B,$A121)),0)</f>
        <v>0</v>
      </c>
      <c r="H121" s="7">
        <f>IFERROR(SUMIFS(Исход!$G:$G,Исход!$A:$A,H$1,Исход!$B:$B,$A121)/(SUMIFS(Исход!$G:$G,Исход!$A:$A,H$1,Исход!$B:$B,$A121)+SUMIFS(Исход!$D:$D,Исход!$A:$A,H$1,Исход!$B:$B,$A121)),0)</f>
        <v>0</v>
      </c>
      <c r="I121" s="7">
        <f>IFERROR(SUMIFS(Исход!$G:$G,Исход!$A:$A,I$1,Исход!$B:$B,$A121)/(SUMIFS(Исход!$G:$G,Исход!$A:$A,I$1,Исход!$B:$B,$A121)+SUMIFS(Исход!$D:$D,Исход!$A:$A,I$1,Исход!$B:$B,$A121)),0)</f>
        <v>0</v>
      </c>
      <c r="J121" s="7">
        <f>IFERROR(SUMIFS(Исход!$G:$G,Исход!$A:$A,J$1,Исход!$B:$B,$A121)/(SUMIFS(Исход!$G:$G,Исход!$A:$A,J$1,Исход!$B:$B,$A121)+SUMIFS(Исход!$D:$D,Исход!$A:$A,J$1,Исход!$B:$B,$A121)),0)</f>
        <v>0</v>
      </c>
      <c r="K121" s="7">
        <f>IFERROR(SUMIFS(Исход!$G:$G,Исход!$A:$A,K$1,Исход!$B:$B,$A121)/(SUMIFS(Исход!$G:$G,Исход!$A:$A,K$1,Исход!$B:$B,$A121)+SUMIFS(Исход!$D:$D,Исход!$A:$A,K$1,Исход!$B:$B,$A121)),0)</f>
        <v>0</v>
      </c>
      <c r="L121" s="7">
        <f>IFERROR(SUMIFS(Исход!$G:$G,Исход!$A:$A,L$1,Исход!$B:$B,$A121)/(SUMIFS(Исход!$G:$G,Исход!$A:$A,L$1,Исход!$B:$B,$A121)+SUMIFS(Исход!$D:$D,Исход!$A:$A,L$1,Исход!$B:$B,$A121)),0)</f>
        <v>0</v>
      </c>
      <c r="M121" s="7">
        <f>IFERROR(SUMIFS(Исход!$G:$G,Исход!$A:$A,M$1,Исход!$B:$B,$A121)/(SUMIFS(Исход!$G:$G,Исход!$A:$A,M$1,Исход!$B:$B,$A121)+SUMIFS(Исход!$D:$D,Исход!$A:$A,M$1,Исход!$B:$B,$A121)),0)</f>
        <v>0</v>
      </c>
      <c r="N121" s="7">
        <f>IFERROR(SUMIFS(Исход!$G:$G,Исход!$A:$A,N$1,Исход!$B:$B,$A121)/(SUMIFS(Исход!$G:$G,Исход!$A:$A,N$1,Исход!$B:$B,$A121)+SUMIFS(Исход!$D:$D,Исход!$A:$A,N$1,Исход!$B:$B,$A121)),0)</f>
        <v>0</v>
      </c>
      <c r="O121" s="7">
        <f>IFERROR(SUMIFS(Исход!$G:$G,Исход!$A:$A,O$1,Исход!$B:$B,$A121)/(SUMIFS(Исход!$G:$G,Исход!$A:$A,O$1,Исход!$B:$B,$A121)+SUMIFS(Исход!$D:$D,Исход!$A:$A,O$1,Исход!$B:$B,$A121)),0)</f>
        <v>0</v>
      </c>
      <c r="P121" s="7">
        <f>IFERROR(SUMIFS(Исход!$G:$G,Исход!$A:$A,P$1,Исход!$B:$B,$A121)/(SUMIFS(Исход!$G:$G,Исход!$A:$A,P$1,Исход!$B:$B,$A121)+SUMIFS(Исход!$D:$D,Исход!$A:$A,P$1,Исход!$B:$B,$A121)),0)</f>
        <v>0</v>
      </c>
      <c r="Q121" s="7">
        <f>IFERROR(SUMIFS(Исход!$G:$G,Исход!$A:$A,Q$1,Исход!$B:$B,$A121)/(SUMIFS(Исход!$G:$G,Исход!$A:$A,Q$1,Исход!$B:$B,$A121)+SUMIFS(Исход!$D:$D,Исход!$A:$A,Q$1,Исход!$B:$B,$A121)),0)</f>
        <v>0</v>
      </c>
      <c r="R121" s="7">
        <f>IFERROR(SUMIFS(Исход!$G:$G,Исход!$A:$A,R$1,Исход!$B:$B,$A121)/(SUMIFS(Исход!$G:$G,Исход!$A:$A,R$1,Исход!$B:$B,$A121)+SUMIFS(Исход!$D:$D,Исход!$A:$A,R$1,Исход!$B:$B,$A121)),0)</f>
        <v>0</v>
      </c>
      <c r="S121" s="7">
        <f>IFERROR(SUMIFS(Исход!$G:$G,Исход!$A:$A,S$1,Исход!$B:$B,$A121)/(SUMIFS(Исход!$G:$G,Исход!$A:$A,S$1,Исход!$B:$B,$A121)+SUMIFS(Исход!$D:$D,Исход!$A:$A,S$1,Исход!$B:$B,$A121)),0)</f>
        <v>0</v>
      </c>
      <c r="T121" s="7">
        <f>IFERROR(SUMIFS(Исход!$G:$G,Исход!$A:$A,T$1,Исход!$B:$B,$A121)/(SUMIFS(Исход!$G:$G,Исход!$A:$A,T$1,Исход!$B:$B,$A121)+SUMIFS(Исход!$D:$D,Исход!$A:$A,T$1,Исход!$B:$B,$A121)),0)</f>
        <v>0</v>
      </c>
      <c r="U121" s="7">
        <f>IFERROR(SUMIFS(Исход!$G:$G,Исход!$A:$A,U$1,Исход!$B:$B,$A121)/(SUMIFS(Исход!$G:$G,Исход!$A:$A,U$1,Исход!$B:$B,$A121)+SUMIFS(Исход!$D:$D,Исход!$A:$A,U$1,Исход!$B:$B,$A121)),0)</f>
        <v>0</v>
      </c>
      <c r="V121" s="7">
        <f>IFERROR(SUMIFS(Исход!$G:$G,Исход!$A:$A,V$1,Исход!$B:$B,$A121)/(SUMIFS(Исход!$G:$G,Исход!$A:$A,V$1,Исход!$B:$B,$A121)+SUMIFS(Исход!$D:$D,Исход!$A:$A,V$1,Исход!$B:$B,$A121)),0)</f>
        <v>0</v>
      </c>
      <c r="W121" s="7">
        <f>IFERROR(SUMIFS(Исход!$G:$G,Исход!$A:$A,W$1,Исход!$B:$B,$A121)/(SUMIFS(Исход!$G:$G,Исход!$A:$A,W$1,Исход!$B:$B,$A121)+SUMIFS(Исход!$D:$D,Исход!$A:$A,W$1,Исход!$B:$B,$A121)),0)</f>
        <v>0</v>
      </c>
      <c r="X121" s="7">
        <f>IFERROR(SUMIFS(Исход!$G:$G,Исход!$A:$A,X$1,Исход!$B:$B,$A121)/(SUMIFS(Исход!$G:$G,Исход!$A:$A,X$1,Исход!$B:$B,$A121)+SUMIFS(Исход!$D:$D,Исход!$A:$A,X$1,Исход!$B:$B,$A121)),0)</f>
        <v>0</v>
      </c>
      <c r="Y121" s="7">
        <f>IFERROR(SUMIFS(Исход!$G:$G,Исход!$A:$A,Y$1,Исход!$B:$B,$A121)/(SUMIFS(Исход!$G:$G,Исход!$A:$A,Y$1,Исход!$B:$B,$A121)+SUMIFS(Исход!$D:$D,Исход!$A:$A,Y$1,Исход!$B:$B,$A121)),0)</f>
        <v>0</v>
      </c>
      <c r="Z121" s="7">
        <f>IFERROR(SUMIFS(Исход!$G:$G,Исход!$A:$A,Z$1,Исход!$B:$B,$A121)/(SUMIFS(Исход!$G:$G,Исход!$A:$A,Z$1,Исход!$B:$B,$A121)+SUMIFS(Исход!$D:$D,Исход!$A:$A,Z$1,Исход!$B:$B,$A121)),0)</f>
        <v>0</v>
      </c>
      <c r="AA121" s="7">
        <f>IFERROR(SUMIFS(Исход!$G:$G,Исход!$A:$A,AA$1,Исход!$B:$B,$A121)/(SUMIFS(Исход!$G:$G,Исход!$A:$A,AA$1,Исход!$B:$B,$A121)+SUMIFS(Исход!$D:$D,Исход!$A:$A,AA$1,Исход!$B:$B,$A121)),0)</f>
        <v>0</v>
      </c>
      <c r="AB121" s="7">
        <f>IFERROR(SUMIFS(Исход!$G:$G,Исход!$A:$A,AB$1,Исход!$B:$B,$A121)/(SUMIFS(Исход!$G:$G,Исход!$A:$A,AB$1,Исход!$B:$B,$A121)+SUMIFS(Исход!$D:$D,Исход!$A:$A,AB$1,Исход!$B:$B,$A121)),0)</f>
        <v>0</v>
      </c>
      <c r="AC121" s="7">
        <f>IFERROR(SUMIFS(Исход!$G:$G,Исход!$A:$A,AC$1,Исход!$B:$B,$A121)/(SUMIFS(Исход!$G:$G,Исход!$A:$A,AC$1,Исход!$B:$B,$A121)+SUMIFS(Исход!$D:$D,Исход!$A:$A,AC$1,Исход!$B:$B,$A121)),0)</f>
        <v>0</v>
      </c>
      <c r="AD121" s="7">
        <f>IFERROR(SUMIFS(Исход!$G:$G,Исход!$A:$A,AD$1,Исход!$B:$B,$A121)/(SUMIFS(Исход!$G:$G,Исход!$A:$A,AD$1,Исход!$B:$B,$A121)+SUMIFS(Исход!$D:$D,Исход!$A:$A,AD$1,Исход!$B:$B,$A121)),0)</f>
        <v>0</v>
      </c>
      <c r="AE121" s="7">
        <f>IFERROR(SUMIFS(Исход!$G:$G,Исход!$A:$A,AE$1,Исход!$B:$B,$A121)/(SUMIFS(Исход!$G:$G,Исход!$A:$A,AE$1,Исход!$B:$B,$A121)+SUMIFS(Исход!$D:$D,Исход!$A:$A,AE$1,Исход!$B:$B,$A121)),0)</f>
        <v>0</v>
      </c>
      <c r="AF121" s="7">
        <f>IFERROR(SUMIFS(Исход!$G:$G,Исход!$A:$A,AF$1,Исход!$B:$B,$A121)/(SUMIFS(Исход!$G:$G,Исход!$A:$A,AF$1,Исход!$B:$B,$A121)+SUMIFS(Исход!$D:$D,Исход!$A:$A,AF$1,Исход!$B:$B,$A121)),0)</f>
        <v>0</v>
      </c>
      <c r="AG121" s="160">
        <f>IFERROR(SUMIFS(Исход!$G:$G,Исход!$A:$A,AG$1,Исход!$B:$B,$A121)/(SUMIFS(Исход!$G:$G,Исход!$A:$A,AG$1,Исход!$B:$B,$A121)+SUMIFS(Исход!$D:$D,Исход!$A:$A,AG$1,Исход!$B:$B,$A121)),0)</f>
        <v>0</v>
      </c>
    </row>
    <row r="122" spans="1:33" hidden="1" outlineLevel="1" x14ac:dyDescent="0.25">
      <c r="A122" s="103">
        <v>0.39583333333333331</v>
      </c>
      <c r="B122" s="123">
        <v>0.41666666666666669</v>
      </c>
      <c r="C122" s="159">
        <f>IFERROR(SUMIFS(Исход!$G:$G,Исход!$A:$A,C$1,Исход!$B:$B,$A122)/(SUMIFS(Исход!$G:$G,Исход!$A:$A,C$1,Исход!$B:$B,$A122)+SUMIFS(Исход!$D:$D,Исход!$A:$A,C$1,Исход!$B:$B,$A122)),0)</f>
        <v>0</v>
      </c>
      <c r="D122" s="7">
        <f>IFERROR(SUMIFS(Исход!$G:$G,Исход!$A:$A,D$1,Исход!$B:$B,$A122)/(SUMIFS(Исход!$G:$G,Исход!$A:$A,D$1,Исход!$B:$B,$A122)+SUMIFS(Исход!$D:$D,Исход!$A:$A,D$1,Исход!$B:$B,$A122)),0)</f>
        <v>0</v>
      </c>
      <c r="E122" s="7">
        <f>IFERROR(SUMIFS(Исход!$G:$G,Исход!$A:$A,E$1,Исход!$B:$B,$A122)/(SUMIFS(Исход!$G:$G,Исход!$A:$A,E$1,Исход!$B:$B,$A122)+SUMIFS(Исход!$D:$D,Исход!$A:$A,E$1,Исход!$B:$B,$A122)),0)</f>
        <v>0</v>
      </c>
      <c r="F122" s="7">
        <f>IFERROR(SUMIFS(Исход!$G:$G,Исход!$A:$A,F$1,Исход!$B:$B,$A122)/(SUMIFS(Исход!$G:$G,Исход!$A:$A,F$1,Исход!$B:$B,$A122)+SUMIFS(Исход!$D:$D,Исход!$A:$A,F$1,Исход!$B:$B,$A122)),0)</f>
        <v>0</v>
      </c>
      <c r="G122" s="7">
        <f>IFERROR(SUMIFS(Исход!$G:$G,Исход!$A:$A,G$1,Исход!$B:$B,$A122)/(SUMIFS(Исход!$G:$G,Исход!$A:$A,G$1,Исход!$B:$B,$A122)+SUMIFS(Исход!$D:$D,Исход!$A:$A,G$1,Исход!$B:$B,$A122)),0)</f>
        <v>0</v>
      </c>
      <c r="H122" s="7">
        <f>IFERROR(SUMIFS(Исход!$G:$G,Исход!$A:$A,H$1,Исход!$B:$B,$A122)/(SUMIFS(Исход!$G:$G,Исход!$A:$A,H$1,Исход!$B:$B,$A122)+SUMIFS(Исход!$D:$D,Исход!$A:$A,H$1,Исход!$B:$B,$A122)),0)</f>
        <v>0</v>
      </c>
      <c r="I122" s="7">
        <f>IFERROR(SUMIFS(Исход!$G:$G,Исход!$A:$A,I$1,Исход!$B:$B,$A122)/(SUMIFS(Исход!$G:$G,Исход!$A:$A,I$1,Исход!$B:$B,$A122)+SUMIFS(Исход!$D:$D,Исход!$A:$A,I$1,Исход!$B:$B,$A122)),0)</f>
        <v>0</v>
      </c>
      <c r="J122" s="7">
        <f>IFERROR(SUMIFS(Исход!$G:$G,Исход!$A:$A,J$1,Исход!$B:$B,$A122)/(SUMIFS(Исход!$G:$G,Исход!$A:$A,J$1,Исход!$B:$B,$A122)+SUMIFS(Исход!$D:$D,Исход!$A:$A,J$1,Исход!$B:$B,$A122)),0)</f>
        <v>0</v>
      </c>
      <c r="K122" s="7">
        <f>IFERROR(SUMIFS(Исход!$G:$G,Исход!$A:$A,K$1,Исход!$B:$B,$A122)/(SUMIFS(Исход!$G:$G,Исход!$A:$A,K$1,Исход!$B:$B,$A122)+SUMIFS(Исход!$D:$D,Исход!$A:$A,K$1,Исход!$B:$B,$A122)),0)</f>
        <v>0</v>
      </c>
      <c r="L122" s="7">
        <f>IFERROR(SUMIFS(Исход!$G:$G,Исход!$A:$A,L$1,Исход!$B:$B,$A122)/(SUMIFS(Исход!$G:$G,Исход!$A:$A,L$1,Исход!$B:$B,$A122)+SUMIFS(Исход!$D:$D,Исход!$A:$A,L$1,Исход!$B:$B,$A122)),0)</f>
        <v>0</v>
      </c>
      <c r="M122" s="7">
        <f>IFERROR(SUMIFS(Исход!$G:$G,Исход!$A:$A,M$1,Исход!$B:$B,$A122)/(SUMIFS(Исход!$G:$G,Исход!$A:$A,M$1,Исход!$B:$B,$A122)+SUMIFS(Исход!$D:$D,Исход!$A:$A,M$1,Исход!$B:$B,$A122)),0)</f>
        <v>0</v>
      </c>
      <c r="N122" s="7">
        <f>IFERROR(SUMIFS(Исход!$G:$G,Исход!$A:$A,N$1,Исход!$B:$B,$A122)/(SUMIFS(Исход!$G:$G,Исход!$A:$A,N$1,Исход!$B:$B,$A122)+SUMIFS(Исход!$D:$D,Исход!$A:$A,N$1,Исход!$B:$B,$A122)),0)</f>
        <v>0</v>
      </c>
      <c r="O122" s="7">
        <f>IFERROR(SUMIFS(Исход!$G:$G,Исход!$A:$A,O$1,Исход!$B:$B,$A122)/(SUMIFS(Исход!$G:$G,Исход!$A:$A,O$1,Исход!$B:$B,$A122)+SUMIFS(Исход!$D:$D,Исход!$A:$A,O$1,Исход!$B:$B,$A122)),0)</f>
        <v>0</v>
      </c>
      <c r="P122" s="7">
        <f>IFERROR(SUMIFS(Исход!$G:$G,Исход!$A:$A,P$1,Исход!$B:$B,$A122)/(SUMIFS(Исход!$G:$G,Исход!$A:$A,P$1,Исход!$B:$B,$A122)+SUMIFS(Исход!$D:$D,Исход!$A:$A,P$1,Исход!$B:$B,$A122)),0)</f>
        <v>0</v>
      </c>
      <c r="Q122" s="7">
        <f>IFERROR(SUMIFS(Исход!$G:$G,Исход!$A:$A,Q$1,Исход!$B:$B,$A122)/(SUMIFS(Исход!$G:$G,Исход!$A:$A,Q$1,Исход!$B:$B,$A122)+SUMIFS(Исход!$D:$D,Исход!$A:$A,Q$1,Исход!$B:$B,$A122)),0)</f>
        <v>0</v>
      </c>
      <c r="R122" s="7">
        <f>IFERROR(SUMIFS(Исход!$G:$G,Исход!$A:$A,R$1,Исход!$B:$B,$A122)/(SUMIFS(Исход!$G:$G,Исход!$A:$A,R$1,Исход!$B:$B,$A122)+SUMIFS(Исход!$D:$D,Исход!$A:$A,R$1,Исход!$B:$B,$A122)),0)</f>
        <v>0</v>
      </c>
      <c r="S122" s="7">
        <f>IFERROR(SUMIFS(Исход!$G:$G,Исход!$A:$A,S$1,Исход!$B:$B,$A122)/(SUMIFS(Исход!$G:$G,Исход!$A:$A,S$1,Исход!$B:$B,$A122)+SUMIFS(Исход!$D:$D,Исход!$A:$A,S$1,Исход!$B:$B,$A122)),0)</f>
        <v>0</v>
      </c>
      <c r="T122" s="7">
        <f>IFERROR(SUMIFS(Исход!$G:$G,Исход!$A:$A,T$1,Исход!$B:$B,$A122)/(SUMIFS(Исход!$G:$G,Исход!$A:$A,T$1,Исход!$B:$B,$A122)+SUMIFS(Исход!$D:$D,Исход!$A:$A,T$1,Исход!$B:$B,$A122)),0)</f>
        <v>0</v>
      </c>
      <c r="U122" s="7">
        <f>IFERROR(SUMIFS(Исход!$G:$G,Исход!$A:$A,U$1,Исход!$B:$B,$A122)/(SUMIFS(Исход!$G:$G,Исход!$A:$A,U$1,Исход!$B:$B,$A122)+SUMIFS(Исход!$D:$D,Исход!$A:$A,U$1,Исход!$B:$B,$A122)),0)</f>
        <v>0</v>
      </c>
      <c r="V122" s="7">
        <f>IFERROR(SUMIFS(Исход!$G:$G,Исход!$A:$A,V$1,Исход!$B:$B,$A122)/(SUMIFS(Исход!$G:$G,Исход!$A:$A,V$1,Исход!$B:$B,$A122)+SUMIFS(Исход!$D:$D,Исход!$A:$A,V$1,Исход!$B:$B,$A122)),0)</f>
        <v>0</v>
      </c>
      <c r="W122" s="7">
        <f>IFERROR(SUMIFS(Исход!$G:$G,Исход!$A:$A,W$1,Исход!$B:$B,$A122)/(SUMIFS(Исход!$G:$G,Исход!$A:$A,W$1,Исход!$B:$B,$A122)+SUMIFS(Исход!$D:$D,Исход!$A:$A,W$1,Исход!$B:$B,$A122)),0)</f>
        <v>0</v>
      </c>
      <c r="X122" s="7">
        <f>IFERROR(SUMIFS(Исход!$G:$G,Исход!$A:$A,X$1,Исход!$B:$B,$A122)/(SUMIFS(Исход!$G:$G,Исход!$A:$A,X$1,Исход!$B:$B,$A122)+SUMIFS(Исход!$D:$D,Исход!$A:$A,X$1,Исход!$B:$B,$A122)),0)</f>
        <v>0</v>
      </c>
      <c r="Y122" s="7">
        <f>IFERROR(SUMIFS(Исход!$G:$G,Исход!$A:$A,Y$1,Исход!$B:$B,$A122)/(SUMIFS(Исход!$G:$G,Исход!$A:$A,Y$1,Исход!$B:$B,$A122)+SUMIFS(Исход!$D:$D,Исход!$A:$A,Y$1,Исход!$B:$B,$A122)),0)</f>
        <v>0</v>
      </c>
      <c r="Z122" s="7">
        <f>IFERROR(SUMIFS(Исход!$G:$G,Исход!$A:$A,Z$1,Исход!$B:$B,$A122)/(SUMIFS(Исход!$G:$G,Исход!$A:$A,Z$1,Исход!$B:$B,$A122)+SUMIFS(Исход!$D:$D,Исход!$A:$A,Z$1,Исход!$B:$B,$A122)),0)</f>
        <v>0</v>
      </c>
      <c r="AA122" s="7">
        <f>IFERROR(SUMIFS(Исход!$G:$G,Исход!$A:$A,AA$1,Исход!$B:$B,$A122)/(SUMIFS(Исход!$G:$G,Исход!$A:$A,AA$1,Исход!$B:$B,$A122)+SUMIFS(Исход!$D:$D,Исход!$A:$A,AA$1,Исход!$B:$B,$A122)),0)</f>
        <v>0</v>
      </c>
      <c r="AB122" s="7">
        <f>IFERROR(SUMIFS(Исход!$G:$G,Исход!$A:$A,AB$1,Исход!$B:$B,$A122)/(SUMIFS(Исход!$G:$G,Исход!$A:$A,AB$1,Исход!$B:$B,$A122)+SUMIFS(Исход!$D:$D,Исход!$A:$A,AB$1,Исход!$B:$B,$A122)),0)</f>
        <v>0</v>
      </c>
      <c r="AC122" s="7">
        <f>IFERROR(SUMIFS(Исход!$G:$G,Исход!$A:$A,AC$1,Исход!$B:$B,$A122)/(SUMIFS(Исход!$G:$G,Исход!$A:$A,AC$1,Исход!$B:$B,$A122)+SUMIFS(Исход!$D:$D,Исход!$A:$A,AC$1,Исход!$B:$B,$A122)),0)</f>
        <v>0</v>
      </c>
      <c r="AD122" s="7">
        <f>IFERROR(SUMIFS(Исход!$G:$G,Исход!$A:$A,AD$1,Исход!$B:$B,$A122)/(SUMIFS(Исход!$G:$G,Исход!$A:$A,AD$1,Исход!$B:$B,$A122)+SUMIFS(Исход!$D:$D,Исход!$A:$A,AD$1,Исход!$B:$B,$A122)),0)</f>
        <v>0</v>
      </c>
      <c r="AE122" s="7">
        <f>IFERROR(SUMIFS(Исход!$G:$G,Исход!$A:$A,AE$1,Исход!$B:$B,$A122)/(SUMIFS(Исход!$G:$G,Исход!$A:$A,AE$1,Исход!$B:$B,$A122)+SUMIFS(Исход!$D:$D,Исход!$A:$A,AE$1,Исход!$B:$B,$A122)),0)</f>
        <v>0</v>
      </c>
      <c r="AF122" s="7">
        <f>IFERROR(SUMIFS(Исход!$G:$G,Исход!$A:$A,AF$1,Исход!$B:$B,$A122)/(SUMIFS(Исход!$G:$G,Исход!$A:$A,AF$1,Исход!$B:$B,$A122)+SUMIFS(Исход!$D:$D,Исход!$A:$A,AF$1,Исход!$B:$B,$A122)),0)</f>
        <v>0</v>
      </c>
      <c r="AG122" s="160">
        <f>IFERROR(SUMIFS(Исход!$G:$G,Исход!$A:$A,AG$1,Исход!$B:$B,$A122)/(SUMIFS(Исход!$G:$G,Исход!$A:$A,AG$1,Исход!$B:$B,$A122)+SUMIFS(Исход!$D:$D,Исход!$A:$A,AG$1,Исход!$B:$B,$A122)),0)</f>
        <v>0</v>
      </c>
    </row>
    <row r="123" spans="1:33" hidden="1" outlineLevel="1" x14ac:dyDescent="0.25">
      <c r="A123" s="103">
        <v>0.41666666666666669</v>
      </c>
      <c r="B123" s="123">
        <v>0.4375</v>
      </c>
      <c r="C123" s="159">
        <f>IFERROR(SUMIFS(Исход!$G:$G,Исход!$A:$A,C$1,Исход!$B:$B,$A123)/(SUMIFS(Исход!$G:$G,Исход!$A:$A,C$1,Исход!$B:$B,$A123)+SUMIFS(Исход!$D:$D,Исход!$A:$A,C$1,Исход!$B:$B,$A123)),0)</f>
        <v>0</v>
      </c>
      <c r="D123" s="7">
        <f>IFERROR(SUMIFS(Исход!$G:$G,Исход!$A:$A,D$1,Исход!$B:$B,$A123)/(SUMIFS(Исход!$G:$G,Исход!$A:$A,D$1,Исход!$B:$B,$A123)+SUMIFS(Исход!$D:$D,Исход!$A:$A,D$1,Исход!$B:$B,$A123)),0)</f>
        <v>0</v>
      </c>
      <c r="E123" s="7">
        <f>IFERROR(SUMIFS(Исход!$G:$G,Исход!$A:$A,E$1,Исход!$B:$B,$A123)/(SUMIFS(Исход!$G:$G,Исход!$A:$A,E$1,Исход!$B:$B,$A123)+SUMIFS(Исход!$D:$D,Исход!$A:$A,E$1,Исход!$B:$B,$A123)),0)</f>
        <v>0</v>
      </c>
      <c r="F123" s="7">
        <f>IFERROR(SUMIFS(Исход!$G:$G,Исход!$A:$A,F$1,Исход!$B:$B,$A123)/(SUMIFS(Исход!$G:$G,Исход!$A:$A,F$1,Исход!$B:$B,$A123)+SUMIFS(Исход!$D:$D,Исход!$A:$A,F$1,Исход!$B:$B,$A123)),0)</f>
        <v>0</v>
      </c>
      <c r="G123" s="7">
        <f>IFERROR(SUMIFS(Исход!$G:$G,Исход!$A:$A,G$1,Исход!$B:$B,$A123)/(SUMIFS(Исход!$G:$G,Исход!$A:$A,G$1,Исход!$B:$B,$A123)+SUMIFS(Исход!$D:$D,Исход!$A:$A,G$1,Исход!$B:$B,$A123)),0)</f>
        <v>0</v>
      </c>
      <c r="H123" s="7">
        <f>IFERROR(SUMIFS(Исход!$G:$G,Исход!$A:$A,H$1,Исход!$B:$B,$A123)/(SUMIFS(Исход!$G:$G,Исход!$A:$A,H$1,Исход!$B:$B,$A123)+SUMIFS(Исход!$D:$D,Исход!$A:$A,H$1,Исход!$B:$B,$A123)),0)</f>
        <v>0</v>
      </c>
      <c r="I123" s="7">
        <f>IFERROR(SUMIFS(Исход!$G:$G,Исход!$A:$A,I$1,Исход!$B:$B,$A123)/(SUMIFS(Исход!$G:$G,Исход!$A:$A,I$1,Исход!$B:$B,$A123)+SUMIFS(Исход!$D:$D,Исход!$A:$A,I$1,Исход!$B:$B,$A123)),0)</f>
        <v>0</v>
      </c>
      <c r="J123" s="7">
        <f>IFERROR(SUMIFS(Исход!$G:$G,Исход!$A:$A,J$1,Исход!$B:$B,$A123)/(SUMIFS(Исход!$G:$G,Исход!$A:$A,J$1,Исход!$B:$B,$A123)+SUMIFS(Исход!$D:$D,Исход!$A:$A,J$1,Исход!$B:$B,$A123)),0)</f>
        <v>0</v>
      </c>
      <c r="K123" s="7">
        <f>IFERROR(SUMIFS(Исход!$G:$G,Исход!$A:$A,K$1,Исход!$B:$B,$A123)/(SUMIFS(Исход!$G:$G,Исход!$A:$A,K$1,Исход!$B:$B,$A123)+SUMIFS(Исход!$D:$D,Исход!$A:$A,K$1,Исход!$B:$B,$A123)),0)</f>
        <v>0</v>
      </c>
      <c r="L123" s="7">
        <f>IFERROR(SUMIFS(Исход!$G:$G,Исход!$A:$A,L$1,Исход!$B:$B,$A123)/(SUMIFS(Исход!$G:$G,Исход!$A:$A,L$1,Исход!$B:$B,$A123)+SUMIFS(Исход!$D:$D,Исход!$A:$A,L$1,Исход!$B:$B,$A123)),0)</f>
        <v>0</v>
      </c>
      <c r="M123" s="7">
        <f>IFERROR(SUMIFS(Исход!$G:$G,Исход!$A:$A,M$1,Исход!$B:$B,$A123)/(SUMIFS(Исход!$G:$G,Исход!$A:$A,M$1,Исход!$B:$B,$A123)+SUMIFS(Исход!$D:$D,Исход!$A:$A,M$1,Исход!$B:$B,$A123)),0)</f>
        <v>0</v>
      </c>
      <c r="N123" s="7">
        <f>IFERROR(SUMIFS(Исход!$G:$G,Исход!$A:$A,N$1,Исход!$B:$B,$A123)/(SUMIFS(Исход!$G:$G,Исход!$A:$A,N$1,Исход!$B:$B,$A123)+SUMIFS(Исход!$D:$D,Исход!$A:$A,N$1,Исход!$B:$B,$A123)),0)</f>
        <v>0</v>
      </c>
      <c r="O123" s="7">
        <f>IFERROR(SUMIFS(Исход!$G:$G,Исход!$A:$A,O$1,Исход!$B:$B,$A123)/(SUMIFS(Исход!$G:$G,Исход!$A:$A,O$1,Исход!$B:$B,$A123)+SUMIFS(Исход!$D:$D,Исход!$A:$A,O$1,Исход!$B:$B,$A123)),0)</f>
        <v>0</v>
      </c>
      <c r="P123" s="7">
        <f>IFERROR(SUMIFS(Исход!$G:$G,Исход!$A:$A,P$1,Исход!$B:$B,$A123)/(SUMIFS(Исход!$G:$G,Исход!$A:$A,P$1,Исход!$B:$B,$A123)+SUMIFS(Исход!$D:$D,Исход!$A:$A,P$1,Исход!$B:$B,$A123)),0)</f>
        <v>0</v>
      </c>
      <c r="Q123" s="7">
        <f>IFERROR(SUMIFS(Исход!$G:$G,Исход!$A:$A,Q$1,Исход!$B:$B,$A123)/(SUMIFS(Исход!$G:$G,Исход!$A:$A,Q$1,Исход!$B:$B,$A123)+SUMIFS(Исход!$D:$D,Исход!$A:$A,Q$1,Исход!$B:$B,$A123)),0)</f>
        <v>0</v>
      </c>
      <c r="R123" s="7">
        <f>IFERROR(SUMIFS(Исход!$G:$G,Исход!$A:$A,R$1,Исход!$B:$B,$A123)/(SUMIFS(Исход!$G:$G,Исход!$A:$A,R$1,Исход!$B:$B,$A123)+SUMIFS(Исход!$D:$D,Исход!$A:$A,R$1,Исход!$B:$B,$A123)),0)</f>
        <v>0</v>
      </c>
      <c r="S123" s="7">
        <f>IFERROR(SUMIFS(Исход!$G:$G,Исход!$A:$A,S$1,Исход!$B:$B,$A123)/(SUMIFS(Исход!$G:$G,Исход!$A:$A,S$1,Исход!$B:$B,$A123)+SUMIFS(Исход!$D:$D,Исход!$A:$A,S$1,Исход!$B:$B,$A123)),0)</f>
        <v>0</v>
      </c>
      <c r="T123" s="7">
        <f>IFERROR(SUMIFS(Исход!$G:$G,Исход!$A:$A,T$1,Исход!$B:$B,$A123)/(SUMIFS(Исход!$G:$G,Исход!$A:$A,T$1,Исход!$B:$B,$A123)+SUMIFS(Исход!$D:$D,Исход!$A:$A,T$1,Исход!$B:$B,$A123)),0)</f>
        <v>0</v>
      </c>
      <c r="U123" s="7">
        <f>IFERROR(SUMIFS(Исход!$G:$G,Исход!$A:$A,U$1,Исход!$B:$B,$A123)/(SUMIFS(Исход!$G:$G,Исход!$A:$A,U$1,Исход!$B:$B,$A123)+SUMIFS(Исход!$D:$D,Исход!$A:$A,U$1,Исход!$B:$B,$A123)),0)</f>
        <v>0</v>
      </c>
      <c r="V123" s="7">
        <f>IFERROR(SUMIFS(Исход!$G:$G,Исход!$A:$A,V$1,Исход!$B:$B,$A123)/(SUMIFS(Исход!$G:$G,Исход!$A:$A,V$1,Исход!$B:$B,$A123)+SUMIFS(Исход!$D:$D,Исход!$A:$A,V$1,Исход!$B:$B,$A123)),0)</f>
        <v>0</v>
      </c>
      <c r="W123" s="7">
        <f>IFERROR(SUMIFS(Исход!$G:$G,Исход!$A:$A,W$1,Исход!$B:$B,$A123)/(SUMIFS(Исход!$G:$G,Исход!$A:$A,W$1,Исход!$B:$B,$A123)+SUMIFS(Исход!$D:$D,Исход!$A:$A,W$1,Исход!$B:$B,$A123)),0)</f>
        <v>0</v>
      </c>
      <c r="X123" s="7">
        <f>IFERROR(SUMIFS(Исход!$G:$G,Исход!$A:$A,X$1,Исход!$B:$B,$A123)/(SUMIFS(Исход!$G:$G,Исход!$A:$A,X$1,Исход!$B:$B,$A123)+SUMIFS(Исход!$D:$D,Исход!$A:$A,X$1,Исход!$B:$B,$A123)),0)</f>
        <v>0</v>
      </c>
      <c r="Y123" s="7">
        <f>IFERROR(SUMIFS(Исход!$G:$G,Исход!$A:$A,Y$1,Исход!$B:$B,$A123)/(SUMIFS(Исход!$G:$G,Исход!$A:$A,Y$1,Исход!$B:$B,$A123)+SUMIFS(Исход!$D:$D,Исход!$A:$A,Y$1,Исход!$B:$B,$A123)),0)</f>
        <v>0</v>
      </c>
      <c r="Z123" s="7">
        <f>IFERROR(SUMIFS(Исход!$G:$G,Исход!$A:$A,Z$1,Исход!$B:$B,$A123)/(SUMIFS(Исход!$G:$G,Исход!$A:$A,Z$1,Исход!$B:$B,$A123)+SUMIFS(Исход!$D:$D,Исход!$A:$A,Z$1,Исход!$B:$B,$A123)),0)</f>
        <v>0</v>
      </c>
      <c r="AA123" s="7">
        <f>IFERROR(SUMIFS(Исход!$G:$G,Исход!$A:$A,AA$1,Исход!$B:$B,$A123)/(SUMIFS(Исход!$G:$G,Исход!$A:$A,AA$1,Исход!$B:$B,$A123)+SUMIFS(Исход!$D:$D,Исход!$A:$A,AA$1,Исход!$B:$B,$A123)),0)</f>
        <v>0</v>
      </c>
      <c r="AB123" s="7">
        <f>IFERROR(SUMIFS(Исход!$G:$G,Исход!$A:$A,AB$1,Исход!$B:$B,$A123)/(SUMIFS(Исход!$G:$G,Исход!$A:$A,AB$1,Исход!$B:$B,$A123)+SUMIFS(Исход!$D:$D,Исход!$A:$A,AB$1,Исход!$B:$B,$A123)),0)</f>
        <v>0</v>
      </c>
      <c r="AC123" s="7">
        <f>IFERROR(SUMIFS(Исход!$G:$G,Исход!$A:$A,AC$1,Исход!$B:$B,$A123)/(SUMIFS(Исход!$G:$G,Исход!$A:$A,AC$1,Исход!$B:$B,$A123)+SUMIFS(Исход!$D:$D,Исход!$A:$A,AC$1,Исход!$B:$B,$A123)),0)</f>
        <v>0</v>
      </c>
      <c r="AD123" s="7">
        <f>IFERROR(SUMIFS(Исход!$G:$G,Исход!$A:$A,AD$1,Исход!$B:$B,$A123)/(SUMIFS(Исход!$G:$G,Исход!$A:$A,AD$1,Исход!$B:$B,$A123)+SUMIFS(Исход!$D:$D,Исход!$A:$A,AD$1,Исход!$B:$B,$A123)),0)</f>
        <v>0</v>
      </c>
      <c r="AE123" s="7">
        <f>IFERROR(SUMIFS(Исход!$G:$G,Исход!$A:$A,AE$1,Исход!$B:$B,$A123)/(SUMIFS(Исход!$G:$G,Исход!$A:$A,AE$1,Исход!$B:$B,$A123)+SUMIFS(Исход!$D:$D,Исход!$A:$A,AE$1,Исход!$B:$B,$A123)),0)</f>
        <v>0</v>
      </c>
      <c r="AF123" s="7">
        <f>IFERROR(SUMIFS(Исход!$G:$G,Исход!$A:$A,AF$1,Исход!$B:$B,$A123)/(SUMIFS(Исход!$G:$G,Исход!$A:$A,AF$1,Исход!$B:$B,$A123)+SUMIFS(Исход!$D:$D,Исход!$A:$A,AF$1,Исход!$B:$B,$A123)),0)</f>
        <v>0</v>
      </c>
      <c r="AG123" s="160">
        <f>IFERROR(SUMIFS(Исход!$G:$G,Исход!$A:$A,AG$1,Исход!$B:$B,$A123)/(SUMIFS(Исход!$G:$G,Исход!$A:$A,AG$1,Исход!$B:$B,$A123)+SUMIFS(Исход!$D:$D,Исход!$A:$A,AG$1,Исход!$B:$B,$A123)),0)</f>
        <v>0</v>
      </c>
    </row>
    <row r="124" spans="1:33" hidden="1" outlineLevel="1" x14ac:dyDescent="0.25">
      <c r="A124" s="103">
        <v>0.4375</v>
      </c>
      <c r="B124" s="123">
        <v>0.45833333333333331</v>
      </c>
      <c r="C124" s="159">
        <f>IFERROR(SUMIFS(Исход!$G:$G,Исход!$A:$A,C$1,Исход!$B:$B,$A124)/(SUMIFS(Исход!$G:$G,Исход!$A:$A,C$1,Исход!$B:$B,$A124)+SUMIFS(Исход!$D:$D,Исход!$A:$A,C$1,Исход!$B:$B,$A124)),0)</f>
        <v>0</v>
      </c>
      <c r="D124" s="7">
        <f>IFERROR(SUMIFS(Исход!$G:$G,Исход!$A:$A,D$1,Исход!$B:$B,$A124)/(SUMIFS(Исход!$G:$G,Исход!$A:$A,D$1,Исход!$B:$B,$A124)+SUMIFS(Исход!$D:$D,Исход!$A:$A,D$1,Исход!$B:$B,$A124)),0)</f>
        <v>0</v>
      </c>
      <c r="E124" s="7">
        <f>IFERROR(SUMIFS(Исход!$G:$G,Исход!$A:$A,E$1,Исход!$B:$B,$A124)/(SUMIFS(Исход!$G:$G,Исход!$A:$A,E$1,Исход!$B:$B,$A124)+SUMIFS(Исход!$D:$D,Исход!$A:$A,E$1,Исход!$B:$B,$A124)),0)</f>
        <v>0</v>
      </c>
      <c r="F124" s="7">
        <f>IFERROR(SUMIFS(Исход!$G:$G,Исход!$A:$A,F$1,Исход!$B:$B,$A124)/(SUMIFS(Исход!$G:$G,Исход!$A:$A,F$1,Исход!$B:$B,$A124)+SUMIFS(Исход!$D:$D,Исход!$A:$A,F$1,Исход!$B:$B,$A124)),0)</f>
        <v>0</v>
      </c>
      <c r="G124" s="7">
        <f>IFERROR(SUMIFS(Исход!$G:$G,Исход!$A:$A,G$1,Исход!$B:$B,$A124)/(SUMIFS(Исход!$G:$G,Исход!$A:$A,G$1,Исход!$B:$B,$A124)+SUMIFS(Исход!$D:$D,Исход!$A:$A,G$1,Исход!$B:$B,$A124)),0)</f>
        <v>0</v>
      </c>
      <c r="H124" s="7">
        <f>IFERROR(SUMIFS(Исход!$G:$G,Исход!$A:$A,H$1,Исход!$B:$B,$A124)/(SUMIFS(Исход!$G:$G,Исход!$A:$A,H$1,Исход!$B:$B,$A124)+SUMIFS(Исход!$D:$D,Исход!$A:$A,H$1,Исход!$B:$B,$A124)),0)</f>
        <v>0</v>
      </c>
      <c r="I124" s="7">
        <f>IFERROR(SUMIFS(Исход!$G:$G,Исход!$A:$A,I$1,Исход!$B:$B,$A124)/(SUMIFS(Исход!$G:$G,Исход!$A:$A,I$1,Исход!$B:$B,$A124)+SUMIFS(Исход!$D:$D,Исход!$A:$A,I$1,Исход!$B:$B,$A124)),0)</f>
        <v>0</v>
      </c>
      <c r="J124" s="7">
        <f>IFERROR(SUMIFS(Исход!$G:$G,Исход!$A:$A,J$1,Исход!$B:$B,$A124)/(SUMIFS(Исход!$G:$G,Исход!$A:$A,J$1,Исход!$B:$B,$A124)+SUMIFS(Исход!$D:$D,Исход!$A:$A,J$1,Исход!$B:$B,$A124)),0)</f>
        <v>0</v>
      </c>
      <c r="K124" s="7">
        <f>IFERROR(SUMIFS(Исход!$G:$G,Исход!$A:$A,K$1,Исход!$B:$B,$A124)/(SUMIFS(Исход!$G:$G,Исход!$A:$A,K$1,Исход!$B:$B,$A124)+SUMIFS(Исход!$D:$D,Исход!$A:$A,K$1,Исход!$B:$B,$A124)),0)</f>
        <v>0</v>
      </c>
      <c r="L124" s="7">
        <f>IFERROR(SUMIFS(Исход!$G:$G,Исход!$A:$A,L$1,Исход!$B:$B,$A124)/(SUMIFS(Исход!$G:$G,Исход!$A:$A,L$1,Исход!$B:$B,$A124)+SUMIFS(Исход!$D:$D,Исход!$A:$A,L$1,Исход!$B:$B,$A124)),0)</f>
        <v>0</v>
      </c>
      <c r="M124" s="7">
        <f>IFERROR(SUMIFS(Исход!$G:$G,Исход!$A:$A,M$1,Исход!$B:$B,$A124)/(SUMIFS(Исход!$G:$G,Исход!$A:$A,M$1,Исход!$B:$B,$A124)+SUMIFS(Исход!$D:$D,Исход!$A:$A,M$1,Исход!$B:$B,$A124)),0)</f>
        <v>0</v>
      </c>
      <c r="N124" s="7">
        <f>IFERROR(SUMIFS(Исход!$G:$G,Исход!$A:$A,N$1,Исход!$B:$B,$A124)/(SUMIFS(Исход!$G:$G,Исход!$A:$A,N$1,Исход!$B:$B,$A124)+SUMIFS(Исход!$D:$D,Исход!$A:$A,N$1,Исход!$B:$B,$A124)),0)</f>
        <v>0</v>
      </c>
      <c r="O124" s="7">
        <f>IFERROR(SUMIFS(Исход!$G:$G,Исход!$A:$A,O$1,Исход!$B:$B,$A124)/(SUMIFS(Исход!$G:$G,Исход!$A:$A,O$1,Исход!$B:$B,$A124)+SUMIFS(Исход!$D:$D,Исход!$A:$A,O$1,Исход!$B:$B,$A124)),0)</f>
        <v>0</v>
      </c>
      <c r="P124" s="7">
        <f>IFERROR(SUMIFS(Исход!$G:$G,Исход!$A:$A,P$1,Исход!$B:$B,$A124)/(SUMIFS(Исход!$G:$G,Исход!$A:$A,P$1,Исход!$B:$B,$A124)+SUMIFS(Исход!$D:$D,Исход!$A:$A,P$1,Исход!$B:$B,$A124)),0)</f>
        <v>0</v>
      </c>
      <c r="Q124" s="7">
        <f>IFERROR(SUMIFS(Исход!$G:$G,Исход!$A:$A,Q$1,Исход!$B:$B,$A124)/(SUMIFS(Исход!$G:$G,Исход!$A:$A,Q$1,Исход!$B:$B,$A124)+SUMIFS(Исход!$D:$D,Исход!$A:$A,Q$1,Исход!$B:$B,$A124)),0)</f>
        <v>0</v>
      </c>
      <c r="R124" s="7">
        <f>IFERROR(SUMIFS(Исход!$G:$G,Исход!$A:$A,R$1,Исход!$B:$B,$A124)/(SUMIFS(Исход!$G:$G,Исход!$A:$A,R$1,Исход!$B:$B,$A124)+SUMIFS(Исход!$D:$D,Исход!$A:$A,R$1,Исход!$B:$B,$A124)),0)</f>
        <v>0</v>
      </c>
      <c r="S124" s="7">
        <f>IFERROR(SUMIFS(Исход!$G:$G,Исход!$A:$A,S$1,Исход!$B:$B,$A124)/(SUMIFS(Исход!$G:$G,Исход!$A:$A,S$1,Исход!$B:$B,$A124)+SUMIFS(Исход!$D:$D,Исход!$A:$A,S$1,Исход!$B:$B,$A124)),0)</f>
        <v>0</v>
      </c>
      <c r="T124" s="7">
        <f>IFERROR(SUMIFS(Исход!$G:$G,Исход!$A:$A,T$1,Исход!$B:$B,$A124)/(SUMIFS(Исход!$G:$G,Исход!$A:$A,T$1,Исход!$B:$B,$A124)+SUMIFS(Исход!$D:$D,Исход!$A:$A,T$1,Исход!$B:$B,$A124)),0)</f>
        <v>0</v>
      </c>
      <c r="U124" s="7">
        <f>IFERROR(SUMIFS(Исход!$G:$G,Исход!$A:$A,U$1,Исход!$B:$B,$A124)/(SUMIFS(Исход!$G:$G,Исход!$A:$A,U$1,Исход!$B:$B,$A124)+SUMIFS(Исход!$D:$D,Исход!$A:$A,U$1,Исход!$B:$B,$A124)),0)</f>
        <v>0</v>
      </c>
      <c r="V124" s="7">
        <f>IFERROR(SUMIFS(Исход!$G:$G,Исход!$A:$A,V$1,Исход!$B:$B,$A124)/(SUMIFS(Исход!$G:$G,Исход!$A:$A,V$1,Исход!$B:$B,$A124)+SUMIFS(Исход!$D:$D,Исход!$A:$A,V$1,Исход!$B:$B,$A124)),0)</f>
        <v>0</v>
      </c>
      <c r="W124" s="7">
        <f>IFERROR(SUMIFS(Исход!$G:$G,Исход!$A:$A,W$1,Исход!$B:$B,$A124)/(SUMIFS(Исход!$G:$G,Исход!$A:$A,W$1,Исход!$B:$B,$A124)+SUMIFS(Исход!$D:$D,Исход!$A:$A,W$1,Исход!$B:$B,$A124)),0)</f>
        <v>0</v>
      </c>
      <c r="X124" s="7">
        <f>IFERROR(SUMIFS(Исход!$G:$G,Исход!$A:$A,X$1,Исход!$B:$B,$A124)/(SUMIFS(Исход!$G:$G,Исход!$A:$A,X$1,Исход!$B:$B,$A124)+SUMIFS(Исход!$D:$D,Исход!$A:$A,X$1,Исход!$B:$B,$A124)),0)</f>
        <v>0</v>
      </c>
      <c r="Y124" s="7">
        <f>IFERROR(SUMIFS(Исход!$G:$G,Исход!$A:$A,Y$1,Исход!$B:$B,$A124)/(SUMIFS(Исход!$G:$G,Исход!$A:$A,Y$1,Исход!$B:$B,$A124)+SUMIFS(Исход!$D:$D,Исход!$A:$A,Y$1,Исход!$B:$B,$A124)),0)</f>
        <v>0</v>
      </c>
      <c r="Z124" s="7">
        <f>IFERROR(SUMIFS(Исход!$G:$G,Исход!$A:$A,Z$1,Исход!$B:$B,$A124)/(SUMIFS(Исход!$G:$G,Исход!$A:$A,Z$1,Исход!$B:$B,$A124)+SUMIFS(Исход!$D:$D,Исход!$A:$A,Z$1,Исход!$B:$B,$A124)),0)</f>
        <v>0</v>
      </c>
      <c r="AA124" s="7">
        <f>IFERROR(SUMIFS(Исход!$G:$G,Исход!$A:$A,AA$1,Исход!$B:$B,$A124)/(SUMIFS(Исход!$G:$G,Исход!$A:$A,AA$1,Исход!$B:$B,$A124)+SUMIFS(Исход!$D:$D,Исход!$A:$A,AA$1,Исход!$B:$B,$A124)),0)</f>
        <v>0</v>
      </c>
      <c r="AB124" s="7">
        <f>IFERROR(SUMIFS(Исход!$G:$G,Исход!$A:$A,AB$1,Исход!$B:$B,$A124)/(SUMIFS(Исход!$G:$G,Исход!$A:$A,AB$1,Исход!$B:$B,$A124)+SUMIFS(Исход!$D:$D,Исход!$A:$A,AB$1,Исход!$B:$B,$A124)),0)</f>
        <v>0</v>
      </c>
      <c r="AC124" s="7">
        <f>IFERROR(SUMIFS(Исход!$G:$G,Исход!$A:$A,AC$1,Исход!$B:$B,$A124)/(SUMIFS(Исход!$G:$G,Исход!$A:$A,AC$1,Исход!$B:$B,$A124)+SUMIFS(Исход!$D:$D,Исход!$A:$A,AC$1,Исход!$B:$B,$A124)),0)</f>
        <v>0</v>
      </c>
      <c r="AD124" s="7">
        <f>IFERROR(SUMIFS(Исход!$G:$G,Исход!$A:$A,AD$1,Исход!$B:$B,$A124)/(SUMIFS(Исход!$G:$G,Исход!$A:$A,AD$1,Исход!$B:$B,$A124)+SUMIFS(Исход!$D:$D,Исход!$A:$A,AD$1,Исход!$B:$B,$A124)),0)</f>
        <v>0</v>
      </c>
      <c r="AE124" s="7">
        <f>IFERROR(SUMIFS(Исход!$G:$G,Исход!$A:$A,AE$1,Исход!$B:$B,$A124)/(SUMIFS(Исход!$G:$G,Исход!$A:$A,AE$1,Исход!$B:$B,$A124)+SUMIFS(Исход!$D:$D,Исход!$A:$A,AE$1,Исход!$B:$B,$A124)),0)</f>
        <v>0</v>
      </c>
      <c r="AF124" s="7">
        <f>IFERROR(SUMIFS(Исход!$G:$G,Исход!$A:$A,AF$1,Исход!$B:$B,$A124)/(SUMIFS(Исход!$G:$G,Исход!$A:$A,AF$1,Исход!$B:$B,$A124)+SUMIFS(Исход!$D:$D,Исход!$A:$A,AF$1,Исход!$B:$B,$A124)),0)</f>
        <v>0</v>
      </c>
      <c r="AG124" s="160">
        <f>IFERROR(SUMIFS(Исход!$G:$G,Исход!$A:$A,AG$1,Исход!$B:$B,$A124)/(SUMIFS(Исход!$G:$G,Исход!$A:$A,AG$1,Исход!$B:$B,$A124)+SUMIFS(Исход!$D:$D,Исход!$A:$A,AG$1,Исход!$B:$B,$A124)),0)</f>
        <v>0</v>
      </c>
    </row>
    <row r="125" spans="1:33" hidden="1" outlineLevel="1" x14ac:dyDescent="0.25">
      <c r="A125" s="103">
        <v>0.45833333333333331</v>
      </c>
      <c r="B125" s="123">
        <v>0.47916666666666669</v>
      </c>
      <c r="C125" s="159">
        <f>IFERROR(SUMIFS(Исход!$G:$G,Исход!$A:$A,C$1,Исход!$B:$B,$A125)/(SUMIFS(Исход!$G:$G,Исход!$A:$A,C$1,Исход!$B:$B,$A125)+SUMIFS(Исход!$D:$D,Исход!$A:$A,C$1,Исход!$B:$B,$A125)),0)</f>
        <v>0</v>
      </c>
      <c r="D125" s="7">
        <f>IFERROR(SUMIFS(Исход!$G:$G,Исход!$A:$A,D$1,Исход!$B:$B,$A125)/(SUMIFS(Исход!$G:$G,Исход!$A:$A,D$1,Исход!$B:$B,$A125)+SUMIFS(Исход!$D:$D,Исход!$A:$A,D$1,Исход!$B:$B,$A125)),0)</f>
        <v>0</v>
      </c>
      <c r="E125" s="7">
        <f>IFERROR(SUMIFS(Исход!$G:$G,Исход!$A:$A,E$1,Исход!$B:$B,$A125)/(SUMIFS(Исход!$G:$G,Исход!$A:$A,E$1,Исход!$B:$B,$A125)+SUMIFS(Исход!$D:$D,Исход!$A:$A,E$1,Исход!$B:$B,$A125)),0)</f>
        <v>0</v>
      </c>
      <c r="F125" s="7">
        <f>IFERROR(SUMIFS(Исход!$G:$G,Исход!$A:$A,F$1,Исход!$B:$B,$A125)/(SUMIFS(Исход!$G:$G,Исход!$A:$A,F$1,Исход!$B:$B,$A125)+SUMIFS(Исход!$D:$D,Исход!$A:$A,F$1,Исход!$B:$B,$A125)),0)</f>
        <v>0</v>
      </c>
      <c r="G125" s="7">
        <f>IFERROR(SUMIFS(Исход!$G:$G,Исход!$A:$A,G$1,Исход!$B:$B,$A125)/(SUMIFS(Исход!$G:$G,Исход!$A:$A,G$1,Исход!$B:$B,$A125)+SUMIFS(Исход!$D:$D,Исход!$A:$A,G$1,Исход!$B:$B,$A125)),0)</f>
        <v>0</v>
      </c>
      <c r="H125" s="7">
        <f>IFERROR(SUMIFS(Исход!$G:$G,Исход!$A:$A,H$1,Исход!$B:$B,$A125)/(SUMIFS(Исход!$G:$G,Исход!$A:$A,H$1,Исход!$B:$B,$A125)+SUMIFS(Исход!$D:$D,Исход!$A:$A,H$1,Исход!$B:$B,$A125)),0)</f>
        <v>0</v>
      </c>
      <c r="I125" s="7">
        <f>IFERROR(SUMIFS(Исход!$G:$G,Исход!$A:$A,I$1,Исход!$B:$B,$A125)/(SUMIFS(Исход!$G:$G,Исход!$A:$A,I$1,Исход!$B:$B,$A125)+SUMIFS(Исход!$D:$D,Исход!$A:$A,I$1,Исход!$B:$B,$A125)),0)</f>
        <v>0</v>
      </c>
      <c r="J125" s="7">
        <f>IFERROR(SUMIFS(Исход!$G:$G,Исход!$A:$A,J$1,Исход!$B:$B,$A125)/(SUMIFS(Исход!$G:$G,Исход!$A:$A,J$1,Исход!$B:$B,$A125)+SUMIFS(Исход!$D:$D,Исход!$A:$A,J$1,Исход!$B:$B,$A125)),0)</f>
        <v>0</v>
      </c>
      <c r="K125" s="7">
        <f>IFERROR(SUMIFS(Исход!$G:$G,Исход!$A:$A,K$1,Исход!$B:$B,$A125)/(SUMIFS(Исход!$G:$G,Исход!$A:$A,K$1,Исход!$B:$B,$A125)+SUMIFS(Исход!$D:$D,Исход!$A:$A,K$1,Исход!$B:$B,$A125)),0)</f>
        <v>0</v>
      </c>
      <c r="L125" s="7">
        <f>IFERROR(SUMIFS(Исход!$G:$G,Исход!$A:$A,L$1,Исход!$B:$B,$A125)/(SUMIFS(Исход!$G:$G,Исход!$A:$A,L$1,Исход!$B:$B,$A125)+SUMIFS(Исход!$D:$D,Исход!$A:$A,L$1,Исход!$B:$B,$A125)),0)</f>
        <v>0</v>
      </c>
      <c r="M125" s="7">
        <f>IFERROR(SUMIFS(Исход!$G:$G,Исход!$A:$A,M$1,Исход!$B:$B,$A125)/(SUMIFS(Исход!$G:$G,Исход!$A:$A,M$1,Исход!$B:$B,$A125)+SUMIFS(Исход!$D:$D,Исход!$A:$A,M$1,Исход!$B:$B,$A125)),0)</f>
        <v>0</v>
      </c>
      <c r="N125" s="7">
        <f>IFERROR(SUMIFS(Исход!$G:$G,Исход!$A:$A,N$1,Исход!$B:$B,$A125)/(SUMIFS(Исход!$G:$G,Исход!$A:$A,N$1,Исход!$B:$B,$A125)+SUMIFS(Исход!$D:$D,Исход!$A:$A,N$1,Исход!$B:$B,$A125)),0)</f>
        <v>0</v>
      </c>
      <c r="O125" s="7">
        <f>IFERROR(SUMIFS(Исход!$G:$G,Исход!$A:$A,O$1,Исход!$B:$B,$A125)/(SUMIFS(Исход!$G:$G,Исход!$A:$A,O$1,Исход!$B:$B,$A125)+SUMIFS(Исход!$D:$D,Исход!$A:$A,O$1,Исход!$B:$B,$A125)),0)</f>
        <v>0</v>
      </c>
      <c r="P125" s="7">
        <f>IFERROR(SUMIFS(Исход!$G:$G,Исход!$A:$A,P$1,Исход!$B:$B,$A125)/(SUMIFS(Исход!$G:$G,Исход!$A:$A,P$1,Исход!$B:$B,$A125)+SUMIFS(Исход!$D:$D,Исход!$A:$A,P$1,Исход!$B:$B,$A125)),0)</f>
        <v>0</v>
      </c>
      <c r="Q125" s="7">
        <f>IFERROR(SUMIFS(Исход!$G:$G,Исход!$A:$A,Q$1,Исход!$B:$B,$A125)/(SUMIFS(Исход!$G:$G,Исход!$A:$A,Q$1,Исход!$B:$B,$A125)+SUMIFS(Исход!$D:$D,Исход!$A:$A,Q$1,Исход!$B:$B,$A125)),0)</f>
        <v>0</v>
      </c>
      <c r="R125" s="7">
        <f>IFERROR(SUMIFS(Исход!$G:$G,Исход!$A:$A,R$1,Исход!$B:$B,$A125)/(SUMIFS(Исход!$G:$G,Исход!$A:$A,R$1,Исход!$B:$B,$A125)+SUMIFS(Исход!$D:$D,Исход!$A:$A,R$1,Исход!$B:$B,$A125)),0)</f>
        <v>0</v>
      </c>
      <c r="S125" s="7">
        <f>IFERROR(SUMIFS(Исход!$G:$G,Исход!$A:$A,S$1,Исход!$B:$B,$A125)/(SUMIFS(Исход!$G:$G,Исход!$A:$A,S$1,Исход!$B:$B,$A125)+SUMIFS(Исход!$D:$D,Исход!$A:$A,S$1,Исход!$B:$B,$A125)),0)</f>
        <v>0</v>
      </c>
      <c r="T125" s="7">
        <f>IFERROR(SUMIFS(Исход!$G:$G,Исход!$A:$A,T$1,Исход!$B:$B,$A125)/(SUMIFS(Исход!$G:$G,Исход!$A:$A,T$1,Исход!$B:$B,$A125)+SUMIFS(Исход!$D:$D,Исход!$A:$A,T$1,Исход!$B:$B,$A125)),0)</f>
        <v>0</v>
      </c>
      <c r="U125" s="7">
        <f>IFERROR(SUMIFS(Исход!$G:$G,Исход!$A:$A,U$1,Исход!$B:$B,$A125)/(SUMIFS(Исход!$G:$G,Исход!$A:$A,U$1,Исход!$B:$B,$A125)+SUMIFS(Исход!$D:$D,Исход!$A:$A,U$1,Исход!$B:$B,$A125)),0)</f>
        <v>0</v>
      </c>
      <c r="V125" s="7">
        <f>IFERROR(SUMIFS(Исход!$G:$G,Исход!$A:$A,V$1,Исход!$B:$B,$A125)/(SUMIFS(Исход!$G:$G,Исход!$A:$A,V$1,Исход!$B:$B,$A125)+SUMIFS(Исход!$D:$D,Исход!$A:$A,V$1,Исход!$B:$B,$A125)),0)</f>
        <v>0</v>
      </c>
      <c r="W125" s="7">
        <f>IFERROR(SUMIFS(Исход!$G:$G,Исход!$A:$A,W$1,Исход!$B:$B,$A125)/(SUMIFS(Исход!$G:$G,Исход!$A:$A,W$1,Исход!$B:$B,$A125)+SUMIFS(Исход!$D:$D,Исход!$A:$A,W$1,Исход!$B:$B,$A125)),0)</f>
        <v>0</v>
      </c>
      <c r="X125" s="7">
        <f>IFERROR(SUMIFS(Исход!$G:$G,Исход!$A:$A,X$1,Исход!$B:$B,$A125)/(SUMIFS(Исход!$G:$G,Исход!$A:$A,X$1,Исход!$B:$B,$A125)+SUMIFS(Исход!$D:$D,Исход!$A:$A,X$1,Исход!$B:$B,$A125)),0)</f>
        <v>0</v>
      </c>
      <c r="Y125" s="7">
        <f>IFERROR(SUMIFS(Исход!$G:$G,Исход!$A:$A,Y$1,Исход!$B:$B,$A125)/(SUMIFS(Исход!$G:$G,Исход!$A:$A,Y$1,Исход!$B:$B,$A125)+SUMIFS(Исход!$D:$D,Исход!$A:$A,Y$1,Исход!$B:$B,$A125)),0)</f>
        <v>0</v>
      </c>
      <c r="Z125" s="7">
        <f>IFERROR(SUMIFS(Исход!$G:$G,Исход!$A:$A,Z$1,Исход!$B:$B,$A125)/(SUMIFS(Исход!$G:$G,Исход!$A:$A,Z$1,Исход!$B:$B,$A125)+SUMIFS(Исход!$D:$D,Исход!$A:$A,Z$1,Исход!$B:$B,$A125)),0)</f>
        <v>0</v>
      </c>
      <c r="AA125" s="7">
        <f>IFERROR(SUMIFS(Исход!$G:$G,Исход!$A:$A,AA$1,Исход!$B:$B,$A125)/(SUMIFS(Исход!$G:$G,Исход!$A:$A,AA$1,Исход!$B:$B,$A125)+SUMIFS(Исход!$D:$D,Исход!$A:$A,AA$1,Исход!$B:$B,$A125)),0)</f>
        <v>0</v>
      </c>
      <c r="AB125" s="7">
        <f>IFERROR(SUMIFS(Исход!$G:$G,Исход!$A:$A,AB$1,Исход!$B:$B,$A125)/(SUMIFS(Исход!$G:$G,Исход!$A:$A,AB$1,Исход!$B:$B,$A125)+SUMIFS(Исход!$D:$D,Исход!$A:$A,AB$1,Исход!$B:$B,$A125)),0)</f>
        <v>0</v>
      </c>
      <c r="AC125" s="7">
        <f>IFERROR(SUMIFS(Исход!$G:$G,Исход!$A:$A,AC$1,Исход!$B:$B,$A125)/(SUMIFS(Исход!$G:$G,Исход!$A:$A,AC$1,Исход!$B:$B,$A125)+SUMIFS(Исход!$D:$D,Исход!$A:$A,AC$1,Исход!$B:$B,$A125)),0)</f>
        <v>0</v>
      </c>
      <c r="AD125" s="7">
        <f>IFERROR(SUMIFS(Исход!$G:$G,Исход!$A:$A,AD$1,Исход!$B:$B,$A125)/(SUMIFS(Исход!$G:$G,Исход!$A:$A,AD$1,Исход!$B:$B,$A125)+SUMIFS(Исход!$D:$D,Исход!$A:$A,AD$1,Исход!$B:$B,$A125)),0)</f>
        <v>0</v>
      </c>
      <c r="AE125" s="7">
        <f>IFERROR(SUMIFS(Исход!$G:$G,Исход!$A:$A,AE$1,Исход!$B:$B,$A125)/(SUMIFS(Исход!$G:$G,Исход!$A:$A,AE$1,Исход!$B:$B,$A125)+SUMIFS(Исход!$D:$D,Исход!$A:$A,AE$1,Исход!$B:$B,$A125)),0)</f>
        <v>0</v>
      </c>
      <c r="AF125" s="7">
        <f>IFERROR(SUMIFS(Исход!$G:$G,Исход!$A:$A,AF$1,Исход!$B:$B,$A125)/(SUMIFS(Исход!$G:$G,Исход!$A:$A,AF$1,Исход!$B:$B,$A125)+SUMIFS(Исход!$D:$D,Исход!$A:$A,AF$1,Исход!$B:$B,$A125)),0)</f>
        <v>0</v>
      </c>
      <c r="AG125" s="160">
        <f>IFERROR(SUMIFS(Исход!$G:$G,Исход!$A:$A,AG$1,Исход!$B:$B,$A125)/(SUMIFS(Исход!$G:$G,Исход!$A:$A,AG$1,Исход!$B:$B,$A125)+SUMIFS(Исход!$D:$D,Исход!$A:$A,AG$1,Исход!$B:$B,$A125)),0)</f>
        <v>0</v>
      </c>
    </row>
    <row r="126" spans="1:33" hidden="1" outlineLevel="1" x14ac:dyDescent="0.25">
      <c r="A126" s="103">
        <v>0.47916666666666669</v>
      </c>
      <c r="B126" s="123">
        <v>0.5</v>
      </c>
      <c r="C126" s="159">
        <f>IFERROR(SUMIFS(Исход!$G:$G,Исход!$A:$A,C$1,Исход!$B:$B,$A126)/(SUMIFS(Исход!$G:$G,Исход!$A:$A,C$1,Исход!$B:$B,$A126)+SUMIFS(Исход!$D:$D,Исход!$A:$A,C$1,Исход!$B:$B,$A126)),0)</f>
        <v>0</v>
      </c>
      <c r="D126" s="7">
        <f>IFERROR(SUMIFS(Исход!$G:$G,Исход!$A:$A,D$1,Исход!$B:$B,$A126)/(SUMIFS(Исход!$G:$G,Исход!$A:$A,D$1,Исход!$B:$B,$A126)+SUMIFS(Исход!$D:$D,Исход!$A:$A,D$1,Исход!$B:$B,$A126)),0)</f>
        <v>0</v>
      </c>
      <c r="E126" s="7">
        <f>IFERROR(SUMIFS(Исход!$G:$G,Исход!$A:$A,E$1,Исход!$B:$B,$A126)/(SUMIFS(Исход!$G:$G,Исход!$A:$A,E$1,Исход!$B:$B,$A126)+SUMIFS(Исход!$D:$D,Исход!$A:$A,E$1,Исход!$B:$B,$A126)),0)</f>
        <v>0</v>
      </c>
      <c r="F126" s="7">
        <f>IFERROR(SUMIFS(Исход!$G:$G,Исход!$A:$A,F$1,Исход!$B:$B,$A126)/(SUMIFS(Исход!$G:$G,Исход!$A:$A,F$1,Исход!$B:$B,$A126)+SUMIFS(Исход!$D:$D,Исход!$A:$A,F$1,Исход!$B:$B,$A126)),0)</f>
        <v>0</v>
      </c>
      <c r="G126" s="7">
        <f>IFERROR(SUMIFS(Исход!$G:$G,Исход!$A:$A,G$1,Исход!$B:$B,$A126)/(SUMIFS(Исход!$G:$G,Исход!$A:$A,G$1,Исход!$B:$B,$A126)+SUMIFS(Исход!$D:$D,Исход!$A:$A,G$1,Исход!$B:$B,$A126)),0)</f>
        <v>0</v>
      </c>
      <c r="H126" s="7">
        <f>IFERROR(SUMIFS(Исход!$G:$G,Исход!$A:$A,H$1,Исход!$B:$B,$A126)/(SUMIFS(Исход!$G:$G,Исход!$A:$A,H$1,Исход!$B:$B,$A126)+SUMIFS(Исход!$D:$D,Исход!$A:$A,H$1,Исход!$B:$B,$A126)),0)</f>
        <v>0</v>
      </c>
      <c r="I126" s="7">
        <f>IFERROR(SUMIFS(Исход!$G:$G,Исход!$A:$A,I$1,Исход!$B:$B,$A126)/(SUMIFS(Исход!$G:$G,Исход!$A:$A,I$1,Исход!$B:$B,$A126)+SUMIFS(Исход!$D:$D,Исход!$A:$A,I$1,Исход!$B:$B,$A126)),0)</f>
        <v>0</v>
      </c>
      <c r="J126" s="7">
        <f>IFERROR(SUMIFS(Исход!$G:$G,Исход!$A:$A,J$1,Исход!$B:$B,$A126)/(SUMIFS(Исход!$G:$G,Исход!$A:$A,J$1,Исход!$B:$B,$A126)+SUMIFS(Исход!$D:$D,Исход!$A:$A,J$1,Исход!$B:$B,$A126)),0)</f>
        <v>0</v>
      </c>
      <c r="K126" s="7">
        <f>IFERROR(SUMIFS(Исход!$G:$G,Исход!$A:$A,K$1,Исход!$B:$B,$A126)/(SUMIFS(Исход!$G:$G,Исход!$A:$A,K$1,Исход!$B:$B,$A126)+SUMIFS(Исход!$D:$D,Исход!$A:$A,K$1,Исход!$B:$B,$A126)),0)</f>
        <v>0</v>
      </c>
      <c r="L126" s="7">
        <f>IFERROR(SUMIFS(Исход!$G:$G,Исход!$A:$A,L$1,Исход!$B:$B,$A126)/(SUMIFS(Исход!$G:$G,Исход!$A:$A,L$1,Исход!$B:$B,$A126)+SUMIFS(Исход!$D:$D,Исход!$A:$A,L$1,Исход!$B:$B,$A126)),0)</f>
        <v>0</v>
      </c>
      <c r="M126" s="7">
        <f>IFERROR(SUMIFS(Исход!$G:$G,Исход!$A:$A,M$1,Исход!$B:$B,$A126)/(SUMIFS(Исход!$G:$G,Исход!$A:$A,M$1,Исход!$B:$B,$A126)+SUMIFS(Исход!$D:$D,Исход!$A:$A,M$1,Исход!$B:$B,$A126)),0)</f>
        <v>0</v>
      </c>
      <c r="N126" s="7">
        <f>IFERROR(SUMIFS(Исход!$G:$G,Исход!$A:$A,N$1,Исход!$B:$B,$A126)/(SUMIFS(Исход!$G:$G,Исход!$A:$A,N$1,Исход!$B:$B,$A126)+SUMIFS(Исход!$D:$D,Исход!$A:$A,N$1,Исход!$B:$B,$A126)),0)</f>
        <v>0</v>
      </c>
      <c r="O126" s="7">
        <f>IFERROR(SUMIFS(Исход!$G:$G,Исход!$A:$A,O$1,Исход!$B:$B,$A126)/(SUMIFS(Исход!$G:$G,Исход!$A:$A,O$1,Исход!$B:$B,$A126)+SUMIFS(Исход!$D:$D,Исход!$A:$A,O$1,Исход!$B:$B,$A126)),0)</f>
        <v>0</v>
      </c>
      <c r="P126" s="7">
        <f>IFERROR(SUMIFS(Исход!$G:$G,Исход!$A:$A,P$1,Исход!$B:$B,$A126)/(SUMIFS(Исход!$G:$G,Исход!$A:$A,P$1,Исход!$B:$B,$A126)+SUMIFS(Исход!$D:$D,Исход!$A:$A,P$1,Исход!$B:$B,$A126)),0)</f>
        <v>0</v>
      </c>
      <c r="Q126" s="7">
        <f>IFERROR(SUMIFS(Исход!$G:$G,Исход!$A:$A,Q$1,Исход!$B:$B,$A126)/(SUMIFS(Исход!$G:$G,Исход!$A:$A,Q$1,Исход!$B:$B,$A126)+SUMIFS(Исход!$D:$D,Исход!$A:$A,Q$1,Исход!$B:$B,$A126)),0)</f>
        <v>0</v>
      </c>
      <c r="R126" s="7">
        <f>IFERROR(SUMIFS(Исход!$G:$G,Исход!$A:$A,R$1,Исход!$B:$B,$A126)/(SUMIFS(Исход!$G:$G,Исход!$A:$A,R$1,Исход!$B:$B,$A126)+SUMIFS(Исход!$D:$D,Исход!$A:$A,R$1,Исход!$B:$B,$A126)),0)</f>
        <v>0</v>
      </c>
      <c r="S126" s="7">
        <f>IFERROR(SUMIFS(Исход!$G:$G,Исход!$A:$A,S$1,Исход!$B:$B,$A126)/(SUMIFS(Исход!$G:$G,Исход!$A:$A,S$1,Исход!$B:$B,$A126)+SUMIFS(Исход!$D:$D,Исход!$A:$A,S$1,Исход!$B:$B,$A126)),0)</f>
        <v>0</v>
      </c>
      <c r="T126" s="7">
        <f>IFERROR(SUMIFS(Исход!$G:$G,Исход!$A:$A,T$1,Исход!$B:$B,$A126)/(SUMIFS(Исход!$G:$G,Исход!$A:$A,T$1,Исход!$B:$B,$A126)+SUMIFS(Исход!$D:$D,Исход!$A:$A,T$1,Исход!$B:$B,$A126)),0)</f>
        <v>0</v>
      </c>
      <c r="U126" s="7">
        <f>IFERROR(SUMIFS(Исход!$G:$G,Исход!$A:$A,U$1,Исход!$B:$B,$A126)/(SUMIFS(Исход!$G:$G,Исход!$A:$A,U$1,Исход!$B:$B,$A126)+SUMIFS(Исход!$D:$D,Исход!$A:$A,U$1,Исход!$B:$B,$A126)),0)</f>
        <v>0</v>
      </c>
      <c r="V126" s="7">
        <f>IFERROR(SUMIFS(Исход!$G:$G,Исход!$A:$A,V$1,Исход!$B:$B,$A126)/(SUMIFS(Исход!$G:$G,Исход!$A:$A,V$1,Исход!$B:$B,$A126)+SUMIFS(Исход!$D:$D,Исход!$A:$A,V$1,Исход!$B:$B,$A126)),0)</f>
        <v>0</v>
      </c>
      <c r="W126" s="7">
        <f>IFERROR(SUMIFS(Исход!$G:$G,Исход!$A:$A,W$1,Исход!$B:$B,$A126)/(SUMIFS(Исход!$G:$G,Исход!$A:$A,W$1,Исход!$B:$B,$A126)+SUMIFS(Исход!$D:$D,Исход!$A:$A,W$1,Исход!$B:$B,$A126)),0)</f>
        <v>0</v>
      </c>
      <c r="X126" s="7">
        <f>IFERROR(SUMIFS(Исход!$G:$G,Исход!$A:$A,X$1,Исход!$B:$B,$A126)/(SUMIFS(Исход!$G:$G,Исход!$A:$A,X$1,Исход!$B:$B,$A126)+SUMIFS(Исход!$D:$D,Исход!$A:$A,X$1,Исход!$B:$B,$A126)),0)</f>
        <v>0</v>
      </c>
      <c r="Y126" s="7">
        <f>IFERROR(SUMIFS(Исход!$G:$G,Исход!$A:$A,Y$1,Исход!$B:$B,$A126)/(SUMIFS(Исход!$G:$G,Исход!$A:$A,Y$1,Исход!$B:$B,$A126)+SUMIFS(Исход!$D:$D,Исход!$A:$A,Y$1,Исход!$B:$B,$A126)),0)</f>
        <v>0</v>
      </c>
      <c r="Z126" s="7">
        <f>IFERROR(SUMIFS(Исход!$G:$G,Исход!$A:$A,Z$1,Исход!$B:$B,$A126)/(SUMIFS(Исход!$G:$G,Исход!$A:$A,Z$1,Исход!$B:$B,$A126)+SUMIFS(Исход!$D:$D,Исход!$A:$A,Z$1,Исход!$B:$B,$A126)),0)</f>
        <v>0</v>
      </c>
      <c r="AA126" s="7">
        <f>IFERROR(SUMIFS(Исход!$G:$G,Исход!$A:$A,AA$1,Исход!$B:$B,$A126)/(SUMIFS(Исход!$G:$G,Исход!$A:$A,AA$1,Исход!$B:$B,$A126)+SUMIFS(Исход!$D:$D,Исход!$A:$A,AA$1,Исход!$B:$B,$A126)),0)</f>
        <v>0</v>
      </c>
      <c r="AB126" s="7">
        <f>IFERROR(SUMIFS(Исход!$G:$G,Исход!$A:$A,AB$1,Исход!$B:$B,$A126)/(SUMIFS(Исход!$G:$G,Исход!$A:$A,AB$1,Исход!$B:$B,$A126)+SUMIFS(Исход!$D:$D,Исход!$A:$A,AB$1,Исход!$B:$B,$A126)),0)</f>
        <v>0</v>
      </c>
      <c r="AC126" s="7">
        <f>IFERROR(SUMIFS(Исход!$G:$G,Исход!$A:$A,AC$1,Исход!$B:$B,$A126)/(SUMIFS(Исход!$G:$G,Исход!$A:$A,AC$1,Исход!$B:$B,$A126)+SUMIFS(Исход!$D:$D,Исход!$A:$A,AC$1,Исход!$B:$B,$A126)),0)</f>
        <v>0</v>
      </c>
      <c r="AD126" s="7">
        <f>IFERROR(SUMIFS(Исход!$G:$G,Исход!$A:$A,AD$1,Исход!$B:$B,$A126)/(SUMIFS(Исход!$G:$G,Исход!$A:$A,AD$1,Исход!$B:$B,$A126)+SUMIFS(Исход!$D:$D,Исход!$A:$A,AD$1,Исход!$B:$B,$A126)),0)</f>
        <v>0</v>
      </c>
      <c r="AE126" s="7">
        <f>IFERROR(SUMIFS(Исход!$G:$G,Исход!$A:$A,AE$1,Исход!$B:$B,$A126)/(SUMIFS(Исход!$G:$G,Исход!$A:$A,AE$1,Исход!$B:$B,$A126)+SUMIFS(Исход!$D:$D,Исход!$A:$A,AE$1,Исход!$B:$B,$A126)),0)</f>
        <v>0</v>
      </c>
      <c r="AF126" s="7">
        <f>IFERROR(SUMIFS(Исход!$G:$G,Исход!$A:$A,AF$1,Исход!$B:$B,$A126)/(SUMIFS(Исход!$G:$G,Исход!$A:$A,AF$1,Исход!$B:$B,$A126)+SUMIFS(Исход!$D:$D,Исход!$A:$A,AF$1,Исход!$B:$B,$A126)),0)</f>
        <v>0</v>
      </c>
      <c r="AG126" s="160">
        <f>IFERROR(SUMIFS(Исход!$G:$G,Исход!$A:$A,AG$1,Исход!$B:$B,$A126)/(SUMIFS(Исход!$G:$G,Исход!$A:$A,AG$1,Исход!$B:$B,$A126)+SUMIFS(Исход!$D:$D,Исход!$A:$A,AG$1,Исход!$B:$B,$A126)),0)</f>
        <v>0</v>
      </c>
    </row>
    <row r="127" spans="1:33" hidden="1" outlineLevel="1" x14ac:dyDescent="0.25">
      <c r="A127" s="103">
        <v>0.5</v>
      </c>
      <c r="B127" s="123">
        <v>0.52083333333333337</v>
      </c>
      <c r="C127" s="159">
        <f>IFERROR(SUMIFS(Исход!$G:$G,Исход!$A:$A,C$1,Исход!$B:$B,$A127)/(SUMIFS(Исход!$G:$G,Исход!$A:$A,C$1,Исход!$B:$B,$A127)+SUMIFS(Исход!$D:$D,Исход!$A:$A,C$1,Исход!$B:$B,$A127)),0)</f>
        <v>0</v>
      </c>
      <c r="D127" s="7">
        <f>IFERROR(SUMIFS(Исход!$G:$G,Исход!$A:$A,D$1,Исход!$B:$B,$A127)/(SUMIFS(Исход!$G:$G,Исход!$A:$A,D$1,Исход!$B:$B,$A127)+SUMIFS(Исход!$D:$D,Исход!$A:$A,D$1,Исход!$B:$B,$A127)),0)</f>
        <v>0</v>
      </c>
      <c r="E127" s="7">
        <f>IFERROR(SUMIFS(Исход!$G:$G,Исход!$A:$A,E$1,Исход!$B:$B,$A127)/(SUMIFS(Исход!$G:$G,Исход!$A:$A,E$1,Исход!$B:$B,$A127)+SUMIFS(Исход!$D:$D,Исход!$A:$A,E$1,Исход!$B:$B,$A127)),0)</f>
        <v>0</v>
      </c>
      <c r="F127" s="7">
        <f>IFERROR(SUMIFS(Исход!$G:$G,Исход!$A:$A,F$1,Исход!$B:$B,$A127)/(SUMIFS(Исход!$G:$G,Исход!$A:$A,F$1,Исход!$B:$B,$A127)+SUMIFS(Исход!$D:$D,Исход!$A:$A,F$1,Исход!$B:$B,$A127)),0)</f>
        <v>0</v>
      </c>
      <c r="G127" s="7">
        <f>IFERROR(SUMIFS(Исход!$G:$G,Исход!$A:$A,G$1,Исход!$B:$B,$A127)/(SUMIFS(Исход!$G:$G,Исход!$A:$A,G$1,Исход!$B:$B,$A127)+SUMIFS(Исход!$D:$D,Исход!$A:$A,G$1,Исход!$B:$B,$A127)),0)</f>
        <v>0</v>
      </c>
      <c r="H127" s="7">
        <f>IFERROR(SUMIFS(Исход!$G:$G,Исход!$A:$A,H$1,Исход!$B:$B,$A127)/(SUMIFS(Исход!$G:$G,Исход!$A:$A,H$1,Исход!$B:$B,$A127)+SUMIFS(Исход!$D:$D,Исход!$A:$A,H$1,Исход!$B:$B,$A127)),0)</f>
        <v>0</v>
      </c>
      <c r="I127" s="7">
        <f>IFERROR(SUMIFS(Исход!$G:$G,Исход!$A:$A,I$1,Исход!$B:$B,$A127)/(SUMIFS(Исход!$G:$G,Исход!$A:$A,I$1,Исход!$B:$B,$A127)+SUMIFS(Исход!$D:$D,Исход!$A:$A,I$1,Исход!$B:$B,$A127)),0)</f>
        <v>0</v>
      </c>
      <c r="J127" s="7">
        <f>IFERROR(SUMIFS(Исход!$G:$G,Исход!$A:$A,J$1,Исход!$B:$B,$A127)/(SUMIFS(Исход!$G:$G,Исход!$A:$A,J$1,Исход!$B:$B,$A127)+SUMIFS(Исход!$D:$D,Исход!$A:$A,J$1,Исход!$B:$B,$A127)),0)</f>
        <v>0</v>
      </c>
      <c r="K127" s="7">
        <f>IFERROR(SUMIFS(Исход!$G:$G,Исход!$A:$A,K$1,Исход!$B:$B,$A127)/(SUMIFS(Исход!$G:$G,Исход!$A:$A,K$1,Исход!$B:$B,$A127)+SUMIFS(Исход!$D:$D,Исход!$A:$A,K$1,Исход!$B:$B,$A127)),0)</f>
        <v>0</v>
      </c>
      <c r="L127" s="7">
        <f>IFERROR(SUMIFS(Исход!$G:$G,Исход!$A:$A,L$1,Исход!$B:$B,$A127)/(SUMIFS(Исход!$G:$G,Исход!$A:$A,L$1,Исход!$B:$B,$A127)+SUMIFS(Исход!$D:$D,Исход!$A:$A,L$1,Исход!$B:$B,$A127)),0)</f>
        <v>0</v>
      </c>
      <c r="M127" s="7">
        <f>IFERROR(SUMIFS(Исход!$G:$G,Исход!$A:$A,M$1,Исход!$B:$B,$A127)/(SUMIFS(Исход!$G:$G,Исход!$A:$A,M$1,Исход!$B:$B,$A127)+SUMIFS(Исход!$D:$D,Исход!$A:$A,M$1,Исход!$B:$B,$A127)),0)</f>
        <v>0</v>
      </c>
      <c r="N127" s="7">
        <f>IFERROR(SUMIFS(Исход!$G:$G,Исход!$A:$A,N$1,Исход!$B:$B,$A127)/(SUMIFS(Исход!$G:$G,Исход!$A:$A,N$1,Исход!$B:$B,$A127)+SUMIFS(Исход!$D:$D,Исход!$A:$A,N$1,Исход!$B:$B,$A127)),0)</f>
        <v>0</v>
      </c>
      <c r="O127" s="7">
        <f>IFERROR(SUMIFS(Исход!$G:$G,Исход!$A:$A,O$1,Исход!$B:$B,$A127)/(SUMIFS(Исход!$G:$G,Исход!$A:$A,O$1,Исход!$B:$B,$A127)+SUMIFS(Исход!$D:$D,Исход!$A:$A,O$1,Исход!$B:$B,$A127)),0)</f>
        <v>0</v>
      </c>
      <c r="P127" s="7">
        <f>IFERROR(SUMIFS(Исход!$G:$G,Исход!$A:$A,P$1,Исход!$B:$B,$A127)/(SUMIFS(Исход!$G:$G,Исход!$A:$A,P$1,Исход!$B:$B,$A127)+SUMIFS(Исход!$D:$D,Исход!$A:$A,P$1,Исход!$B:$B,$A127)),0)</f>
        <v>0</v>
      </c>
      <c r="Q127" s="7">
        <f>IFERROR(SUMIFS(Исход!$G:$G,Исход!$A:$A,Q$1,Исход!$B:$B,$A127)/(SUMIFS(Исход!$G:$G,Исход!$A:$A,Q$1,Исход!$B:$B,$A127)+SUMIFS(Исход!$D:$D,Исход!$A:$A,Q$1,Исход!$B:$B,$A127)),0)</f>
        <v>0</v>
      </c>
      <c r="R127" s="7">
        <f>IFERROR(SUMIFS(Исход!$G:$G,Исход!$A:$A,R$1,Исход!$B:$B,$A127)/(SUMIFS(Исход!$G:$G,Исход!$A:$A,R$1,Исход!$B:$B,$A127)+SUMIFS(Исход!$D:$D,Исход!$A:$A,R$1,Исход!$B:$B,$A127)),0)</f>
        <v>0</v>
      </c>
      <c r="S127" s="7">
        <f>IFERROR(SUMIFS(Исход!$G:$G,Исход!$A:$A,S$1,Исход!$B:$B,$A127)/(SUMIFS(Исход!$G:$G,Исход!$A:$A,S$1,Исход!$B:$B,$A127)+SUMIFS(Исход!$D:$D,Исход!$A:$A,S$1,Исход!$B:$B,$A127)),0)</f>
        <v>0</v>
      </c>
      <c r="T127" s="7">
        <f>IFERROR(SUMIFS(Исход!$G:$G,Исход!$A:$A,T$1,Исход!$B:$B,$A127)/(SUMIFS(Исход!$G:$G,Исход!$A:$A,T$1,Исход!$B:$B,$A127)+SUMIFS(Исход!$D:$D,Исход!$A:$A,T$1,Исход!$B:$B,$A127)),0)</f>
        <v>0</v>
      </c>
      <c r="U127" s="7">
        <f>IFERROR(SUMIFS(Исход!$G:$G,Исход!$A:$A,U$1,Исход!$B:$B,$A127)/(SUMIFS(Исход!$G:$G,Исход!$A:$A,U$1,Исход!$B:$B,$A127)+SUMIFS(Исход!$D:$D,Исход!$A:$A,U$1,Исход!$B:$B,$A127)),0)</f>
        <v>0</v>
      </c>
      <c r="V127" s="7">
        <f>IFERROR(SUMIFS(Исход!$G:$G,Исход!$A:$A,V$1,Исход!$B:$B,$A127)/(SUMIFS(Исход!$G:$G,Исход!$A:$A,V$1,Исход!$B:$B,$A127)+SUMIFS(Исход!$D:$D,Исход!$A:$A,V$1,Исход!$B:$B,$A127)),0)</f>
        <v>0</v>
      </c>
      <c r="W127" s="7">
        <f>IFERROR(SUMIFS(Исход!$G:$G,Исход!$A:$A,W$1,Исход!$B:$B,$A127)/(SUMIFS(Исход!$G:$G,Исход!$A:$A,W$1,Исход!$B:$B,$A127)+SUMIFS(Исход!$D:$D,Исход!$A:$A,W$1,Исход!$B:$B,$A127)),0)</f>
        <v>0</v>
      </c>
      <c r="X127" s="7">
        <f>IFERROR(SUMIFS(Исход!$G:$G,Исход!$A:$A,X$1,Исход!$B:$B,$A127)/(SUMIFS(Исход!$G:$G,Исход!$A:$A,X$1,Исход!$B:$B,$A127)+SUMIFS(Исход!$D:$D,Исход!$A:$A,X$1,Исход!$B:$B,$A127)),0)</f>
        <v>0</v>
      </c>
      <c r="Y127" s="7">
        <f>IFERROR(SUMIFS(Исход!$G:$G,Исход!$A:$A,Y$1,Исход!$B:$B,$A127)/(SUMIFS(Исход!$G:$G,Исход!$A:$A,Y$1,Исход!$B:$B,$A127)+SUMIFS(Исход!$D:$D,Исход!$A:$A,Y$1,Исход!$B:$B,$A127)),0)</f>
        <v>0</v>
      </c>
      <c r="Z127" s="7">
        <f>IFERROR(SUMIFS(Исход!$G:$G,Исход!$A:$A,Z$1,Исход!$B:$B,$A127)/(SUMIFS(Исход!$G:$G,Исход!$A:$A,Z$1,Исход!$B:$B,$A127)+SUMIFS(Исход!$D:$D,Исход!$A:$A,Z$1,Исход!$B:$B,$A127)),0)</f>
        <v>0</v>
      </c>
      <c r="AA127" s="7">
        <f>IFERROR(SUMIFS(Исход!$G:$G,Исход!$A:$A,AA$1,Исход!$B:$B,$A127)/(SUMIFS(Исход!$G:$G,Исход!$A:$A,AA$1,Исход!$B:$B,$A127)+SUMIFS(Исход!$D:$D,Исход!$A:$A,AA$1,Исход!$B:$B,$A127)),0)</f>
        <v>0</v>
      </c>
      <c r="AB127" s="7">
        <f>IFERROR(SUMIFS(Исход!$G:$G,Исход!$A:$A,AB$1,Исход!$B:$B,$A127)/(SUMIFS(Исход!$G:$G,Исход!$A:$A,AB$1,Исход!$B:$B,$A127)+SUMIFS(Исход!$D:$D,Исход!$A:$A,AB$1,Исход!$B:$B,$A127)),0)</f>
        <v>0</v>
      </c>
      <c r="AC127" s="7">
        <f>IFERROR(SUMIFS(Исход!$G:$G,Исход!$A:$A,AC$1,Исход!$B:$B,$A127)/(SUMIFS(Исход!$G:$G,Исход!$A:$A,AC$1,Исход!$B:$B,$A127)+SUMIFS(Исход!$D:$D,Исход!$A:$A,AC$1,Исход!$B:$B,$A127)),0)</f>
        <v>0</v>
      </c>
      <c r="AD127" s="7">
        <f>IFERROR(SUMIFS(Исход!$G:$G,Исход!$A:$A,AD$1,Исход!$B:$B,$A127)/(SUMIFS(Исход!$G:$G,Исход!$A:$A,AD$1,Исход!$B:$B,$A127)+SUMIFS(Исход!$D:$D,Исход!$A:$A,AD$1,Исход!$B:$B,$A127)),0)</f>
        <v>0</v>
      </c>
      <c r="AE127" s="7">
        <f>IFERROR(SUMIFS(Исход!$G:$G,Исход!$A:$A,AE$1,Исход!$B:$B,$A127)/(SUMIFS(Исход!$G:$G,Исход!$A:$A,AE$1,Исход!$B:$B,$A127)+SUMIFS(Исход!$D:$D,Исход!$A:$A,AE$1,Исход!$B:$B,$A127)),0)</f>
        <v>0</v>
      </c>
      <c r="AF127" s="7">
        <f>IFERROR(SUMIFS(Исход!$G:$G,Исход!$A:$A,AF$1,Исход!$B:$B,$A127)/(SUMIFS(Исход!$G:$G,Исход!$A:$A,AF$1,Исход!$B:$B,$A127)+SUMIFS(Исход!$D:$D,Исход!$A:$A,AF$1,Исход!$B:$B,$A127)),0)</f>
        <v>0</v>
      </c>
      <c r="AG127" s="160">
        <f>IFERROR(SUMIFS(Исход!$G:$G,Исход!$A:$A,AG$1,Исход!$B:$B,$A127)/(SUMIFS(Исход!$G:$G,Исход!$A:$A,AG$1,Исход!$B:$B,$A127)+SUMIFS(Исход!$D:$D,Исход!$A:$A,AG$1,Исход!$B:$B,$A127)),0)</f>
        <v>0</v>
      </c>
    </row>
    <row r="128" spans="1:33" hidden="1" outlineLevel="1" x14ac:dyDescent="0.25">
      <c r="A128" s="103">
        <v>0.52083333333333337</v>
      </c>
      <c r="B128" s="123">
        <v>0.54166666666666663</v>
      </c>
      <c r="C128" s="159">
        <f>IFERROR(SUMIFS(Исход!$G:$G,Исход!$A:$A,C$1,Исход!$B:$B,$A128)/(SUMIFS(Исход!$G:$G,Исход!$A:$A,C$1,Исход!$B:$B,$A128)+SUMIFS(Исход!$D:$D,Исход!$A:$A,C$1,Исход!$B:$B,$A128)),0)</f>
        <v>0</v>
      </c>
      <c r="D128" s="7">
        <f>IFERROR(SUMIFS(Исход!$G:$G,Исход!$A:$A,D$1,Исход!$B:$B,$A128)/(SUMIFS(Исход!$G:$G,Исход!$A:$A,D$1,Исход!$B:$B,$A128)+SUMIFS(Исход!$D:$D,Исход!$A:$A,D$1,Исход!$B:$B,$A128)),0)</f>
        <v>0</v>
      </c>
      <c r="E128" s="7">
        <f>IFERROR(SUMIFS(Исход!$G:$G,Исход!$A:$A,E$1,Исход!$B:$B,$A128)/(SUMIFS(Исход!$G:$G,Исход!$A:$A,E$1,Исход!$B:$B,$A128)+SUMIFS(Исход!$D:$D,Исход!$A:$A,E$1,Исход!$B:$B,$A128)),0)</f>
        <v>0</v>
      </c>
      <c r="F128" s="7">
        <f>IFERROR(SUMIFS(Исход!$G:$G,Исход!$A:$A,F$1,Исход!$B:$B,$A128)/(SUMIFS(Исход!$G:$G,Исход!$A:$A,F$1,Исход!$B:$B,$A128)+SUMIFS(Исход!$D:$D,Исход!$A:$A,F$1,Исход!$B:$B,$A128)),0)</f>
        <v>0</v>
      </c>
      <c r="G128" s="7">
        <f>IFERROR(SUMIFS(Исход!$G:$G,Исход!$A:$A,G$1,Исход!$B:$B,$A128)/(SUMIFS(Исход!$G:$G,Исход!$A:$A,G$1,Исход!$B:$B,$A128)+SUMIFS(Исход!$D:$D,Исход!$A:$A,G$1,Исход!$B:$B,$A128)),0)</f>
        <v>0</v>
      </c>
      <c r="H128" s="7">
        <f>IFERROR(SUMIFS(Исход!$G:$G,Исход!$A:$A,H$1,Исход!$B:$B,$A128)/(SUMIFS(Исход!$G:$G,Исход!$A:$A,H$1,Исход!$B:$B,$A128)+SUMIFS(Исход!$D:$D,Исход!$A:$A,H$1,Исход!$B:$B,$A128)),0)</f>
        <v>0</v>
      </c>
      <c r="I128" s="7">
        <f>IFERROR(SUMIFS(Исход!$G:$G,Исход!$A:$A,I$1,Исход!$B:$B,$A128)/(SUMIFS(Исход!$G:$G,Исход!$A:$A,I$1,Исход!$B:$B,$A128)+SUMIFS(Исход!$D:$D,Исход!$A:$A,I$1,Исход!$B:$B,$A128)),0)</f>
        <v>0</v>
      </c>
      <c r="J128" s="7">
        <f>IFERROR(SUMIFS(Исход!$G:$G,Исход!$A:$A,J$1,Исход!$B:$B,$A128)/(SUMIFS(Исход!$G:$G,Исход!$A:$A,J$1,Исход!$B:$B,$A128)+SUMIFS(Исход!$D:$D,Исход!$A:$A,J$1,Исход!$B:$B,$A128)),0)</f>
        <v>0</v>
      </c>
      <c r="K128" s="7">
        <f>IFERROR(SUMIFS(Исход!$G:$G,Исход!$A:$A,K$1,Исход!$B:$B,$A128)/(SUMIFS(Исход!$G:$G,Исход!$A:$A,K$1,Исход!$B:$B,$A128)+SUMIFS(Исход!$D:$D,Исход!$A:$A,K$1,Исход!$B:$B,$A128)),0)</f>
        <v>0</v>
      </c>
      <c r="L128" s="7">
        <f>IFERROR(SUMIFS(Исход!$G:$G,Исход!$A:$A,L$1,Исход!$B:$B,$A128)/(SUMIFS(Исход!$G:$G,Исход!$A:$A,L$1,Исход!$B:$B,$A128)+SUMIFS(Исход!$D:$D,Исход!$A:$A,L$1,Исход!$B:$B,$A128)),0)</f>
        <v>0</v>
      </c>
      <c r="M128" s="7">
        <f>IFERROR(SUMIFS(Исход!$G:$G,Исход!$A:$A,M$1,Исход!$B:$B,$A128)/(SUMIFS(Исход!$G:$G,Исход!$A:$A,M$1,Исход!$B:$B,$A128)+SUMIFS(Исход!$D:$D,Исход!$A:$A,M$1,Исход!$B:$B,$A128)),0)</f>
        <v>0</v>
      </c>
      <c r="N128" s="7">
        <f>IFERROR(SUMIFS(Исход!$G:$G,Исход!$A:$A,N$1,Исход!$B:$B,$A128)/(SUMIFS(Исход!$G:$G,Исход!$A:$A,N$1,Исход!$B:$B,$A128)+SUMIFS(Исход!$D:$D,Исход!$A:$A,N$1,Исход!$B:$B,$A128)),0)</f>
        <v>0</v>
      </c>
      <c r="O128" s="7">
        <f>IFERROR(SUMIFS(Исход!$G:$G,Исход!$A:$A,O$1,Исход!$B:$B,$A128)/(SUMIFS(Исход!$G:$G,Исход!$A:$A,O$1,Исход!$B:$B,$A128)+SUMIFS(Исход!$D:$D,Исход!$A:$A,O$1,Исход!$B:$B,$A128)),0)</f>
        <v>0</v>
      </c>
      <c r="P128" s="7">
        <f>IFERROR(SUMIFS(Исход!$G:$G,Исход!$A:$A,P$1,Исход!$B:$B,$A128)/(SUMIFS(Исход!$G:$G,Исход!$A:$A,P$1,Исход!$B:$B,$A128)+SUMIFS(Исход!$D:$D,Исход!$A:$A,P$1,Исход!$B:$B,$A128)),0)</f>
        <v>0</v>
      </c>
      <c r="Q128" s="7">
        <f>IFERROR(SUMIFS(Исход!$G:$G,Исход!$A:$A,Q$1,Исход!$B:$B,$A128)/(SUMIFS(Исход!$G:$G,Исход!$A:$A,Q$1,Исход!$B:$B,$A128)+SUMIFS(Исход!$D:$D,Исход!$A:$A,Q$1,Исход!$B:$B,$A128)),0)</f>
        <v>0</v>
      </c>
      <c r="R128" s="7">
        <f>IFERROR(SUMIFS(Исход!$G:$G,Исход!$A:$A,R$1,Исход!$B:$B,$A128)/(SUMIFS(Исход!$G:$G,Исход!$A:$A,R$1,Исход!$B:$B,$A128)+SUMIFS(Исход!$D:$D,Исход!$A:$A,R$1,Исход!$B:$B,$A128)),0)</f>
        <v>0</v>
      </c>
      <c r="S128" s="7">
        <f>IFERROR(SUMIFS(Исход!$G:$G,Исход!$A:$A,S$1,Исход!$B:$B,$A128)/(SUMIFS(Исход!$G:$G,Исход!$A:$A,S$1,Исход!$B:$B,$A128)+SUMIFS(Исход!$D:$D,Исход!$A:$A,S$1,Исход!$B:$B,$A128)),0)</f>
        <v>0</v>
      </c>
      <c r="T128" s="7">
        <f>IFERROR(SUMIFS(Исход!$G:$G,Исход!$A:$A,T$1,Исход!$B:$B,$A128)/(SUMIFS(Исход!$G:$G,Исход!$A:$A,T$1,Исход!$B:$B,$A128)+SUMIFS(Исход!$D:$D,Исход!$A:$A,T$1,Исход!$B:$B,$A128)),0)</f>
        <v>0</v>
      </c>
      <c r="U128" s="7">
        <f>IFERROR(SUMIFS(Исход!$G:$G,Исход!$A:$A,U$1,Исход!$B:$B,$A128)/(SUMIFS(Исход!$G:$G,Исход!$A:$A,U$1,Исход!$B:$B,$A128)+SUMIFS(Исход!$D:$D,Исход!$A:$A,U$1,Исход!$B:$B,$A128)),0)</f>
        <v>0</v>
      </c>
      <c r="V128" s="7">
        <f>IFERROR(SUMIFS(Исход!$G:$G,Исход!$A:$A,V$1,Исход!$B:$B,$A128)/(SUMIFS(Исход!$G:$G,Исход!$A:$A,V$1,Исход!$B:$B,$A128)+SUMIFS(Исход!$D:$D,Исход!$A:$A,V$1,Исход!$B:$B,$A128)),0)</f>
        <v>0</v>
      </c>
      <c r="W128" s="7">
        <f>IFERROR(SUMIFS(Исход!$G:$G,Исход!$A:$A,W$1,Исход!$B:$B,$A128)/(SUMIFS(Исход!$G:$G,Исход!$A:$A,W$1,Исход!$B:$B,$A128)+SUMIFS(Исход!$D:$D,Исход!$A:$A,W$1,Исход!$B:$B,$A128)),0)</f>
        <v>0</v>
      </c>
      <c r="X128" s="7">
        <f>IFERROR(SUMIFS(Исход!$G:$G,Исход!$A:$A,X$1,Исход!$B:$B,$A128)/(SUMIFS(Исход!$G:$G,Исход!$A:$A,X$1,Исход!$B:$B,$A128)+SUMIFS(Исход!$D:$D,Исход!$A:$A,X$1,Исход!$B:$B,$A128)),0)</f>
        <v>0</v>
      </c>
      <c r="Y128" s="7">
        <f>IFERROR(SUMIFS(Исход!$G:$G,Исход!$A:$A,Y$1,Исход!$B:$B,$A128)/(SUMIFS(Исход!$G:$G,Исход!$A:$A,Y$1,Исход!$B:$B,$A128)+SUMIFS(Исход!$D:$D,Исход!$A:$A,Y$1,Исход!$B:$B,$A128)),0)</f>
        <v>0</v>
      </c>
      <c r="Z128" s="7">
        <f>IFERROR(SUMIFS(Исход!$G:$G,Исход!$A:$A,Z$1,Исход!$B:$B,$A128)/(SUMIFS(Исход!$G:$G,Исход!$A:$A,Z$1,Исход!$B:$B,$A128)+SUMIFS(Исход!$D:$D,Исход!$A:$A,Z$1,Исход!$B:$B,$A128)),0)</f>
        <v>0</v>
      </c>
      <c r="AA128" s="7">
        <f>IFERROR(SUMIFS(Исход!$G:$G,Исход!$A:$A,AA$1,Исход!$B:$B,$A128)/(SUMIFS(Исход!$G:$G,Исход!$A:$A,AA$1,Исход!$B:$B,$A128)+SUMIFS(Исход!$D:$D,Исход!$A:$A,AA$1,Исход!$B:$B,$A128)),0)</f>
        <v>0</v>
      </c>
      <c r="AB128" s="7">
        <f>IFERROR(SUMIFS(Исход!$G:$G,Исход!$A:$A,AB$1,Исход!$B:$B,$A128)/(SUMIFS(Исход!$G:$G,Исход!$A:$A,AB$1,Исход!$B:$B,$A128)+SUMIFS(Исход!$D:$D,Исход!$A:$A,AB$1,Исход!$B:$B,$A128)),0)</f>
        <v>0</v>
      </c>
      <c r="AC128" s="7">
        <f>IFERROR(SUMIFS(Исход!$G:$G,Исход!$A:$A,AC$1,Исход!$B:$B,$A128)/(SUMIFS(Исход!$G:$G,Исход!$A:$A,AC$1,Исход!$B:$B,$A128)+SUMIFS(Исход!$D:$D,Исход!$A:$A,AC$1,Исход!$B:$B,$A128)),0)</f>
        <v>0</v>
      </c>
      <c r="AD128" s="7">
        <f>IFERROR(SUMIFS(Исход!$G:$G,Исход!$A:$A,AD$1,Исход!$B:$B,$A128)/(SUMIFS(Исход!$G:$G,Исход!$A:$A,AD$1,Исход!$B:$B,$A128)+SUMIFS(Исход!$D:$D,Исход!$A:$A,AD$1,Исход!$B:$B,$A128)),0)</f>
        <v>0</v>
      </c>
      <c r="AE128" s="7">
        <f>IFERROR(SUMIFS(Исход!$G:$G,Исход!$A:$A,AE$1,Исход!$B:$B,$A128)/(SUMIFS(Исход!$G:$G,Исход!$A:$A,AE$1,Исход!$B:$B,$A128)+SUMIFS(Исход!$D:$D,Исход!$A:$A,AE$1,Исход!$B:$B,$A128)),0)</f>
        <v>0</v>
      </c>
      <c r="AF128" s="7">
        <f>IFERROR(SUMIFS(Исход!$G:$G,Исход!$A:$A,AF$1,Исход!$B:$B,$A128)/(SUMIFS(Исход!$G:$G,Исход!$A:$A,AF$1,Исход!$B:$B,$A128)+SUMIFS(Исход!$D:$D,Исход!$A:$A,AF$1,Исход!$B:$B,$A128)),0)</f>
        <v>0</v>
      </c>
      <c r="AG128" s="160">
        <f>IFERROR(SUMIFS(Исход!$G:$G,Исход!$A:$A,AG$1,Исход!$B:$B,$A128)/(SUMIFS(Исход!$G:$G,Исход!$A:$A,AG$1,Исход!$B:$B,$A128)+SUMIFS(Исход!$D:$D,Исход!$A:$A,AG$1,Исход!$B:$B,$A128)),0)</f>
        <v>0</v>
      </c>
    </row>
    <row r="129" spans="1:33" hidden="1" outlineLevel="1" x14ac:dyDescent="0.25">
      <c r="A129" s="103">
        <v>0.54166666666666663</v>
      </c>
      <c r="B129" s="123">
        <v>0.5625</v>
      </c>
      <c r="C129" s="159">
        <f>IFERROR(SUMIFS(Исход!$G:$G,Исход!$A:$A,C$1,Исход!$B:$B,$A129)/(SUMIFS(Исход!$G:$G,Исход!$A:$A,C$1,Исход!$B:$B,$A129)+SUMIFS(Исход!$D:$D,Исход!$A:$A,C$1,Исход!$B:$B,$A129)),0)</f>
        <v>0</v>
      </c>
      <c r="D129" s="7">
        <f>IFERROR(SUMIFS(Исход!$G:$G,Исход!$A:$A,D$1,Исход!$B:$B,$A129)/(SUMIFS(Исход!$G:$G,Исход!$A:$A,D$1,Исход!$B:$B,$A129)+SUMIFS(Исход!$D:$D,Исход!$A:$A,D$1,Исход!$B:$B,$A129)),0)</f>
        <v>0</v>
      </c>
      <c r="E129" s="7">
        <f>IFERROR(SUMIFS(Исход!$G:$G,Исход!$A:$A,E$1,Исход!$B:$B,$A129)/(SUMIFS(Исход!$G:$G,Исход!$A:$A,E$1,Исход!$B:$B,$A129)+SUMIFS(Исход!$D:$D,Исход!$A:$A,E$1,Исход!$B:$B,$A129)),0)</f>
        <v>0</v>
      </c>
      <c r="F129" s="7">
        <f>IFERROR(SUMIFS(Исход!$G:$G,Исход!$A:$A,F$1,Исход!$B:$B,$A129)/(SUMIFS(Исход!$G:$G,Исход!$A:$A,F$1,Исход!$B:$B,$A129)+SUMIFS(Исход!$D:$D,Исход!$A:$A,F$1,Исход!$B:$B,$A129)),0)</f>
        <v>0</v>
      </c>
      <c r="G129" s="7">
        <f>IFERROR(SUMIFS(Исход!$G:$G,Исход!$A:$A,G$1,Исход!$B:$B,$A129)/(SUMIFS(Исход!$G:$G,Исход!$A:$A,G$1,Исход!$B:$B,$A129)+SUMIFS(Исход!$D:$D,Исход!$A:$A,G$1,Исход!$B:$B,$A129)),0)</f>
        <v>0</v>
      </c>
      <c r="H129" s="7">
        <f>IFERROR(SUMIFS(Исход!$G:$G,Исход!$A:$A,H$1,Исход!$B:$B,$A129)/(SUMIFS(Исход!$G:$G,Исход!$A:$A,H$1,Исход!$B:$B,$A129)+SUMIFS(Исход!$D:$D,Исход!$A:$A,H$1,Исход!$B:$B,$A129)),0)</f>
        <v>0</v>
      </c>
      <c r="I129" s="7">
        <f>IFERROR(SUMIFS(Исход!$G:$G,Исход!$A:$A,I$1,Исход!$B:$B,$A129)/(SUMIFS(Исход!$G:$G,Исход!$A:$A,I$1,Исход!$B:$B,$A129)+SUMIFS(Исход!$D:$D,Исход!$A:$A,I$1,Исход!$B:$B,$A129)),0)</f>
        <v>0</v>
      </c>
      <c r="J129" s="7">
        <f>IFERROR(SUMIFS(Исход!$G:$G,Исход!$A:$A,J$1,Исход!$B:$B,$A129)/(SUMIFS(Исход!$G:$G,Исход!$A:$A,J$1,Исход!$B:$B,$A129)+SUMIFS(Исход!$D:$D,Исход!$A:$A,J$1,Исход!$B:$B,$A129)),0)</f>
        <v>0</v>
      </c>
      <c r="K129" s="7">
        <f>IFERROR(SUMIFS(Исход!$G:$G,Исход!$A:$A,K$1,Исход!$B:$B,$A129)/(SUMIFS(Исход!$G:$G,Исход!$A:$A,K$1,Исход!$B:$B,$A129)+SUMIFS(Исход!$D:$D,Исход!$A:$A,K$1,Исход!$B:$B,$A129)),0)</f>
        <v>0</v>
      </c>
      <c r="L129" s="7">
        <f>IFERROR(SUMIFS(Исход!$G:$G,Исход!$A:$A,L$1,Исход!$B:$B,$A129)/(SUMIFS(Исход!$G:$G,Исход!$A:$A,L$1,Исход!$B:$B,$A129)+SUMIFS(Исход!$D:$D,Исход!$A:$A,L$1,Исход!$B:$B,$A129)),0)</f>
        <v>0</v>
      </c>
      <c r="M129" s="7">
        <f>IFERROR(SUMIFS(Исход!$G:$G,Исход!$A:$A,M$1,Исход!$B:$B,$A129)/(SUMIFS(Исход!$G:$G,Исход!$A:$A,M$1,Исход!$B:$B,$A129)+SUMIFS(Исход!$D:$D,Исход!$A:$A,M$1,Исход!$B:$B,$A129)),0)</f>
        <v>0</v>
      </c>
      <c r="N129" s="7">
        <f>IFERROR(SUMIFS(Исход!$G:$G,Исход!$A:$A,N$1,Исход!$B:$B,$A129)/(SUMIFS(Исход!$G:$G,Исход!$A:$A,N$1,Исход!$B:$B,$A129)+SUMIFS(Исход!$D:$D,Исход!$A:$A,N$1,Исход!$B:$B,$A129)),0)</f>
        <v>0</v>
      </c>
      <c r="O129" s="7">
        <f>IFERROR(SUMIFS(Исход!$G:$G,Исход!$A:$A,O$1,Исход!$B:$B,$A129)/(SUMIFS(Исход!$G:$G,Исход!$A:$A,O$1,Исход!$B:$B,$A129)+SUMIFS(Исход!$D:$D,Исход!$A:$A,O$1,Исход!$B:$B,$A129)),0)</f>
        <v>0</v>
      </c>
      <c r="P129" s="7">
        <f>IFERROR(SUMIFS(Исход!$G:$G,Исход!$A:$A,P$1,Исход!$B:$B,$A129)/(SUMIFS(Исход!$G:$G,Исход!$A:$A,P$1,Исход!$B:$B,$A129)+SUMIFS(Исход!$D:$D,Исход!$A:$A,P$1,Исход!$B:$B,$A129)),0)</f>
        <v>0</v>
      </c>
      <c r="Q129" s="7">
        <f>IFERROR(SUMIFS(Исход!$G:$G,Исход!$A:$A,Q$1,Исход!$B:$B,$A129)/(SUMIFS(Исход!$G:$G,Исход!$A:$A,Q$1,Исход!$B:$B,$A129)+SUMIFS(Исход!$D:$D,Исход!$A:$A,Q$1,Исход!$B:$B,$A129)),0)</f>
        <v>0</v>
      </c>
      <c r="R129" s="7">
        <f>IFERROR(SUMIFS(Исход!$G:$G,Исход!$A:$A,R$1,Исход!$B:$B,$A129)/(SUMIFS(Исход!$G:$G,Исход!$A:$A,R$1,Исход!$B:$B,$A129)+SUMIFS(Исход!$D:$D,Исход!$A:$A,R$1,Исход!$B:$B,$A129)),0)</f>
        <v>0</v>
      </c>
      <c r="S129" s="7">
        <f>IFERROR(SUMIFS(Исход!$G:$G,Исход!$A:$A,S$1,Исход!$B:$B,$A129)/(SUMIFS(Исход!$G:$G,Исход!$A:$A,S$1,Исход!$B:$B,$A129)+SUMIFS(Исход!$D:$D,Исход!$A:$A,S$1,Исход!$B:$B,$A129)),0)</f>
        <v>0</v>
      </c>
      <c r="T129" s="7">
        <f>IFERROR(SUMIFS(Исход!$G:$G,Исход!$A:$A,T$1,Исход!$B:$B,$A129)/(SUMIFS(Исход!$G:$G,Исход!$A:$A,T$1,Исход!$B:$B,$A129)+SUMIFS(Исход!$D:$D,Исход!$A:$A,T$1,Исход!$B:$B,$A129)),0)</f>
        <v>0</v>
      </c>
      <c r="U129" s="7">
        <f>IFERROR(SUMIFS(Исход!$G:$G,Исход!$A:$A,U$1,Исход!$B:$B,$A129)/(SUMIFS(Исход!$G:$G,Исход!$A:$A,U$1,Исход!$B:$B,$A129)+SUMIFS(Исход!$D:$D,Исход!$A:$A,U$1,Исход!$B:$B,$A129)),0)</f>
        <v>0</v>
      </c>
      <c r="V129" s="7">
        <f>IFERROR(SUMIFS(Исход!$G:$G,Исход!$A:$A,V$1,Исход!$B:$B,$A129)/(SUMIFS(Исход!$G:$G,Исход!$A:$A,V$1,Исход!$B:$B,$A129)+SUMIFS(Исход!$D:$D,Исход!$A:$A,V$1,Исход!$B:$B,$A129)),0)</f>
        <v>0</v>
      </c>
      <c r="W129" s="7">
        <f>IFERROR(SUMIFS(Исход!$G:$G,Исход!$A:$A,W$1,Исход!$B:$B,$A129)/(SUMIFS(Исход!$G:$G,Исход!$A:$A,W$1,Исход!$B:$B,$A129)+SUMIFS(Исход!$D:$D,Исход!$A:$A,W$1,Исход!$B:$B,$A129)),0)</f>
        <v>0</v>
      </c>
      <c r="X129" s="7">
        <f>IFERROR(SUMIFS(Исход!$G:$G,Исход!$A:$A,X$1,Исход!$B:$B,$A129)/(SUMIFS(Исход!$G:$G,Исход!$A:$A,X$1,Исход!$B:$B,$A129)+SUMIFS(Исход!$D:$D,Исход!$A:$A,X$1,Исход!$B:$B,$A129)),0)</f>
        <v>0</v>
      </c>
      <c r="Y129" s="7">
        <f>IFERROR(SUMIFS(Исход!$G:$G,Исход!$A:$A,Y$1,Исход!$B:$B,$A129)/(SUMIFS(Исход!$G:$G,Исход!$A:$A,Y$1,Исход!$B:$B,$A129)+SUMIFS(Исход!$D:$D,Исход!$A:$A,Y$1,Исход!$B:$B,$A129)),0)</f>
        <v>0</v>
      </c>
      <c r="Z129" s="7">
        <f>IFERROR(SUMIFS(Исход!$G:$G,Исход!$A:$A,Z$1,Исход!$B:$B,$A129)/(SUMIFS(Исход!$G:$G,Исход!$A:$A,Z$1,Исход!$B:$B,$A129)+SUMIFS(Исход!$D:$D,Исход!$A:$A,Z$1,Исход!$B:$B,$A129)),0)</f>
        <v>0</v>
      </c>
      <c r="AA129" s="7">
        <f>IFERROR(SUMIFS(Исход!$G:$G,Исход!$A:$A,AA$1,Исход!$B:$B,$A129)/(SUMIFS(Исход!$G:$G,Исход!$A:$A,AA$1,Исход!$B:$B,$A129)+SUMIFS(Исход!$D:$D,Исход!$A:$A,AA$1,Исход!$B:$B,$A129)),0)</f>
        <v>0</v>
      </c>
      <c r="AB129" s="7">
        <f>IFERROR(SUMIFS(Исход!$G:$G,Исход!$A:$A,AB$1,Исход!$B:$B,$A129)/(SUMIFS(Исход!$G:$G,Исход!$A:$A,AB$1,Исход!$B:$B,$A129)+SUMIFS(Исход!$D:$D,Исход!$A:$A,AB$1,Исход!$B:$B,$A129)),0)</f>
        <v>0</v>
      </c>
      <c r="AC129" s="7">
        <f>IFERROR(SUMIFS(Исход!$G:$G,Исход!$A:$A,AC$1,Исход!$B:$B,$A129)/(SUMIFS(Исход!$G:$G,Исход!$A:$A,AC$1,Исход!$B:$B,$A129)+SUMIFS(Исход!$D:$D,Исход!$A:$A,AC$1,Исход!$B:$B,$A129)),0)</f>
        <v>0</v>
      </c>
      <c r="AD129" s="7">
        <f>IFERROR(SUMIFS(Исход!$G:$G,Исход!$A:$A,AD$1,Исход!$B:$B,$A129)/(SUMIFS(Исход!$G:$G,Исход!$A:$A,AD$1,Исход!$B:$B,$A129)+SUMIFS(Исход!$D:$D,Исход!$A:$A,AD$1,Исход!$B:$B,$A129)),0)</f>
        <v>0</v>
      </c>
      <c r="AE129" s="7">
        <f>IFERROR(SUMIFS(Исход!$G:$G,Исход!$A:$A,AE$1,Исход!$B:$B,$A129)/(SUMIFS(Исход!$G:$G,Исход!$A:$A,AE$1,Исход!$B:$B,$A129)+SUMIFS(Исход!$D:$D,Исход!$A:$A,AE$1,Исход!$B:$B,$A129)),0)</f>
        <v>0</v>
      </c>
      <c r="AF129" s="7">
        <f>IFERROR(SUMIFS(Исход!$G:$G,Исход!$A:$A,AF$1,Исход!$B:$B,$A129)/(SUMIFS(Исход!$G:$G,Исход!$A:$A,AF$1,Исход!$B:$B,$A129)+SUMIFS(Исход!$D:$D,Исход!$A:$A,AF$1,Исход!$B:$B,$A129)),0)</f>
        <v>0</v>
      </c>
      <c r="AG129" s="160">
        <f>IFERROR(SUMIFS(Исход!$G:$G,Исход!$A:$A,AG$1,Исход!$B:$B,$A129)/(SUMIFS(Исход!$G:$G,Исход!$A:$A,AG$1,Исход!$B:$B,$A129)+SUMIFS(Исход!$D:$D,Исход!$A:$A,AG$1,Исход!$B:$B,$A129)),0)</f>
        <v>0</v>
      </c>
    </row>
    <row r="130" spans="1:33" hidden="1" outlineLevel="1" x14ac:dyDescent="0.25">
      <c r="A130" s="103">
        <v>0.5625</v>
      </c>
      <c r="B130" s="123">
        <v>0.58333333333333337</v>
      </c>
      <c r="C130" s="159">
        <f>IFERROR(SUMIFS(Исход!$G:$G,Исход!$A:$A,C$1,Исход!$B:$B,$A130)/(SUMIFS(Исход!$G:$G,Исход!$A:$A,C$1,Исход!$B:$B,$A130)+SUMIFS(Исход!$D:$D,Исход!$A:$A,C$1,Исход!$B:$B,$A130)),0)</f>
        <v>0</v>
      </c>
      <c r="D130" s="7">
        <f>IFERROR(SUMIFS(Исход!$G:$G,Исход!$A:$A,D$1,Исход!$B:$B,$A130)/(SUMIFS(Исход!$G:$G,Исход!$A:$A,D$1,Исход!$B:$B,$A130)+SUMIFS(Исход!$D:$D,Исход!$A:$A,D$1,Исход!$B:$B,$A130)),0)</f>
        <v>0</v>
      </c>
      <c r="E130" s="7">
        <f>IFERROR(SUMIFS(Исход!$G:$G,Исход!$A:$A,E$1,Исход!$B:$B,$A130)/(SUMIFS(Исход!$G:$G,Исход!$A:$A,E$1,Исход!$B:$B,$A130)+SUMIFS(Исход!$D:$D,Исход!$A:$A,E$1,Исход!$B:$B,$A130)),0)</f>
        <v>0</v>
      </c>
      <c r="F130" s="7">
        <f>IFERROR(SUMIFS(Исход!$G:$G,Исход!$A:$A,F$1,Исход!$B:$B,$A130)/(SUMIFS(Исход!$G:$G,Исход!$A:$A,F$1,Исход!$B:$B,$A130)+SUMIFS(Исход!$D:$D,Исход!$A:$A,F$1,Исход!$B:$B,$A130)),0)</f>
        <v>0</v>
      </c>
      <c r="G130" s="7">
        <f>IFERROR(SUMIFS(Исход!$G:$G,Исход!$A:$A,G$1,Исход!$B:$B,$A130)/(SUMIFS(Исход!$G:$G,Исход!$A:$A,G$1,Исход!$B:$B,$A130)+SUMIFS(Исход!$D:$D,Исход!$A:$A,G$1,Исход!$B:$B,$A130)),0)</f>
        <v>0</v>
      </c>
      <c r="H130" s="7">
        <f>IFERROR(SUMIFS(Исход!$G:$G,Исход!$A:$A,H$1,Исход!$B:$B,$A130)/(SUMIFS(Исход!$G:$G,Исход!$A:$A,H$1,Исход!$B:$B,$A130)+SUMIFS(Исход!$D:$D,Исход!$A:$A,H$1,Исход!$B:$B,$A130)),0)</f>
        <v>0</v>
      </c>
      <c r="I130" s="7">
        <f>IFERROR(SUMIFS(Исход!$G:$G,Исход!$A:$A,I$1,Исход!$B:$B,$A130)/(SUMIFS(Исход!$G:$G,Исход!$A:$A,I$1,Исход!$B:$B,$A130)+SUMIFS(Исход!$D:$D,Исход!$A:$A,I$1,Исход!$B:$B,$A130)),0)</f>
        <v>0</v>
      </c>
      <c r="J130" s="7">
        <f>IFERROR(SUMIFS(Исход!$G:$G,Исход!$A:$A,J$1,Исход!$B:$B,$A130)/(SUMIFS(Исход!$G:$G,Исход!$A:$A,J$1,Исход!$B:$B,$A130)+SUMIFS(Исход!$D:$D,Исход!$A:$A,J$1,Исход!$B:$B,$A130)),0)</f>
        <v>0</v>
      </c>
      <c r="K130" s="7">
        <f>IFERROR(SUMIFS(Исход!$G:$G,Исход!$A:$A,K$1,Исход!$B:$B,$A130)/(SUMIFS(Исход!$G:$G,Исход!$A:$A,K$1,Исход!$B:$B,$A130)+SUMIFS(Исход!$D:$D,Исход!$A:$A,K$1,Исход!$B:$B,$A130)),0)</f>
        <v>0</v>
      </c>
      <c r="L130" s="7">
        <f>IFERROR(SUMIFS(Исход!$G:$G,Исход!$A:$A,L$1,Исход!$B:$B,$A130)/(SUMIFS(Исход!$G:$G,Исход!$A:$A,L$1,Исход!$B:$B,$A130)+SUMIFS(Исход!$D:$D,Исход!$A:$A,L$1,Исход!$B:$B,$A130)),0)</f>
        <v>0</v>
      </c>
      <c r="M130" s="7">
        <f>IFERROR(SUMIFS(Исход!$G:$G,Исход!$A:$A,M$1,Исход!$B:$B,$A130)/(SUMIFS(Исход!$G:$G,Исход!$A:$A,M$1,Исход!$B:$B,$A130)+SUMIFS(Исход!$D:$D,Исход!$A:$A,M$1,Исход!$B:$B,$A130)),0)</f>
        <v>0</v>
      </c>
      <c r="N130" s="7">
        <f>IFERROR(SUMIFS(Исход!$G:$G,Исход!$A:$A,N$1,Исход!$B:$B,$A130)/(SUMIFS(Исход!$G:$G,Исход!$A:$A,N$1,Исход!$B:$B,$A130)+SUMIFS(Исход!$D:$D,Исход!$A:$A,N$1,Исход!$B:$B,$A130)),0)</f>
        <v>0</v>
      </c>
      <c r="O130" s="7">
        <f>IFERROR(SUMIFS(Исход!$G:$G,Исход!$A:$A,O$1,Исход!$B:$B,$A130)/(SUMIFS(Исход!$G:$G,Исход!$A:$A,O$1,Исход!$B:$B,$A130)+SUMIFS(Исход!$D:$D,Исход!$A:$A,O$1,Исход!$B:$B,$A130)),0)</f>
        <v>0</v>
      </c>
      <c r="P130" s="7">
        <f>IFERROR(SUMIFS(Исход!$G:$G,Исход!$A:$A,P$1,Исход!$B:$B,$A130)/(SUMIFS(Исход!$G:$G,Исход!$A:$A,P$1,Исход!$B:$B,$A130)+SUMIFS(Исход!$D:$D,Исход!$A:$A,P$1,Исход!$B:$B,$A130)),0)</f>
        <v>0</v>
      </c>
      <c r="Q130" s="7">
        <f>IFERROR(SUMIFS(Исход!$G:$G,Исход!$A:$A,Q$1,Исход!$B:$B,$A130)/(SUMIFS(Исход!$G:$G,Исход!$A:$A,Q$1,Исход!$B:$B,$A130)+SUMIFS(Исход!$D:$D,Исход!$A:$A,Q$1,Исход!$B:$B,$A130)),0)</f>
        <v>0</v>
      </c>
      <c r="R130" s="7">
        <f>IFERROR(SUMIFS(Исход!$G:$G,Исход!$A:$A,R$1,Исход!$B:$B,$A130)/(SUMIFS(Исход!$G:$G,Исход!$A:$A,R$1,Исход!$B:$B,$A130)+SUMIFS(Исход!$D:$D,Исход!$A:$A,R$1,Исход!$B:$B,$A130)),0)</f>
        <v>0</v>
      </c>
      <c r="S130" s="7">
        <f>IFERROR(SUMIFS(Исход!$G:$G,Исход!$A:$A,S$1,Исход!$B:$B,$A130)/(SUMIFS(Исход!$G:$G,Исход!$A:$A,S$1,Исход!$B:$B,$A130)+SUMIFS(Исход!$D:$D,Исход!$A:$A,S$1,Исход!$B:$B,$A130)),0)</f>
        <v>0</v>
      </c>
      <c r="T130" s="7">
        <f>IFERROR(SUMIFS(Исход!$G:$G,Исход!$A:$A,T$1,Исход!$B:$B,$A130)/(SUMIFS(Исход!$G:$G,Исход!$A:$A,T$1,Исход!$B:$B,$A130)+SUMIFS(Исход!$D:$D,Исход!$A:$A,T$1,Исход!$B:$B,$A130)),0)</f>
        <v>0</v>
      </c>
      <c r="U130" s="7">
        <f>IFERROR(SUMIFS(Исход!$G:$G,Исход!$A:$A,U$1,Исход!$B:$B,$A130)/(SUMIFS(Исход!$G:$G,Исход!$A:$A,U$1,Исход!$B:$B,$A130)+SUMIFS(Исход!$D:$D,Исход!$A:$A,U$1,Исход!$B:$B,$A130)),0)</f>
        <v>0</v>
      </c>
      <c r="V130" s="7">
        <f>IFERROR(SUMIFS(Исход!$G:$G,Исход!$A:$A,V$1,Исход!$B:$B,$A130)/(SUMIFS(Исход!$G:$G,Исход!$A:$A,V$1,Исход!$B:$B,$A130)+SUMIFS(Исход!$D:$D,Исход!$A:$A,V$1,Исход!$B:$B,$A130)),0)</f>
        <v>0</v>
      </c>
      <c r="W130" s="7">
        <f>IFERROR(SUMIFS(Исход!$G:$G,Исход!$A:$A,W$1,Исход!$B:$B,$A130)/(SUMIFS(Исход!$G:$G,Исход!$A:$A,W$1,Исход!$B:$B,$A130)+SUMIFS(Исход!$D:$D,Исход!$A:$A,W$1,Исход!$B:$B,$A130)),0)</f>
        <v>0</v>
      </c>
      <c r="X130" s="7">
        <f>IFERROR(SUMIFS(Исход!$G:$G,Исход!$A:$A,X$1,Исход!$B:$B,$A130)/(SUMIFS(Исход!$G:$G,Исход!$A:$A,X$1,Исход!$B:$B,$A130)+SUMIFS(Исход!$D:$D,Исход!$A:$A,X$1,Исход!$B:$B,$A130)),0)</f>
        <v>0</v>
      </c>
      <c r="Y130" s="7">
        <f>IFERROR(SUMIFS(Исход!$G:$G,Исход!$A:$A,Y$1,Исход!$B:$B,$A130)/(SUMIFS(Исход!$G:$G,Исход!$A:$A,Y$1,Исход!$B:$B,$A130)+SUMIFS(Исход!$D:$D,Исход!$A:$A,Y$1,Исход!$B:$B,$A130)),0)</f>
        <v>0</v>
      </c>
      <c r="Z130" s="7">
        <f>IFERROR(SUMIFS(Исход!$G:$G,Исход!$A:$A,Z$1,Исход!$B:$B,$A130)/(SUMIFS(Исход!$G:$G,Исход!$A:$A,Z$1,Исход!$B:$B,$A130)+SUMIFS(Исход!$D:$D,Исход!$A:$A,Z$1,Исход!$B:$B,$A130)),0)</f>
        <v>0</v>
      </c>
      <c r="AA130" s="7">
        <f>IFERROR(SUMIFS(Исход!$G:$G,Исход!$A:$A,AA$1,Исход!$B:$B,$A130)/(SUMIFS(Исход!$G:$G,Исход!$A:$A,AA$1,Исход!$B:$B,$A130)+SUMIFS(Исход!$D:$D,Исход!$A:$A,AA$1,Исход!$B:$B,$A130)),0)</f>
        <v>0</v>
      </c>
      <c r="AB130" s="7">
        <f>IFERROR(SUMIFS(Исход!$G:$G,Исход!$A:$A,AB$1,Исход!$B:$B,$A130)/(SUMIFS(Исход!$G:$G,Исход!$A:$A,AB$1,Исход!$B:$B,$A130)+SUMIFS(Исход!$D:$D,Исход!$A:$A,AB$1,Исход!$B:$B,$A130)),0)</f>
        <v>0</v>
      </c>
      <c r="AC130" s="7">
        <f>IFERROR(SUMIFS(Исход!$G:$G,Исход!$A:$A,AC$1,Исход!$B:$B,$A130)/(SUMIFS(Исход!$G:$G,Исход!$A:$A,AC$1,Исход!$B:$B,$A130)+SUMIFS(Исход!$D:$D,Исход!$A:$A,AC$1,Исход!$B:$B,$A130)),0)</f>
        <v>0</v>
      </c>
      <c r="AD130" s="7">
        <f>IFERROR(SUMIFS(Исход!$G:$G,Исход!$A:$A,AD$1,Исход!$B:$B,$A130)/(SUMIFS(Исход!$G:$G,Исход!$A:$A,AD$1,Исход!$B:$B,$A130)+SUMIFS(Исход!$D:$D,Исход!$A:$A,AD$1,Исход!$B:$B,$A130)),0)</f>
        <v>0</v>
      </c>
      <c r="AE130" s="7">
        <f>IFERROR(SUMIFS(Исход!$G:$G,Исход!$A:$A,AE$1,Исход!$B:$B,$A130)/(SUMIFS(Исход!$G:$G,Исход!$A:$A,AE$1,Исход!$B:$B,$A130)+SUMIFS(Исход!$D:$D,Исход!$A:$A,AE$1,Исход!$B:$B,$A130)),0)</f>
        <v>0</v>
      </c>
      <c r="AF130" s="7">
        <f>IFERROR(SUMIFS(Исход!$G:$G,Исход!$A:$A,AF$1,Исход!$B:$B,$A130)/(SUMIFS(Исход!$G:$G,Исход!$A:$A,AF$1,Исход!$B:$B,$A130)+SUMIFS(Исход!$D:$D,Исход!$A:$A,AF$1,Исход!$B:$B,$A130)),0)</f>
        <v>0</v>
      </c>
      <c r="AG130" s="160">
        <f>IFERROR(SUMIFS(Исход!$G:$G,Исход!$A:$A,AG$1,Исход!$B:$B,$A130)/(SUMIFS(Исход!$G:$G,Исход!$A:$A,AG$1,Исход!$B:$B,$A130)+SUMIFS(Исход!$D:$D,Исход!$A:$A,AG$1,Исход!$B:$B,$A130)),0)</f>
        <v>0</v>
      </c>
    </row>
    <row r="131" spans="1:33" hidden="1" outlineLevel="1" x14ac:dyDescent="0.25">
      <c r="A131" s="103">
        <v>0.58333333333333337</v>
      </c>
      <c r="B131" s="123">
        <v>0.60416666666666663</v>
      </c>
      <c r="C131" s="159">
        <f>IFERROR(SUMIFS(Исход!$G:$G,Исход!$A:$A,C$1,Исход!$B:$B,$A131)/(SUMIFS(Исход!$G:$G,Исход!$A:$A,C$1,Исход!$B:$B,$A131)+SUMIFS(Исход!$D:$D,Исход!$A:$A,C$1,Исход!$B:$B,$A131)),0)</f>
        <v>0</v>
      </c>
      <c r="D131" s="7">
        <f>IFERROR(SUMIFS(Исход!$G:$G,Исход!$A:$A,D$1,Исход!$B:$B,$A131)/(SUMIFS(Исход!$G:$G,Исход!$A:$A,D$1,Исход!$B:$B,$A131)+SUMIFS(Исход!$D:$D,Исход!$A:$A,D$1,Исход!$B:$B,$A131)),0)</f>
        <v>0</v>
      </c>
      <c r="E131" s="7">
        <f>IFERROR(SUMIFS(Исход!$G:$G,Исход!$A:$A,E$1,Исход!$B:$B,$A131)/(SUMIFS(Исход!$G:$G,Исход!$A:$A,E$1,Исход!$B:$B,$A131)+SUMIFS(Исход!$D:$D,Исход!$A:$A,E$1,Исход!$B:$B,$A131)),0)</f>
        <v>0</v>
      </c>
      <c r="F131" s="7">
        <f>IFERROR(SUMIFS(Исход!$G:$G,Исход!$A:$A,F$1,Исход!$B:$B,$A131)/(SUMIFS(Исход!$G:$G,Исход!$A:$A,F$1,Исход!$B:$B,$A131)+SUMIFS(Исход!$D:$D,Исход!$A:$A,F$1,Исход!$B:$B,$A131)),0)</f>
        <v>0</v>
      </c>
      <c r="G131" s="7">
        <f>IFERROR(SUMIFS(Исход!$G:$G,Исход!$A:$A,G$1,Исход!$B:$B,$A131)/(SUMIFS(Исход!$G:$G,Исход!$A:$A,G$1,Исход!$B:$B,$A131)+SUMIFS(Исход!$D:$D,Исход!$A:$A,G$1,Исход!$B:$B,$A131)),0)</f>
        <v>0</v>
      </c>
      <c r="H131" s="7">
        <f>IFERROR(SUMIFS(Исход!$G:$G,Исход!$A:$A,H$1,Исход!$B:$B,$A131)/(SUMIFS(Исход!$G:$G,Исход!$A:$A,H$1,Исход!$B:$B,$A131)+SUMIFS(Исход!$D:$D,Исход!$A:$A,H$1,Исход!$B:$B,$A131)),0)</f>
        <v>0</v>
      </c>
      <c r="I131" s="7">
        <f>IFERROR(SUMIFS(Исход!$G:$G,Исход!$A:$A,I$1,Исход!$B:$B,$A131)/(SUMIFS(Исход!$G:$G,Исход!$A:$A,I$1,Исход!$B:$B,$A131)+SUMIFS(Исход!$D:$D,Исход!$A:$A,I$1,Исход!$B:$B,$A131)),0)</f>
        <v>0</v>
      </c>
      <c r="J131" s="7">
        <f>IFERROR(SUMIFS(Исход!$G:$G,Исход!$A:$A,J$1,Исход!$B:$B,$A131)/(SUMIFS(Исход!$G:$G,Исход!$A:$A,J$1,Исход!$B:$B,$A131)+SUMIFS(Исход!$D:$D,Исход!$A:$A,J$1,Исход!$B:$B,$A131)),0)</f>
        <v>0</v>
      </c>
      <c r="K131" s="7">
        <f>IFERROR(SUMIFS(Исход!$G:$G,Исход!$A:$A,K$1,Исход!$B:$B,$A131)/(SUMIFS(Исход!$G:$G,Исход!$A:$A,K$1,Исход!$B:$B,$A131)+SUMIFS(Исход!$D:$D,Исход!$A:$A,K$1,Исход!$B:$B,$A131)),0)</f>
        <v>0</v>
      </c>
      <c r="L131" s="7">
        <f>IFERROR(SUMIFS(Исход!$G:$G,Исход!$A:$A,L$1,Исход!$B:$B,$A131)/(SUMIFS(Исход!$G:$G,Исход!$A:$A,L$1,Исход!$B:$B,$A131)+SUMIFS(Исход!$D:$D,Исход!$A:$A,L$1,Исход!$B:$B,$A131)),0)</f>
        <v>0</v>
      </c>
      <c r="M131" s="7">
        <f>IFERROR(SUMIFS(Исход!$G:$G,Исход!$A:$A,M$1,Исход!$B:$B,$A131)/(SUMIFS(Исход!$G:$G,Исход!$A:$A,M$1,Исход!$B:$B,$A131)+SUMIFS(Исход!$D:$D,Исход!$A:$A,M$1,Исход!$B:$B,$A131)),0)</f>
        <v>0</v>
      </c>
      <c r="N131" s="7">
        <f>IFERROR(SUMIFS(Исход!$G:$G,Исход!$A:$A,N$1,Исход!$B:$B,$A131)/(SUMIFS(Исход!$G:$G,Исход!$A:$A,N$1,Исход!$B:$B,$A131)+SUMIFS(Исход!$D:$D,Исход!$A:$A,N$1,Исход!$B:$B,$A131)),0)</f>
        <v>0</v>
      </c>
      <c r="O131" s="7">
        <f>IFERROR(SUMIFS(Исход!$G:$G,Исход!$A:$A,O$1,Исход!$B:$B,$A131)/(SUMIFS(Исход!$G:$G,Исход!$A:$A,O$1,Исход!$B:$B,$A131)+SUMIFS(Исход!$D:$D,Исход!$A:$A,O$1,Исход!$B:$B,$A131)),0)</f>
        <v>0</v>
      </c>
      <c r="P131" s="7">
        <f>IFERROR(SUMIFS(Исход!$G:$G,Исход!$A:$A,P$1,Исход!$B:$B,$A131)/(SUMIFS(Исход!$G:$G,Исход!$A:$A,P$1,Исход!$B:$B,$A131)+SUMIFS(Исход!$D:$D,Исход!$A:$A,P$1,Исход!$B:$B,$A131)),0)</f>
        <v>0</v>
      </c>
      <c r="Q131" s="7">
        <f>IFERROR(SUMIFS(Исход!$G:$G,Исход!$A:$A,Q$1,Исход!$B:$B,$A131)/(SUMIFS(Исход!$G:$G,Исход!$A:$A,Q$1,Исход!$B:$B,$A131)+SUMIFS(Исход!$D:$D,Исход!$A:$A,Q$1,Исход!$B:$B,$A131)),0)</f>
        <v>0</v>
      </c>
      <c r="R131" s="7">
        <f>IFERROR(SUMIFS(Исход!$G:$G,Исход!$A:$A,R$1,Исход!$B:$B,$A131)/(SUMIFS(Исход!$G:$G,Исход!$A:$A,R$1,Исход!$B:$B,$A131)+SUMIFS(Исход!$D:$D,Исход!$A:$A,R$1,Исход!$B:$B,$A131)),0)</f>
        <v>0</v>
      </c>
      <c r="S131" s="7">
        <f>IFERROR(SUMIFS(Исход!$G:$G,Исход!$A:$A,S$1,Исход!$B:$B,$A131)/(SUMIFS(Исход!$G:$G,Исход!$A:$A,S$1,Исход!$B:$B,$A131)+SUMIFS(Исход!$D:$D,Исход!$A:$A,S$1,Исход!$B:$B,$A131)),0)</f>
        <v>0</v>
      </c>
      <c r="T131" s="7">
        <f>IFERROR(SUMIFS(Исход!$G:$G,Исход!$A:$A,T$1,Исход!$B:$B,$A131)/(SUMIFS(Исход!$G:$G,Исход!$A:$A,T$1,Исход!$B:$B,$A131)+SUMIFS(Исход!$D:$D,Исход!$A:$A,T$1,Исход!$B:$B,$A131)),0)</f>
        <v>0</v>
      </c>
      <c r="U131" s="7">
        <f>IFERROR(SUMIFS(Исход!$G:$G,Исход!$A:$A,U$1,Исход!$B:$B,$A131)/(SUMIFS(Исход!$G:$G,Исход!$A:$A,U$1,Исход!$B:$B,$A131)+SUMIFS(Исход!$D:$D,Исход!$A:$A,U$1,Исход!$B:$B,$A131)),0)</f>
        <v>0</v>
      </c>
      <c r="V131" s="7">
        <f>IFERROR(SUMIFS(Исход!$G:$G,Исход!$A:$A,V$1,Исход!$B:$B,$A131)/(SUMIFS(Исход!$G:$G,Исход!$A:$A,V$1,Исход!$B:$B,$A131)+SUMIFS(Исход!$D:$D,Исход!$A:$A,V$1,Исход!$B:$B,$A131)),0)</f>
        <v>0</v>
      </c>
      <c r="W131" s="7">
        <f>IFERROR(SUMIFS(Исход!$G:$G,Исход!$A:$A,W$1,Исход!$B:$B,$A131)/(SUMIFS(Исход!$G:$G,Исход!$A:$A,W$1,Исход!$B:$B,$A131)+SUMIFS(Исход!$D:$D,Исход!$A:$A,W$1,Исход!$B:$B,$A131)),0)</f>
        <v>0</v>
      </c>
      <c r="X131" s="7">
        <f>IFERROR(SUMIFS(Исход!$G:$G,Исход!$A:$A,X$1,Исход!$B:$B,$A131)/(SUMIFS(Исход!$G:$G,Исход!$A:$A,X$1,Исход!$B:$B,$A131)+SUMIFS(Исход!$D:$D,Исход!$A:$A,X$1,Исход!$B:$B,$A131)),0)</f>
        <v>0</v>
      </c>
      <c r="Y131" s="7">
        <f>IFERROR(SUMIFS(Исход!$G:$G,Исход!$A:$A,Y$1,Исход!$B:$B,$A131)/(SUMIFS(Исход!$G:$G,Исход!$A:$A,Y$1,Исход!$B:$B,$A131)+SUMIFS(Исход!$D:$D,Исход!$A:$A,Y$1,Исход!$B:$B,$A131)),0)</f>
        <v>0</v>
      </c>
      <c r="Z131" s="7">
        <f>IFERROR(SUMIFS(Исход!$G:$G,Исход!$A:$A,Z$1,Исход!$B:$B,$A131)/(SUMIFS(Исход!$G:$G,Исход!$A:$A,Z$1,Исход!$B:$B,$A131)+SUMIFS(Исход!$D:$D,Исход!$A:$A,Z$1,Исход!$B:$B,$A131)),0)</f>
        <v>0</v>
      </c>
      <c r="AA131" s="7">
        <f>IFERROR(SUMIFS(Исход!$G:$G,Исход!$A:$A,AA$1,Исход!$B:$B,$A131)/(SUMIFS(Исход!$G:$G,Исход!$A:$A,AA$1,Исход!$B:$B,$A131)+SUMIFS(Исход!$D:$D,Исход!$A:$A,AA$1,Исход!$B:$B,$A131)),0)</f>
        <v>0</v>
      </c>
      <c r="AB131" s="7">
        <f>IFERROR(SUMIFS(Исход!$G:$G,Исход!$A:$A,AB$1,Исход!$B:$B,$A131)/(SUMIFS(Исход!$G:$G,Исход!$A:$A,AB$1,Исход!$B:$B,$A131)+SUMIFS(Исход!$D:$D,Исход!$A:$A,AB$1,Исход!$B:$B,$A131)),0)</f>
        <v>0</v>
      </c>
      <c r="AC131" s="7">
        <f>IFERROR(SUMIFS(Исход!$G:$G,Исход!$A:$A,AC$1,Исход!$B:$B,$A131)/(SUMIFS(Исход!$G:$G,Исход!$A:$A,AC$1,Исход!$B:$B,$A131)+SUMIFS(Исход!$D:$D,Исход!$A:$A,AC$1,Исход!$B:$B,$A131)),0)</f>
        <v>0</v>
      </c>
      <c r="AD131" s="7">
        <f>IFERROR(SUMIFS(Исход!$G:$G,Исход!$A:$A,AD$1,Исход!$B:$B,$A131)/(SUMIFS(Исход!$G:$G,Исход!$A:$A,AD$1,Исход!$B:$B,$A131)+SUMIFS(Исход!$D:$D,Исход!$A:$A,AD$1,Исход!$B:$B,$A131)),0)</f>
        <v>0</v>
      </c>
      <c r="AE131" s="7">
        <f>IFERROR(SUMIFS(Исход!$G:$G,Исход!$A:$A,AE$1,Исход!$B:$B,$A131)/(SUMIFS(Исход!$G:$G,Исход!$A:$A,AE$1,Исход!$B:$B,$A131)+SUMIFS(Исход!$D:$D,Исход!$A:$A,AE$1,Исход!$B:$B,$A131)),0)</f>
        <v>0</v>
      </c>
      <c r="AF131" s="7">
        <f>IFERROR(SUMIFS(Исход!$G:$G,Исход!$A:$A,AF$1,Исход!$B:$B,$A131)/(SUMIFS(Исход!$G:$G,Исход!$A:$A,AF$1,Исход!$B:$B,$A131)+SUMIFS(Исход!$D:$D,Исход!$A:$A,AF$1,Исход!$B:$B,$A131)),0)</f>
        <v>0</v>
      </c>
      <c r="AG131" s="160">
        <f>IFERROR(SUMIFS(Исход!$G:$G,Исход!$A:$A,AG$1,Исход!$B:$B,$A131)/(SUMIFS(Исход!$G:$G,Исход!$A:$A,AG$1,Исход!$B:$B,$A131)+SUMIFS(Исход!$D:$D,Исход!$A:$A,AG$1,Исход!$B:$B,$A131)),0)</f>
        <v>0</v>
      </c>
    </row>
    <row r="132" spans="1:33" hidden="1" outlineLevel="1" x14ac:dyDescent="0.25">
      <c r="A132" s="103">
        <v>0.60416666666666663</v>
      </c>
      <c r="B132" s="123">
        <v>0.625</v>
      </c>
      <c r="C132" s="159">
        <f>IFERROR(SUMIFS(Исход!$G:$G,Исход!$A:$A,C$1,Исход!$B:$B,$A132)/(SUMIFS(Исход!$G:$G,Исход!$A:$A,C$1,Исход!$B:$B,$A132)+SUMIFS(Исход!$D:$D,Исход!$A:$A,C$1,Исход!$B:$B,$A132)),0)</f>
        <v>0</v>
      </c>
      <c r="D132" s="7">
        <f>IFERROR(SUMIFS(Исход!$G:$G,Исход!$A:$A,D$1,Исход!$B:$B,$A132)/(SUMIFS(Исход!$G:$G,Исход!$A:$A,D$1,Исход!$B:$B,$A132)+SUMIFS(Исход!$D:$D,Исход!$A:$A,D$1,Исход!$B:$B,$A132)),0)</f>
        <v>0</v>
      </c>
      <c r="E132" s="7">
        <f>IFERROR(SUMIFS(Исход!$G:$G,Исход!$A:$A,E$1,Исход!$B:$B,$A132)/(SUMIFS(Исход!$G:$G,Исход!$A:$A,E$1,Исход!$B:$B,$A132)+SUMIFS(Исход!$D:$D,Исход!$A:$A,E$1,Исход!$B:$B,$A132)),0)</f>
        <v>0</v>
      </c>
      <c r="F132" s="7">
        <f>IFERROR(SUMIFS(Исход!$G:$G,Исход!$A:$A,F$1,Исход!$B:$B,$A132)/(SUMIFS(Исход!$G:$G,Исход!$A:$A,F$1,Исход!$B:$B,$A132)+SUMIFS(Исход!$D:$D,Исход!$A:$A,F$1,Исход!$B:$B,$A132)),0)</f>
        <v>0</v>
      </c>
      <c r="G132" s="7">
        <f>IFERROR(SUMIFS(Исход!$G:$G,Исход!$A:$A,G$1,Исход!$B:$B,$A132)/(SUMIFS(Исход!$G:$G,Исход!$A:$A,G$1,Исход!$B:$B,$A132)+SUMIFS(Исход!$D:$D,Исход!$A:$A,G$1,Исход!$B:$B,$A132)),0)</f>
        <v>0</v>
      </c>
      <c r="H132" s="7">
        <f>IFERROR(SUMIFS(Исход!$G:$G,Исход!$A:$A,H$1,Исход!$B:$B,$A132)/(SUMIFS(Исход!$G:$G,Исход!$A:$A,H$1,Исход!$B:$B,$A132)+SUMIFS(Исход!$D:$D,Исход!$A:$A,H$1,Исход!$B:$B,$A132)),0)</f>
        <v>0</v>
      </c>
      <c r="I132" s="7">
        <f>IFERROR(SUMIFS(Исход!$G:$G,Исход!$A:$A,I$1,Исход!$B:$B,$A132)/(SUMIFS(Исход!$G:$G,Исход!$A:$A,I$1,Исход!$B:$B,$A132)+SUMIFS(Исход!$D:$D,Исход!$A:$A,I$1,Исход!$B:$B,$A132)),0)</f>
        <v>0</v>
      </c>
      <c r="J132" s="7">
        <f>IFERROR(SUMIFS(Исход!$G:$G,Исход!$A:$A,J$1,Исход!$B:$B,$A132)/(SUMIFS(Исход!$G:$G,Исход!$A:$A,J$1,Исход!$B:$B,$A132)+SUMIFS(Исход!$D:$D,Исход!$A:$A,J$1,Исход!$B:$B,$A132)),0)</f>
        <v>0</v>
      </c>
      <c r="K132" s="7">
        <f>IFERROR(SUMIFS(Исход!$G:$G,Исход!$A:$A,K$1,Исход!$B:$B,$A132)/(SUMIFS(Исход!$G:$G,Исход!$A:$A,K$1,Исход!$B:$B,$A132)+SUMIFS(Исход!$D:$D,Исход!$A:$A,K$1,Исход!$B:$B,$A132)),0)</f>
        <v>0</v>
      </c>
      <c r="L132" s="7">
        <f>IFERROR(SUMIFS(Исход!$G:$G,Исход!$A:$A,L$1,Исход!$B:$B,$A132)/(SUMIFS(Исход!$G:$G,Исход!$A:$A,L$1,Исход!$B:$B,$A132)+SUMIFS(Исход!$D:$D,Исход!$A:$A,L$1,Исход!$B:$B,$A132)),0)</f>
        <v>0</v>
      </c>
      <c r="M132" s="7">
        <f>IFERROR(SUMIFS(Исход!$G:$G,Исход!$A:$A,M$1,Исход!$B:$B,$A132)/(SUMIFS(Исход!$G:$G,Исход!$A:$A,M$1,Исход!$B:$B,$A132)+SUMIFS(Исход!$D:$D,Исход!$A:$A,M$1,Исход!$B:$B,$A132)),0)</f>
        <v>0</v>
      </c>
      <c r="N132" s="7">
        <f>IFERROR(SUMIFS(Исход!$G:$G,Исход!$A:$A,N$1,Исход!$B:$B,$A132)/(SUMIFS(Исход!$G:$G,Исход!$A:$A,N$1,Исход!$B:$B,$A132)+SUMIFS(Исход!$D:$D,Исход!$A:$A,N$1,Исход!$B:$B,$A132)),0)</f>
        <v>0</v>
      </c>
      <c r="O132" s="7">
        <f>IFERROR(SUMIFS(Исход!$G:$G,Исход!$A:$A,O$1,Исход!$B:$B,$A132)/(SUMIFS(Исход!$G:$G,Исход!$A:$A,O$1,Исход!$B:$B,$A132)+SUMIFS(Исход!$D:$D,Исход!$A:$A,O$1,Исход!$B:$B,$A132)),0)</f>
        <v>0</v>
      </c>
      <c r="P132" s="7">
        <f>IFERROR(SUMIFS(Исход!$G:$G,Исход!$A:$A,P$1,Исход!$B:$B,$A132)/(SUMIFS(Исход!$G:$G,Исход!$A:$A,P$1,Исход!$B:$B,$A132)+SUMIFS(Исход!$D:$D,Исход!$A:$A,P$1,Исход!$B:$B,$A132)),0)</f>
        <v>0</v>
      </c>
      <c r="Q132" s="7">
        <f>IFERROR(SUMIFS(Исход!$G:$G,Исход!$A:$A,Q$1,Исход!$B:$B,$A132)/(SUMIFS(Исход!$G:$G,Исход!$A:$A,Q$1,Исход!$B:$B,$A132)+SUMIFS(Исход!$D:$D,Исход!$A:$A,Q$1,Исход!$B:$B,$A132)),0)</f>
        <v>0</v>
      </c>
      <c r="R132" s="7">
        <f>IFERROR(SUMIFS(Исход!$G:$G,Исход!$A:$A,R$1,Исход!$B:$B,$A132)/(SUMIFS(Исход!$G:$G,Исход!$A:$A,R$1,Исход!$B:$B,$A132)+SUMIFS(Исход!$D:$D,Исход!$A:$A,R$1,Исход!$B:$B,$A132)),0)</f>
        <v>0</v>
      </c>
      <c r="S132" s="7">
        <f>IFERROR(SUMIFS(Исход!$G:$G,Исход!$A:$A,S$1,Исход!$B:$B,$A132)/(SUMIFS(Исход!$G:$G,Исход!$A:$A,S$1,Исход!$B:$B,$A132)+SUMIFS(Исход!$D:$D,Исход!$A:$A,S$1,Исход!$B:$B,$A132)),0)</f>
        <v>0</v>
      </c>
      <c r="T132" s="7">
        <f>IFERROR(SUMIFS(Исход!$G:$G,Исход!$A:$A,T$1,Исход!$B:$B,$A132)/(SUMIFS(Исход!$G:$G,Исход!$A:$A,T$1,Исход!$B:$B,$A132)+SUMIFS(Исход!$D:$D,Исход!$A:$A,T$1,Исход!$B:$B,$A132)),0)</f>
        <v>0</v>
      </c>
      <c r="U132" s="7">
        <f>IFERROR(SUMIFS(Исход!$G:$G,Исход!$A:$A,U$1,Исход!$B:$B,$A132)/(SUMIFS(Исход!$G:$G,Исход!$A:$A,U$1,Исход!$B:$B,$A132)+SUMIFS(Исход!$D:$D,Исход!$A:$A,U$1,Исход!$B:$B,$A132)),0)</f>
        <v>0</v>
      </c>
      <c r="V132" s="7">
        <f>IFERROR(SUMIFS(Исход!$G:$G,Исход!$A:$A,V$1,Исход!$B:$B,$A132)/(SUMIFS(Исход!$G:$G,Исход!$A:$A,V$1,Исход!$B:$B,$A132)+SUMIFS(Исход!$D:$D,Исход!$A:$A,V$1,Исход!$B:$B,$A132)),0)</f>
        <v>0</v>
      </c>
      <c r="W132" s="7">
        <f>IFERROR(SUMIFS(Исход!$G:$G,Исход!$A:$A,W$1,Исход!$B:$B,$A132)/(SUMIFS(Исход!$G:$G,Исход!$A:$A,W$1,Исход!$B:$B,$A132)+SUMIFS(Исход!$D:$D,Исход!$A:$A,W$1,Исход!$B:$B,$A132)),0)</f>
        <v>0</v>
      </c>
      <c r="X132" s="7">
        <f>IFERROR(SUMIFS(Исход!$G:$G,Исход!$A:$A,X$1,Исход!$B:$B,$A132)/(SUMIFS(Исход!$G:$G,Исход!$A:$A,X$1,Исход!$B:$B,$A132)+SUMIFS(Исход!$D:$D,Исход!$A:$A,X$1,Исход!$B:$B,$A132)),0)</f>
        <v>0</v>
      </c>
      <c r="Y132" s="7">
        <f>IFERROR(SUMIFS(Исход!$G:$G,Исход!$A:$A,Y$1,Исход!$B:$B,$A132)/(SUMIFS(Исход!$G:$G,Исход!$A:$A,Y$1,Исход!$B:$B,$A132)+SUMIFS(Исход!$D:$D,Исход!$A:$A,Y$1,Исход!$B:$B,$A132)),0)</f>
        <v>0</v>
      </c>
      <c r="Z132" s="7">
        <f>IFERROR(SUMIFS(Исход!$G:$G,Исход!$A:$A,Z$1,Исход!$B:$B,$A132)/(SUMIFS(Исход!$G:$G,Исход!$A:$A,Z$1,Исход!$B:$B,$A132)+SUMIFS(Исход!$D:$D,Исход!$A:$A,Z$1,Исход!$B:$B,$A132)),0)</f>
        <v>0</v>
      </c>
      <c r="AA132" s="7">
        <f>IFERROR(SUMIFS(Исход!$G:$G,Исход!$A:$A,AA$1,Исход!$B:$B,$A132)/(SUMIFS(Исход!$G:$G,Исход!$A:$A,AA$1,Исход!$B:$B,$A132)+SUMIFS(Исход!$D:$D,Исход!$A:$A,AA$1,Исход!$B:$B,$A132)),0)</f>
        <v>0</v>
      </c>
      <c r="AB132" s="7">
        <f>IFERROR(SUMIFS(Исход!$G:$G,Исход!$A:$A,AB$1,Исход!$B:$B,$A132)/(SUMIFS(Исход!$G:$G,Исход!$A:$A,AB$1,Исход!$B:$B,$A132)+SUMIFS(Исход!$D:$D,Исход!$A:$A,AB$1,Исход!$B:$B,$A132)),0)</f>
        <v>0</v>
      </c>
      <c r="AC132" s="7">
        <f>IFERROR(SUMIFS(Исход!$G:$G,Исход!$A:$A,AC$1,Исход!$B:$B,$A132)/(SUMIFS(Исход!$G:$G,Исход!$A:$A,AC$1,Исход!$B:$B,$A132)+SUMIFS(Исход!$D:$D,Исход!$A:$A,AC$1,Исход!$B:$B,$A132)),0)</f>
        <v>0</v>
      </c>
      <c r="AD132" s="7">
        <f>IFERROR(SUMIFS(Исход!$G:$G,Исход!$A:$A,AD$1,Исход!$B:$B,$A132)/(SUMIFS(Исход!$G:$G,Исход!$A:$A,AD$1,Исход!$B:$B,$A132)+SUMIFS(Исход!$D:$D,Исход!$A:$A,AD$1,Исход!$B:$B,$A132)),0)</f>
        <v>0</v>
      </c>
      <c r="AE132" s="7">
        <f>IFERROR(SUMIFS(Исход!$G:$G,Исход!$A:$A,AE$1,Исход!$B:$B,$A132)/(SUMIFS(Исход!$G:$G,Исход!$A:$A,AE$1,Исход!$B:$B,$A132)+SUMIFS(Исход!$D:$D,Исход!$A:$A,AE$1,Исход!$B:$B,$A132)),0)</f>
        <v>0</v>
      </c>
      <c r="AF132" s="7">
        <f>IFERROR(SUMIFS(Исход!$G:$G,Исход!$A:$A,AF$1,Исход!$B:$B,$A132)/(SUMIFS(Исход!$G:$G,Исход!$A:$A,AF$1,Исход!$B:$B,$A132)+SUMIFS(Исход!$D:$D,Исход!$A:$A,AF$1,Исход!$B:$B,$A132)),0)</f>
        <v>0</v>
      </c>
      <c r="AG132" s="160">
        <f>IFERROR(SUMIFS(Исход!$G:$G,Исход!$A:$A,AG$1,Исход!$B:$B,$A132)/(SUMIFS(Исход!$G:$G,Исход!$A:$A,AG$1,Исход!$B:$B,$A132)+SUMIFS(Исход!$D:$D,Исход!$A:$A,AG$1,Исход!$B:$B,$A132)),0)</f>
        <v>0</v>
      </c>
    </row>
    <row r="133" spans="1:33" hidden="1" outlineLevel="1" x14ac:dyDescent="0.25">
      <c r="A133" s="103">
        <v>0.625</v>
      </c>
      <c r="B133" s="123">
        <v>0.64583333333333337</v>
      </c>
      <c r="C133" s="159">
        <f>IFERROR(SUMIFS(Исход!$G:$G,Исход!$A:$A,C$1,Исход!$B:$B,$A133)/(SUMIFS(Исход!$G:$G,Исход!$A:$A,C$1,Исход!$B:$B,$A133)+SUMIFS(Исход!$D:$D,Исход!$A:$A,C$1,Исход!$B:$B,$A133)),0)</f>
        <v>0</v>
      </c>
      <c r="D133" s="7">
        <f>IFERROR(SUMIFS(Исход!$G:$G,Исход!$A:$A,D$1,Исход!$B:$B,$A133)/(SUMIFS(Исход!$G:$G,Исход!$A:$A,D$1,Исход!$B:$B,$A133)+SUMIFS(Исход!$D:$D,Исход!$A:$A,D$1,Исход!$B:$B,$A133)),0)</f>
        <v>0</v>
      </c>
      <c r="E133" s="7">
        <f>IFERROR(SUMIFS(Исход!$G:$G,Исход!$A:$A,E$1,Исход!$B:$B,$A133)/(SUMIFS(Исход!$G:$G,Исход!$A:$A,E$1,Исход!$B:$B,$A133)+SUMIFS(Исход!$D:$D,Исход!$A:$A,E$1,Исход!$B:$B,$A133)),0)</f>
        <v>0</v>
      </c>
      <c r="F133" s="7">
        <f>IFERROR(SUMIFS(Исход!$G:$G,Исход!$A:$A,F$1,Исход!$B:$B,$A133)/(SUMIFS(Исход!$G:$G,Исход!$A:$A,F$1,Исход!$B:$B,$A133)+SUMIFS(Исход!$D:$D,Исход!$A:$A,F$1,Исход!$B:$B,$A133)),0)</f>
        <v>0</v>
      </c>
      <c r="G133" s="7">
        <f>IFERROR(SUMIFS(Исход!$G:$G,Исход!$A:$A,G$1,Исход!$B:$B,$A133)/(SUMIFS(Исход!$G:$G,Исход!$A:$A,G$1,Исход!$B:$B,$A133)+SUMIFS(Исход!$D:$D,Исход!$A:$A,G$1,Исход!$B:$B,$A133)),0)</f>
        <v>0</v>
      </c>
      <c r="H133" s="7">
        <f>IFERROR(SUMIFS(Исход!$G:$G,Исход!$A:$A,H$1,Исход!$B:$B,$A133)/(SUMIFS(Исход!$G:$G,Исход!$A:$A,H$1,Исход!$B:$B,$A133)+SUMIFS(Исход!$D:$D,Исход!$A:$A,H$1,Исход!$B:$B,$A133)),0)</f>
        <v>0</v>
      </c>
      <c r="I133" s="7">
        <f>IFERROR(SUMIFS(Исход!$G:$G,Исход!$A:$A,I$1,Исход!$B:$B,$A133)/(SUMIFS(Исход!$G:$G,Исход!$A:$A,I$1,Исход!$B:$B,$A133)+SUMIFS(Исход!$D:$D,Исход!$A:$A,I$1,Исход!$B:$B,$A133)),0)</f>
        <v>0</v>
      </c>
      <c r="J133" s="7">
        <f>IFERROR(SUMIFS(Исход!$G:$G,Исход!$A:$A,J$1,Исход!$B:$B,$A133)/(SUMIFS(Исход!$G:$G,Исход!$A:$A,J$1,Исход!$B:$B,$A133)+SUMIFS(Исход!$D:$D,Исход!$A:$A,J$1,Исход!$B:$B,$A133)),0)</f>
        <v>0</v>
      </c>
      <c r="K133" s="7">
        <f>IFERROR(SUMIFS(Исход!$G:$G,Исход!$A:$A,K$1,Исход!$B:$B,$A133)/(SUMIFS(Исход!$G:$G,Исход!$A:$A,K$1,Исход!$B:$B,$A133)+SUMIFS(Исход!$D:$D,Исход!$A:$A,K$1,Исход!$B:$B,$A133)),0)</f>
        <v>0</v>
      </c>
      <c r="L133" s="7">
        <f>IFERROR(SUMIFS(Исход!$G:$G,Исход!$A:$A,L$1,Исход!$B:$B,$A133)/(SUMIFS(Исход!$G:$G,Исход!$A:$A,L$1,Исход!$B:$B,$A133)+SUMIFS(Исход!$D:$D,Исход!$A:$A,L$1,Исход!$B:$B,$A133)),0)</f>
        <v>0</v>
      </c>
      <c r="M133" s="7">
        <f>IFERROR(SUMIFS(Исход!$G:$G,Исход!$A:$A,M$1,Исход!$B:$B,$A133)/(SUMIFS(Исход!$G:$G,Исход!$A:$A,M$1,Исход!$B:$B,$A133)+SUMIFS(Исход!$D:$D,Исход!$A:$A,M$1,Исход!$B:$B,$A133)),0)</f>
        <v>0</v>
      </c>
      <c r="N133" s="7">
        <f>IFERROR(SUMIFS(Исход!$G:$G,Исход!$A:$A,N$1,Исход!$B:$B,$A133)/(SUMIFS(Исход!$G:$G,Исход!$A:$A,N$1,Исход!$B:$B,$A133)+SUMIFS(Исход!$D:$D,Исход!$A:$A,N$1,Исход!$B:$B,$A133)),0)</f>
        <v>0</v>
      </c>
      <c r="O133" s="7">
        <f>IFERROR(SUMIFS(Исход!$G:$G,Исход!$A:$A,O$1,Исход!$B:$B,$A133)/(SUMIFS(Исход!$G:$G,Исход!$A:$A,O$1,Исход!$B:$B,$A133)+SUMIFS(Исход!$D:$D,Исход!$A:$A,O$1,Исход!$B:$B,$A133)),0)</f>
        <v>0</v>
      </c>
      <c r="P133" s="7">
        <f>IFERROR(SUMIFS(Исход!$G:$G,Исход!$A:$A,P$1,Исход!$B:$B,$A133)/(SUMIFS(Исход!$G:$G,Исход!$A:$A,P$1,Исход!$B:$B,$A133)+SUMIFS(Исход!$D:$D,Исход!$A:$A,P$1,Исход!$B:$B,$A133)),0)</f>
        <v>0</v>
      </c>
      <c r="Q133" s="7">
        <f>IFERROR(SUMIFS(Исход!$G:$G,Исход!$A:$A,Q$1,Исход!$B:$B,$A133)/(SUMIFS(Исход!$G:$G,Исход!$A:$A,Q$1,Исход!$B:$B,$A133)+SUMIFS(Исход!$D:$D,Исход!$A:$A,Q$1,Исход!$B:$B,$A133)),0)</f>
        <v>0</v>
      </c>
      <c r="R133" s="7">
        <f>IFERROR(SUMIFS(Исход!$G:$G,Исход!$A:$A,R$1,Исход!$B:$B,$A133)/(SUMIFS(Исход!$G:$G,Исход!$A:$A,R$1,Исход!$B:$B,$A133)+SUMIFS(Исход!$D:$D,Исход!$A:$A,R$1,Исход!$B:$B,$A133)),0)</f>
        <v>0</v>
      </c>
      <c r="S133" s="7">
        <f>IFERROR(SUMIFS(Исход!$G:$G,Исход!$A:$A,S$1,Исход!$B:$B,$A133)/(SUMIFS(Исход!$G:$G,Исход!$A:$A,S$1,Исход!$B:$B,$A133)+SUMIFS(Исход!$D:$D,Исход!$A:$A,S$1,Исход!$B:$B,$A133)),0)</f>
        <v>0</v>
      </c>
      <c r="T133" s="7">
        <f>IFERROR(SUMIFS(Исход!$G:$G,Исход!$A:$A,T$1,Исход!$B:$B,$A133)/(SUMIFS(Исход!$G:$G,Исход!$A:$A,T$1,Исход!$B:$B,$A133)+SUMIFS(Исход!$D:$D,Исход!$A:$A,T$1,Исход!$B:$B,$A133)),0)</f>
        <v>0</v>
      </c>
      <c r="U133" s="7">
        <f>IFERROR(SUMIFS(Исход!$G:$G,Исход!$A:$A,U$1,Исход!$B:$B,$A133)/(SUMIFS(Исход!$G:$G,Исход!$A:$A,U$1,Исход!$B:$B,$A133)+SUMIFS(Исход!$D:$D,Исход!$A:$A,U$1,Исход!$B:$B,$A133)),0)</f>
        <v>0</v>
      </c>
      <c r="V133" s="7">
        <f>IFERROR(SUMIFS(Исход!$G:$G,Исход!$A:$A,V$1,Исход!$B:$B,$A133)/(SUMIFS(Исход!$G:$G,Исход!$A:$A,V$1,Исход!$B:$B,$A133)+SUMIFS(Исход!$D:$D,Исход!$A:$A,V$1,Исход!$B:$B,$A133)),0)</f>
        <v>0</v>
      </c>
      <c r="W133" s="7">
        <f>IFERROR(SUMIFS(Исход!$G:$G,Исход!$A:$A,W$1,Исход!$B:$B,$A133)/(SUMIFS(Исход!$G:$G,Исход!$A:$A,W$1,Исход!$B:$B,$A133)+SUMIFS(Исход!$D:$D,Исход!$A:$A,W$1,Исход!$B:$B,$A133)),0)</f>
        <v>0</v>
      </c>
      <c r="X133" s="7">
        <f>IFERROR(SUMIFS(Исход!$G:$G,Исход!$A:$A,X$1,Исход!$B:$B,$A133)/(SUMIFS(Исход!$G:$G,Исход!$A:$A,X$1,Исход!$B:$B,$A133)+SUMIFS(Исход!$D:$D,Исход!$A:$A,X$1,Исход!$B:$B,$A133)),0)</f>
        <v>0</v>
      </c>
      <c r="Y133" s="7">
        <f>IFERROR(SUMIFS(Исход!$G:$G,Исход!$A:$A,Y$1,Исход!$B:$B,$A133)/(SUMIFS(Исход!$G:$G,Исход!$A:$A,Y$1,Исход!$B:$B,$A133)+SUMIFS(Исход!$D:$D,Исход!$A:$A,Y$1,Исход!$B:$B,$A133)),0)</f>
        <v>0</v>
      </c>
      <c r="Z133" s="7">
        <f>IFERROR(SUMIFS(Исход!$G:$G,Исход!$A:$A,Z$1,Исход!$B:$B,$A133)/(SUMIFS(Исход!$G:$G,Исход!$A:$A,Z$1,Исход!$B:$B,$A133)+SUMIFS(Исход!$D:$D,Исход!$A:$A,Z$1,Исход!$B:$B,$A133)),0)</f>
        <v>0</v>
      </c>
      <c r="AA133" s="7">
        <f>IFERROR(SUMIFS(Исход!$G:$G,Исход!$A:$A,AA$1,Исход!$B:$B,$A133)/(SUMIFS(Исход!$G:$G,Исход!$A:$A,AA$1,Исход!$B:$B,$A133)+SUMIFS(Исход!$D:$D,Исход!$A:$A,AA$1,Исход!$B:$B,$A133)),0)</f>
        <v>0</v>
      </c>
      <c r="AB133" s="7">
        <f>IFERROR(SUMIFS(Исход!$G:$G,Исход!$A:$A,AB$1,Исход!$B:$B,$A133)/(SUMIFS(Исход!$G:$G,Исход!$A:$A,AB$1,Исход!$B:$B,$A133)+SUMIFS(Исход!$D:$D,Исход!$A:$A,AB$1,Исход!$B:$B,$A133)),0)</f>
        <v>0</v>
      </c>
      <c r="AC133" s="7">
        <f>IFERROR(SUMIFS(Исход!$G:$G,Исход!$A:$A,AC$1,Исход!$B:$B,$A133)/(SUMIFS(Исход!$G:$G,Исход!$A:$A,AC$1,Исход!$B:$B,$A133)+SUMIFS(Исход!$D:$D,Исход!$A:$A,AC$1,Исход!$B:$B,$A133)),0)</f>
        <v>0</v>
      </c>
      <c r="AD133" s="7">
        <f>IFERROR(SUMIFS(Исход!$G:$G,Исход!$A:$A,AD$1,Исход!$B:$B,$A133)/(SUMIFS(Исход!$G:$G,Исход!$A:$A,AD$1,Исход!$B:$B,$A133)+SUMIFS(Исход!$D:$D,Исход!$A:$A,AD$1,Исход!$B:$B,$A133)),0)</f>
        <v>0</v>
      </c>
      <c r="AE133" s="7">
        <f>IFERROR(SUMIFS(Исход!$G:$G,Исход!$A:$A,AE$1,Исход!$B:$B,$A133)/(SUMIFS(Исход!$G:$G,Исход!$A:$A,AE$1,Исход!$B:$B,$A133)+SUMIFS(Исход!$D:$D,Исход!$A:$A,AE$1,Исход!$B:$B,$A133)),0)</f>
        <v>0</v>
      </c>
      <c r="AF133" s="7">
        <f>IFERROR(SUMIFS(Исход!$G:$G,Исход!$A:$A,AF$1,Исход!$B:$B,$A133)/(SUMIFS(Исход!$G:$G,Исход!$A:$A,AF$1,Исход!$B:$B,$A133)+SUMIFS(Исход!$D:$D,Исход!$A:$A,AF$1,Исход!$B:$B,$A133)),0)</f>
        <v>0</v>
      </c>
      <c r="AG133" s="160">
        <f>IFERROR(SUMIFS(Исход!$G:$G,Исход!$A:$A,AG$1,Исход!$B:$B,$A133)/(SUMIFS(Исход!$G:$G,Исход!$A:$A,AG$1,Исход!$B:$B,$A133)+SUMIFS(Исход!$D:$D,Исход!$A:$A,AG$1,Исход!$B:$B,$A133)),0)</f>
        <v>0</v>
      </c>
    </row>
    <row r="134" spans="1:33" hidden="1" outlineLevel="1" x14ac:dyDescent="0.25">
      <c r="A134" s="103">
        <v>0.64583333333333337</v>
      </c>
      <c r="B134" s="123">
        <v>0.66666666666666663</v>
      </c>
      <c r="C134" s="159">
        <f>IFERROR(SUMIFS(Исход!$G:$G,Исход!$A:$A,C$1,Исход!$B:$B,$A134)/(SUMIFS(Исход!$G:$G,Исход!$A:$A,C$1,Исход!$B:$B,$A134)+SUMIFS(Исход!$D:$D,Исход!$A:$A,C$1,Исход!$B:$B,$A134)),0)</f>
        <v>0</v>
      </c>
      <c r="D134" s="7">
        <f>IFERROR(SUMIFS(Исход!$G:$G,Исход!$A:$A,D$1,Исход!$B:$B,$A134)/(SUMIFS(Исход!$G:$G,Исход!$A:$A,D$1,Исход!$B:$B,$A134)+SUMIFS(Исход!$D:$D,Исход!$A:$A,D$1,Исход!$B:$B,$A134)),0)</f>
        <v>0</v>
      </c>
      <c r="E134" s="7">
        <f>IFERROR(SUMIFS(Исход!$G:$G,Исход!$A:$A,E$1,Исход!$B:$B,$A134)/(SUMIFS(Исход!$G:$G,Исход!$A:$A,E$1,Исход!$B:$B,$A134)+SUMIFS(Исход!$D:$D,Исход!$A:$A,E$1,Исход!$B:$B,$A134)),0)</f>
        <v>0</v>
      </c>
      <c r="F134" s="7">
        <f>IFERROR(SUMIFS(Исход!$G:$G,Исход!$A:$A,F$1,Исход!$B:$B,$A134)/(SUMIFS(Исход!$G:$G,Исход!$A:$A,F$1,Исход!$B:$B,$A134)+SUMIFS(Исход!$D:$D,Исход!$A:$A,F$1,Исход!$B:$B,$A134)),0)</f>
        <v>0</v>
      </c>
      <c r="G134" s="7">
        <f>IFERROR(SUMIFS(Исход!$G:$G,Исход!$A:$A,G$1,Исход!$B:$B,$A134)/(SUMIFS(Исход!$G:$G,Исход!$A:$A,G$1,Исход!$B:$B,$A134)+SUMIFS(Исход!$D:$D,Исход!$A:$A,G$1,Исход!$B:$B,$A134)),0)</f>
        <v>0</v>
      </c>
      <c r="H134" s="7">
        <f>IFERROR(SUMIFS(Исход!$G:$G,Исход!$A:$A,H$1,Исход!$B:$B,$A134)/(SUMIFS(Исход!$G:$G,Исход!$A:$A,H$1,Исход!$B:$B,$A134)+SUMIFS(Исход!$D:$D,Исход!$A:$A,H$1,Исход!$B:$B,$A134)),0)</f>
        <v>0</v>
      </c>
      <c r="I134" s="7">
        <f>IFERROR(SUMIFS(Исход!$G:$G,Исход!$A:$A,I$1,Исход!$B:$B,$A134)/(SUMIFS(Исход!$G:$G,Исход!$A:$A,I$1,Исход!$B:$B,$A134)+SUMIFS(Исход!$D:$D,Исход!$A:$A,I$1,Исход!$B:$B,$A134)),0)</f>
        <v>0</v>
      </c>
      <c r="J134" s="7">
        <f>IFERROR(SUMIFS(Исход!$G:$G,Исход!$A:$A,J$1,Исход!$B:$B,$A134)/(SUMIFS(Исход!$G:$G,Исход!$A:$A,J$1,Исход!$B:$B,$A134)+SUMIFS(Исход!$D:$D,Исход!$A:$A,J$1,Исход!$B:$B,$A134)),0)</f>
        <v>0</v>
      </c>
      <c r="K134" s="7">
        <f>IFERROR(SUMIFS(Исход!$G:$G,Исход!$A:$A,K$1,Исход!$B:$B,$A134)/(SUMIFS(Исход!$G:$G,Исход!$A:$A,K$1,Исход!$B:$B,$A134)+SUMIFS(Исход!$D:$D,Исход!$A:$A,K$1,Исход!$B:$B,$A134)),0)</f>
        <v>0</v>
      </c>
      <c r="L134" s="7">
        <f>IFERROR(SUMIFS(Исход!$G:$G,Исход!$A:$A,L$1,Исход!$B:$B,$A134)/(SUMIFS(Исход!$G:$G,Исход!$A:$A,L$1,Исход!$B:$B,$A134)+SUMIFS(Исход!$D:$D,Исход!$A:$A,L$1,Исход!$B:$B,$A134)),0)</f>
        <v>0</v>
      </c>
      <c r="M134" s="7">
        <f>IFERROR(SUMIFS(Исход!$G:$G,Исход!$A:$A,M$1,Исход!$B:$B,$A134)/(SUMIFS(Исход!$G:$G,Исход!$A:$A,M$1,Исход!$B:$B,$A134)+SUMIFS(Исход!$D:$D,Исход!$A:$A,M$1,Исход!$B:$B,$A134)),0)</f>
        <v>0</v>
      </c>
      <c r="N134" s="7">
        <f>IFERROR(SUMIFS(Исход!$G:$G,Исход!$A:$A,N$1,Исход!$B:$B,$A134)/(SUMIFS(Исход!$G:$G,Исход!$A:$A,N$1,Исход!$B:$B,$A134)+SUMIFS(Исход!$D:$D,Исход!$A:$A,N$1,Исход!$B:$B,$A134)),0)</f>
        <v>0</v>
      </c>
      <c r="O134" s="7">
        <f>IFERROR(SUMIFS(Исход!$G:$G,Исход!$A:$A,O$1,Исход!$B:$B,$A134)/(SUMIFS(Исход!$G:$G,Исход!$A:$A,O$1,Исход!$B:$B,$A134)+SUMIFS(Исход!$D:$D,Исход!$A:$A,O$1,Исход!$B:$B,$A134)),0)</f>
        <v>0</v>
      </c>
      <c r="P134" s="7">
        <f>IFERROR(SUMIFS(Исход!$G:$G,Исход!$A:$A,P$1,Исход!$B:$B,$A134)/(SUMIFS(Исход!$G:$G,Исход!$A:$A,P$1,Исход!$B:$B,$A134)+SUMIFS(Исход!$D:$D,Исход!$A:$A,P$1,Исход!$B:$B,$A134)),0)</f>
        <v>0</v>
      </c>
      <c r="Q134" s="7">
        <f>IFERROR(SUMIFS(Исход!$G:$G,Исход!$A:$A,Q$1,Исход!$B:$B,$A134)/(SUMIFS(Исход!$G:$G,Исход!$A:$A,Q$1,Исход!$B:$B,$A134)+SUMIFS(Исход!$D:$D,Исход!$A:$A,Q$1,Исход!$B:$B,$A134)),0)</f>
        <v>0</v>
      </c>
      <c r="R134" s="7">
        <f>IFERROR(SUMIFS(Исход!$G:$G,Исход!$A:$A,R$1,Исход!$B:$B,$A134)/(SUMIFS(Исход!$G:$G,Исход!$A:$A,R$1,Исход!$B:$B,$A134)+SUMIFS(Исход!$D:$D,Исход!$A:$A,R$1,Исход!$B:$B,$A134)),0)</f>
        <v>0</v>
      </c>
      <c r="S134" s="7">
        <f>IFERROR(SUMIFS(Исход!$G:$G,Исход!$A:$A,S$1,Исход!$B:$B,$A134)/(SUMIFS(Исход!$G:$G,Исход!$A:$A,S$1,Исход!$B:$B,$A134)+SUMIFS(Исход!$D:$D,Исход!$A:$A,S$1,Исход!$B:$B,$A134)),0)</f>
        <v>0</v>
      </c>
      <c r="T134" s="7">
        <f>IFERROR(SUMIFS(Исход!$G:$G,Исход!$A:$A,T$1,Исход!$B:$B,$A134)/(SUMIFS(Исход!$G:$G,Исход!$A:$A,T$1,Исход!$B:$B,$A134)+SUMIFS(Исход!$D:$D,Исход!$A:$A,T$1,Исход!$B:$B,$A134)),0)</f>
        <v>0</v>
      </c>
      <c r="U134" s="7">
        <f>IFERROR(SUMIFS(Исход!$G:$G,Исход!$A:$A,U$1,Исход!$B:$B,$A134)/(SUMIFS(Исход!$G:$G,Исход!$A:$A,U$1,Исход!$B:$B,$A134)+SUMIFS(Исход!$D:$D,Исход!$A:$A,U$1,Исход!$B:$B,$A134)),0)</f>
        <v>0</v>
      </c>
      <c r="V134" s="7">
        <f>IFERROR(SUMIFS(Исход!$G:$G,Исход!$A:$A,V$1,Исход!$B:$B,$A134)/(SUMIFS(Исход!$G:$G,Исход!$A:$A,V$1,Исход!$B:$B,$A134)+SUMIFS(Исход!$D:$D,Исход!$A:$A,V$1,Исход!$B:$B,$A134)),0)</f>
        <v>0</v>
      </c>
      <c r="W134" s="7">
        <f>IFERROR(SUMIFS(Исход!$G:$G,Исход!$A:$A,W$1,Исход!$B:$B,$A134)/(SUMIFS(Исход!$G:$G,Исход!$A:$A,W$1,Исход!$B:$B,$A134)+SUMIFS(Исход!$D:$D,Исход!$A:$A,W$1,Исход!$B:$B,$A134)),0)</f>
        <v>0</v>
      </c>
      <c r="X134" s="7">
        <f>IFERROR(SUMIFS(Исход!$G:$G,Исход!$A:$A,X$1,Исход!$B:$B,$A134)/(SUMIFS(Исход!$G:$G,Исход!$A:$A,X$1,Исход!$B:$B,$A134)+SUMIFS(Исход!$D:$D,Исход!$A:$A,X$1,Исход!$B:$B,$A134)),0)</f>
        <v>0</v>
      </c>
      <c r="Y134" s="7">
        <f>IFERROR(SUMIFS(Исход!$G:$G,Исход!$A:$A,Y$1,Исход!$B:$B,$A134)/(SUMIFS(Исход!$G:$G,Исход!$A:$A,Y$1,Исход!$B:$B,$A134)+SUMIFS(Исход!$D:$D,Исход!$A:$A,Y$1,Исход!$B:$B,$A134)),0)</f>
        <v>0</v>
      </c>
      <c r="Z134" s="7">
        <f>IFERROR(SUMIFS(Исход!$G:$G,Исход!$A:$A,Z$1,Исход!$B:$B,$A134)/(SUMIFS(Исход!$G:$G,Исход!$A:$A,Z$1,Исход!$B:$B,$A134)+SUMIFS(Исход!$D:$D,Исход!$A:$A,Z$1,Исход!$B:$B,$A134)),0)</f>
        <v>0</v>
      </c>
      <c r="AA134" s="7">
        <f>IFERROR(SUMIFS(Исход!$G:$G,Исход!$A:$A,AA$1,Исход!$B:$B,$A134)/(SUMIFS(Исход!$G:$G,Исход!$A:$A,AA$1,Исход!$B:$B,$A134)+SUMIFS(Исход!$D:$D,Исход!$A:$A,AA$1,Исход!$B:$B,$A134)),0)</f>
        <v>0</v>
      </c>
      <c r="AB134" s="7">
        <f>IFERROR(SUMIFS(Исход!$G:$G,Исход!$A:$A,AB$1,Исход!$B:$B,$A134)/(SUMIFS(Исход!$G:$G,Исход!$A:$A,AB$1,Исход!$B:$B,$A134)+SUMIFS(Исход!$D:$D,Исход!$A:$A,AB$1,Исход!$B:$B,$A134)),0)</f>
        <v>0</v>
      </c>
      <c r="AC134" s="7">
        <f>IFERROR(SUMIFS(Исход!$G:$G,Исход!$A:$A,AC$1,Исход!$B:$B,$A134)/(SUMIFS(Исход!$G:$G,Исход!$A:$A,AC$1,Исход!$B:$B,$A134)+SUMIFS(Исход!$D:$D,Исход!$A:$A,AC$1,Исход!$B:$B,$A134)),0)</f>
        <v>0</v>
      </c>
      <c r="AD134" s="7">
        <f>IFERROR(SUMIFS(Исход!$G:$G,Исход!$A:$A,AD$1,Исход!$B:$B,$A134)/(SUMIFS(Исход!$G:$G,Исход!$A:$A,AD$1,Исход!$B:$B,$A134)+SUMIFS(Исход!$D:$D,Исход!$A:$A,AD$1,Исход!$B:$B,$A134)),0)</f>
        <v>0</v>
      </c>
      <c r="AE134" s="7">
        <f>IFERROR(SUMIFS(Исход!$G:$G,Исход!$A:$A,AE$1,Исход!$B:$B,$A134)/(SUMIFS(Исход!$G:$G,Исход!$A:$A,AE$1,Исход!$B:$B,$A134)+SUMIFS(Исход!$D:$D,Исход!$A:$A,AE$1,Исход!$B:$B,$A134)),0)</f>
        <v>0</v>
      </c>
      <c r="AF134" s="7">
        <f>IFERROR(SUMIFS(Исход!$G:$G,Исход!$A:$A,AF$1,Исход!$B:$B,$A134)/(SUMIFS(Исход!$G:$G,Исход!$A:$A,AF$1,Исход!$B:$B,$A134)+SUMIFS(Исход!$D:$D,Исход!$A:$A,AF$1,Исход!$B:$B,$A134)),0)</f>
        <v>0</v>
      </c>
      <c r="AG134" s="160">
        <f>IFERROR(SUMIFS(Исход!$G:$G,Исход!$A:$A,AG$1,Исход!$B:$B,$A134)/(SUMIFS(Исход!$G:$G,Исход!$A:$A,AG$1,Исход!$B:$B,$A134)+SUMIFS(Исход!$D:$D,Исход!$A:$A,AG$1,Исход!$B:$B,$A134)),0)</f>
        <v>0</v>
      </c>
    </row>
    <row r="135" spans="1:33" hidden="1" outlineLevel="1" x14ac:dyDescent="0.25">
      <c r="A135" s="103">
        <v>0.66666666666666663</v>
      </c>
      <c r="B135" s="123">
        <v>0.6875</v>
      </c>
      <c r="C135" s="159">
        <f>IFERROR(SUMIFS(Исход!$G:$G,Исход!$A:$A,C$1,Исход!$B:$B,$A135)/(SUMIFS(Исход!$G:$G,Исход!$A:$A,C$1,Исход!$B:$B,$A135)+SUMIFS(Исход!$D:$D,Исход!$A:$A,C$1,Исход!$B:$B,$A135)),0)</f>
        <v>0</v>
      </c>
      <c r="D135" s="7">
        <f>IFERROR(SUMIFS(Исход!$G:$G,Исход!$A:$A,D$1,Исход!$B:$B,$A135)/(SUMIFS(Исход!$G:$G,Исход!$A:$A,D$1,Исход!$B:$B,$A135)+SUMIFS(Исход!$D:$D,Исход!$A:$A,D$1,Исход!$B:$B,$A135)),0)</f>
        <v>0</v>
      </c>
      <c r="E135" s="7">
        <f>IFERROR(SUMIFS(Исход!$G:$G,Исход!$A:$A,E$1,Исход!$B:$B,$A135)/(SUMIFS(Исход!$G:$G,Исход!$A:$A,E$1,Исход!$B:$B,$A135)+SUMIFS(Исход!$D:$D,Исход!$A:$A,E$1,Исход!$B:$B,$A135)),0)</f>
        <v>0</v>
      </c>
      <c r="F135" s="7">
        <f>IFERROR(SUMIFS(Исход!$G:$G,Исход!$A:$A,F$1,Исход!$B:$B,$A135)/(SUMIFS(Исход!$G:$G,Исход!$A:$A,F$1,Исход!$B:$B,$A135)+SUMIFS(Исход!$D:$D,Исход!$A:$A,F$1,Исход!$B:$B,$A135)),0)</f>
        <v>0</v>
      </c>
      <c r="G135" s="7">
        <f>IFERROR(SUMIFS(Исход!$G:$G,Исход!$A:$A,G$1,Исход!$B:$B,$A135)/(SUMIFS(Исход!$G:$G,Исход!$A:$A,G$1,Исход!$B:$B,$A135)+SUMIFS(Исход!$D:$D,Исход!$A:$A,G$1,Исход!$B:$B,$A135)),0)</f>
        <v>0</v>
      </c>
      <c r="H135" s="7">
        <f>IFERROR(SUMIFS(Исход!$G:$G,Исход!$A:$A,H$1,Исход!$B:$B,$A135)/(SUMIFS(Исход!$G:$G,Исход!$A:$A,H$1,Исход!$B:$B,$A135)+SUMIFS(Исход!$D:$D,Исход!$A:$A,H$1,Исход!$B:$B,$A135)),0)</f>
        <v>0</v>
      </c>
      <c r="I135" s="7">
        <f>IFERROR(SUMIFS(Исход!$G:$G,Исход!$A:$A,I$1,Исход!$B:$B,$A135)/(SUMIFS(Исход!$G:$G,Исход!$A:$A,I$1,Исход!$B:$B,$A135)+SUMIFS(Исход!$D:$D,Исход!$A:$A,I$1,Исход!$B:$B,$A135)),0)</f>
        <v>0</v>
      </c>
      <c r="J135" s="7">
        <f>IFERROR(SUMIFS(Исход!$G:$G,Исход!$A:$A,J$1,Исход!$B:$B,$A135)/(SUMIFS(Исход!$G:$G,Исход!$A:$A,J$1,Исход!$B:$B,$A135)+SUMIFS(Исход!$D:$D,Исход!$A:$A,J$1,Исход!$B:$B,$A135)),0)</f>
        <v>0</v>
      </c>
      <c r="K135" s="7">
        <f>IFERROR(SUMIFS(Исход!$G:$G,Исход!$A:$A,K$1,Исход!$B:$B,$A135)/(SUMIFS(Исход!$G:$G,Исход!$A:$A,K$1,Исход!$B:$B,$A135)+SUMIFS(Исход!$D:$D,Исход!$A:$A,K$1,Исход!$B:$B,$A135)),0)</f>
        <v>0</v>
      </c>
      <c r="L135" s="7">
        <f>IFERROR(SUMIFS(Исход!$G:$G,Исход!$A:$A,L$1,Исход!$B:$B,$A135)/(SUMIFS(Исход!$G:$G,Исход!$A:$A,L$1,Исход!$B:$B,$A135)+SUMIFS(Исход!$D:$D,Исход!$A:$A,L$1,Исход!$B:$B,$A135)),0)</f>
        <v>0</v>
      </c>
      <c r="M135" s="7">
        <f>IFERROR(SUMIFS(Исход!$G:$G,Исход!$A:$A,M$1,Исход!$B:$B,$A135)/(SUMIFS(Исход!$G:$G,Исход!$A:$A,M$1,Исход!$B:$B,$A135)+SUMIFS(Исход!$D:$D,Исход!$A:$A,M$1,Исход!$B:$B,$A135)),0)</f>
        <v>0</v>
      </c>
      <c r="N135" s="7">
        <f>IFERROR(SUMIFS(Исход!$G:$G,Исход!$A:$A,N$1,Исход!$B:$B,$A135)/(SUMIFS(Исход!$G:$G,Исход!$A:$A,N$1,Исход!$B:$B,$A135)+SUMIFS(Исход!$D:$D,Исход!$A:$A,N$1,Исход!$B:$B,$A135)),0)</f>
        <v>0</v>
      </c>
      <c r="O135" s="7">
        <f>IFERROR(SUMIFS(Исход!$G:$G,Исход!$A:$A,O$1,Исход!$B:$B,$A135)/(SUMIFS(Исход!$G:$G,Исход!$A:$A,O$1,Исход!$B:$B,$A135)+SUMIFS(Исход!$D:$D,Исход!$A:$A,O$1,Исход!$B:$B,$A135)),0)</f>
        <v>0</v>
      </c>
      <c r="P135" s="7">
        <f>IFERROR(SUMIFS(Исход!$G:$G,Исход!$A:$A,P$1,Исход!$B:$B,$A135)/(SUMIFS(Исход!$G:$G,Исход!$A:$A,P$1,Исход!$B:$B,$A135)+SUMIFS(Исход!$D:$D,Исход!$A:$A,P$1,Исход!$B:$B,$A135)),0)</f>
        <v>0</v>
      </c>
      <c r="Q135" s="7">
        <f>IFERROR(SUMIFS(Исход!$G:$G,Исход!$A:$A,Q$1,Исход!$B:$B,$A135)/(SUMIFS(Исход!$G:$G,Исход!$A:$A,Q$1,Исход!$B:$B,$A135)+SUMIFS(Исход!$D:$D,Исход!$A:$A,Q$1,Исход!$B:$B,$A135)),0)</f>
        <v>0</v>
      </c>
      <c r="R135" s="7">
        <f>IFERROR(SUMIFS(Исход!$G:$G,Исход!$A:$A,R$1,Исход!$B:$B,$A135)/(SUMIFS(Исход!$G:$G,Исход!$A:$A,R$1,Исход!$B:$B,$A135)+SUMIFS(Исход!$D:$D,Исход!$A:$A,R$1,Исход!$B:$B,$A135)),0)</f>
        <v>0</v>
      </c>
      <c r="S135" s="7">
        <f>IFERROR(SUMIFS(Исход!$G:$G,Исход!$A:$A,S$1,Исход!$B:$B,$A135)/(SUMIFS(Исход!$G:$G,Исход!$A:$A,S$1,Исход!$B:$B,$A135)+SUMIFS(Исход!$D:$D,Исход!$A:$A,S$1,Исход!$B:$B,$A135)),0)</f>
        <v>0</v>
      </c>
      <c r="T135" s="7">
        <f>IFERROR(SUMIFS(Исход!$G:$G,Исход!$A:$A,T$1,Исход!$B:$B,$A135)/(SUMIFS(Исход!$G:$G,Исход!$A:$A,T$1,Исход!$B:$B,$A135)+SUMIFS(Исход!$D:$D,Исход!$A:$A,T$1,Исход!$B:$B,$A135)),0)</f>
        <v>0</v>
      </c>
      <c r="U135" s="7">
        <f>IFERROR(SUMIFS(Исход!$G:$G,Исход!$A:$A,U$1,Исход!$B:$B,$A135)/(SUMIFS(Исход!$G:$G,Исход!$A:$A,U$1,Исход!$B:$B,$A135)+SUMIFS(Исход!$D:$D,Исход!$A:$A,U$1,Исход!$B:$B,$A135)),0)</f>
        <v>0</v>
      </c>
      <c r="V135" s="7">
        <f>IFERROR(SUMIFS(Исход!$G:$G,Исход!$A:$A,V$1,Исход!$B:$B,$A135)/(SUMIFS(Исход!$G:$G,Исход!$A:$A,V$1,Исход!$B:$B,$A135)+SUMIFS(Исход!$D:$D,Исход!$A:$A,V$1,Исход!$B:$B,$A135)),0)</f>
        <v>0</v>
      </c>
      <c r="W135" s="7">
        <f>IFERROR(SUMIFS(Исход!$G:$G,Исход!$A:$A,W$1,Исход!$B:$B,$A135)/(SUMIFS(Исход!$G:$G,Исход!$A:$A,W$1,Исход!$B:$B,$A135)+SUMIFS(Исход!$D:$D,Исход!$A:$A,W$1,Исход!$B:$B,$A135)),0)</f>
        <v>0</v>
      </c>
      <c r="X135" s="7">
        <f>IFERROR(SUMIFS(Исход!$G:$G,Исход!$A:$A,X$1,Исход!$B:$B,$A135)/(SUMIFS(Исход!$G:$G,Исход!$A:$A,X$1,Исход!$B:$B,$A135)+SUMIFS(Исход!$D:$D,Исход!$A:$A,X$1,Исход!$B:$B,$A135)),0)</f>
        <v>0</v>
      </c>
      <c r="Y135" s="7">
        <f>IFERROR(SUMIFS(Исход!$G:$G,Исход!$A:$A,Y$1,Исход!$B:$B,$A135)/(SUMIFS(Исход!$G:$G,Исход!$A:$A,Y$1,Исход!$B:$B,$A135)+SUMIFS(Исход!$D:$D,Исход!$A:$A,Y$1,Исход!$B:$B,$A135)),0)</f>
        <v>0</v>
      </c>
      <c r="Z135" s="7">
        <f>IFERROR(SUMIFS(Исход!$G:$G,Исход!$A:$A,Z$1,Исход!$B:$B,$A135)/(SUMIFS(Исход!$G:$G,Исход!$A:$A,Z$1,Исход!$B:$B,$A135)+SUMIFS(Исход!$D:$D,Исход!$A:$A,Z$1,Исход!$B:$B,$A135)),0)</f>
        <v>0</v>
      </c>
      <c r="AA135" s="7">
        <f>IFERROR(SUMIFS(Исход!$G:$G,Исход!$A:$A,AA$1,Исход!$B:$B,$A135)/(SUMIFS(Исход!$G:$G,Исход!$A:$A,AA$1,Исход!$B:$B,$A135)+SUMIFS(Исход!$D:$D,Исход!$A:$A,AA$1,Исход!$B:$B,$A135)),0)</f>
        <v>0</v>
      </c>
      <c r="AB135" s="7">
        <f>IFERROR(SUMIFS(Исход!$G:$G,Исход!$A:$A,AB$1,Исход!$B:$B,$A135)/(SUMIFS(Исход!$G:$G,Исход!$A:$A,AB$1,Исход!$B:$B,$A135)+SUMIFS(Исход!$D:$D,Исход!$A:$A,AB$1,Исход!$B:$B,$A135)),0)</f>
        <v>0</v>
      </c>
      <c r="AC135" s="7">
        <f>IFERROR(SUMIFS(Исход!$G:$G,Исход!$A:$A,AC$1,Исход!$B:$B,$A135)/(SUMIFS(Исход!$G:$G,Исход!$A:$A,AC$1,Исход!$B:$B,$A135)+SUMIFS(Исход!$D:$D,Исход!$A:$A,AC$1,Исход!$B:$B,$A135)),0)</f>
        <v>0</v>
      </c>
      <c r="AD135" s="7">
        <f>IFERROR(SUMIFS(Исход!$G:$G,Исход!$A:$A,AD$1,Исход!$B:$B,$A135)/(SUMIFS(Исход!$G:$G,Исход!$A:$A,AD$1,Исход!$B:$B,$A135)+SUMIFS(Исход!$D:$D,Исход!$A:$A,AD$1,Исход!$B:$B,$A135)),0)</f>
        <v>0</v>
      </c>
      <c r="AE135" s="7">
        <f>IFERROR(SUMIFS(Исход!$G:$G,Исход!$A:$A,AE$1,Исход!$B:$B,$A135)/(SUMIFS(Исход!$G:$G,Исход!$A:$A,AE$1,Исход!$B:$B,$A135)+SUMIFS(Исход!$D:$D,Исход!$A:$A,AE$1,Исход!$B:$B,$A135)),0)</f>
        <v>0</v>
      </c>
      <c r="AF135" s="7">
        <f>IFERROR(SUMIFS(Исход!$G:$G,Исход!$A:$A,AF$1,Исход!$B:$B,$A135)/(SUMIFS(Исход!$G:$G,Исход!$A:$A,AF$1,Исход!$B:$B,$A135)+SUMIFS(Исход!$D:$D,Исход!$A:$A,AF$1,Исход!$B:$B,$A135)),0)</f>
        <v>0</v>
      </c>
      <c r="AG135" s="160">
        <f>IFERROR(SUMIFS(Исход!$G:$G,Исход!$A:$A,AG$1,Исход!$B:$B,$A135)/(SUMIFS(Исход!$G:$G,Исход!$A:$A,AG$1,Исход!$B:$B,$A135)+SUMIFS(Исход!$D:$D,Исход!$A:$A,AG$1,Исход!$B:$B,$A135)),0)</f>
        <v>0</v>
      </c>
    </row>
    <row r="136" spans="1:33" hidden="1" outlineLevel="1" x14ac:dyDescent="0.25">
      <c r="A136" s="103">
        <v>0.6875</v>
      </c>
      <c r="B136" s="123">
        <v>0.70833333333333337</v>
      </c>
      <c r="C136" s="159">
        <f>IFERROR(SUMIFS(Исход!$G:$G,Исход!$A:$A,C$1,Исход!$B:$B,$A136)/(SUMIFS(Исход!$G:$G,Исход!$A:$A,C$1,Исход!$B:$B,$A136)+SUMIFS(Исход!$D:$D,Исход!$A:$A,C$1,Исход!$B:$B,$A136)),0)</f>
        <v>0</v>
      </c>
      <c r="D136" s="7">
        <f>IFERROR(SUMIFS(Исход!$G:$G,Исход!$A:$A,D$1,Исход!$B:$B,$A136)/(SUMIFS(Исход!$G:$G,Исход!$A:$A,D$1,Исход!$B:$B,$A136)+SUMIFS(Исход!$D:$D,Исход!$A:$A,D$1,Исход!$B:$B,$A136)),0)</f>
        <v>0</v>
      </c>
      <c r="E136" s="7">
        <f>IFERROR(SUMIFS(Исход!$G:$G,Исход!$A:$A,E$1,Исход!$B:$B,$A136)/(SUMIFS(Исход!$G:$G,Исход!$A:$A,E$1,Исход!$B:$B,$A136)+SUMIFS(Исход!$D:$D,Исход!$A:$A,E$1,Исход!$B:$B,$A136)),0)</f>
        <v>0</v>
      </c>
      <c r="F136" s="7">
        <f>IFERROR(SUMIFS(Исход!$G:$G,Исход!$A:$A,F$1,Исход!$B:$B,$A136)/(SUMIFS(Исход!$G:$G,Исход!$A:$A,F$1,Исход!$B:$B,$A136)+SUMIFS(Исход!$D:$D,Исход!$A:$A,F$1,Исход!$B:$B,$A136)),0)</f>
        <v>0</v>
      </c>
      <c r="G136" s="7">
        <f>IFERROR(SUMIFS(Исход!$G:$G,Исход!$A:$A,G$1,Исход!$B:$B,$A136)/(SUMIFS(Исход!$G:$G,Исход!$A:$A,G$1,Исход!$B:$B,$A136)+SUMIFS(Исход!$D:$D,Исход!$A:$A,G$1,Исход!$B:$B,$A136)),0)</f>
        <v>0</v>
      </c>
      <c r="H136" s="7">
        <f>IFERROR(SUMIFS(Исход!$G:$G,Исход!$A:$A,H$1,Исход!$B:$B,$A136)/(SUMIFS(Исход!$G:$G,Исход!$A:$A,H$1,Исход!$B:$B,$A136)+SUMIFS(Исход!$D:$D,Исход!$A:$A,H$1,Исход!$B:$B,$A136)),0)</f>
        <v>0</v>
      </c>
      <c r="I136" s="7">
        <f>IFERROR(SUMIFS(Исход!$G:$G,Исход!$A:$A,I$1,Исход!$B:$B,$A136)/(SUMIFS(Исход!$G:$G,Исход!$A:$A,I$1,Исход!$B:$B,$A136)+SUMIFS(Исход!$D:$D,Исход!$A:$A,I$1,Исход!$B:$B,$A136)),0)</f>
        <v>0</v>
      </c>
      <c r="J136" s="7">
        <f>IFERROR(SUMIFS(Исход!$G:$G,Исход!$A:$A,J$1,Исход!$B:$B,$A136)/(SUMIFS(Исход!$G:$G,Исход!$A:$A,J$1,Исход!$B:$B,$A136)+SUMIFS(Исход!$D:$D,Исход!$A:$A,J$1,Исход!$B:$B,$A136)),0)</f>
        <v>0</v>
      </c>
      <c r="K136" s="7">
        <f>IFERROR(SUMIFS(Исход!$G:$G,Исход!$A:$A,K$1,Исход!$B:$B,$A136)/(SUMIFS(Исход!$G:$G,Исход!$A:$A,K$1,Исход!$B:$B,$A136)+SUMIFS(Исход!$D:$D,Исход!$A:$A,K$1,Исход!$B:$B,$A136)),0)</f>
        <v>0</v>
      </c>
      <c r="L136" s="7">
        <f>IFERROR(SUMIFS(Исход!$G:$G,Исход!$A:$A,L$1,Исход!$B:$B,$A136)/(SUMIFS(Исход!$G:$G,Исход!$A:$A,L$1,Исход!$B:$B,$A136)+SUMIFS(Исход!$D:$D,Исход!$A:$A,L$1,Исход!$B:$B,$A136)),0)</f>
        <v>0</v>
      </c>
      <c r="M136" s="7">
        <f>IFERROR(SUMIFS(Исход!$G:$G,Исход!$A:$A,M$1,Исход!$B:$B,$A136)/(SUMIFS(Исход!$G:$G,Исход!$A:$A,M$1,Исход!$B:$B,$A136)+SUMIFS(Исход!$D:$D,Исход!$A:$A,M$1,Исход!$B:$B,$A136)),0)</f>
        <v>0</v>
      </c>
      <c r="N136" s="7">
        <f>IFERROR(SUMIFS(Исход!$G:$G,Исход!$A:$A,N$1,Исход!$B:$B,$A136)/(SUMIFS(Исход!$G:$G,Исход!$A:$A,N$1,Исход!$B:$B,$A136)+SUMIFS(Исход!$D:$D,Исход!$A:$A,N$1,Исход!$B:$B,$A136)),0)</f>
        <v>0</v>
      </c>
      <c r="O136" s="7">
        <f>IFERROR(SUMIFS(Исход!$G:$G,Исход!$A:$A,O$1,Исход!$B:$B,$A136)/(SUMIFS(Исход!$G:$G,Исход!$A:$A,O$1,Исход!$B:$B,$A136)+SUMIFS(Исход!$D:$D,Исход!$A:$A,O$1,Исход!$B:$B,$A136)),0)</f>
        <v>0</v>
      </c>
      <c r="P136" s="7">
        <f>IFERROR(SUMIFS(Исход!$G:$G,Исход!$A:$A,P$1,Исход!$B:$B,$A136)/(SUMIFS(Исход!$G:$G,Исход!$A:$A,P$1,Исход!$B:$B,$A136)+SUMIFS(Исход!$D:$D,Исход!$A:$A,P$1,Исход!$B:$B,$A136)),0)</f>
        <v>0</v>
      </c>
      <c r="Q136" s="7">
        <f>IFERROR(SUMIFS(Исход!$G:$G,Исход!$A:$A,Q$1,Исход!$B:$B,$A136)/(SUMIFS(Исход!$G:$G,Исход!$A:$A,Q$1,Исход!$B:$B,$A136)+SUMIFS(Исход!$D:$D,Исход!$A:$A,Q$1,Исход!$B:$B,$A136)),0)</f>
        <v>0</v>
      </c>
      <c r="R136" s="7">
        <f>IFERROR(SUMIFS(Исход!$G:$G,Исход!$A:$A,R$1,Исход!$B:$B,$A136)/(SUMIFS(Исход!$G:$G,Исход!$A:$A,R$1,Исход!$B:$B,$A136)+SUMIFS(Исход!$D:$D,Исход!$A:$A,R$1,Исход!$B:$B,$A136)),0)</f>
        <v>0</v>
      </c>
      <c r="S136" s="7">
        <f>IFERROR(SUMIFS(Исход!$G:$G,Исход!$A:$A,S$1,Исход!$B:$B,$A136)/(SUMIFS(Исход!$G:$G,Исход!$A:$A,S$1,Исход!$B:$B,$A136)+SUMIFS(Исход!$D:$D,Исход!$A:$A,S$1,Исход!$B:$B,$A136)),0)</f>
        <v>0</v>
      </c>
      <c r="T136" s="7">
        <f>IFERROR(SUMIFS(Исход!$G:$G,Исход!$A:$A,T$1,Исход!$B:$B,$A136)/(SUMIFS(Исход!$G:$G,Исход!$A:$A,T$1,Исход!$B:$B,$A136)+SUMIFS(Исход!$D:$D,Исход!$A:$A,T$1,Исход!$B:$B,$A136)),0)</f>
        <v>0</v>
      </c>
      <c r="U136" s="7">
        <f>IFERROR(SUMIFS(Исход!$G:$G,Исход!$A:$A,U$1,Исход!$B:$B,$A136)/(SUMIFS(Исход!$G:$G,Исход!$A:$A,U$1,Исход!$B:$B,$A136)+SUMIFS(Исход!$D:$D,Исход!$A:$A,U$1,Исход!$B:$B,$A136)),0)</f>
        <v>0</v>
      </c>
      <c r="V136" s="7">
        <f>IFERROR(SUMIFS(Исход!$G:$G,Исход!$A:$A,V$1,Исход!$B:$B,$A136)/(SUMIFS(Исход!$G:$G,Исход!$A:$A,V$1,Исход!$B:$B,$A136)+SUMIFS(Исход!$D:$D,Исход!$A:$A,V$1,Исход!$B:$B,$A136)),0)</f>
        <v>0</v>
      </c>
      <c r="W136" s="7">
        <f>IFERROR(SUMIFS(Исход!$G:$G,Исход!$A:$A,W$1,Исход!$B:$B,$A136)/(SUMIFS(Исход!$G:$G,Исход!$A:$A,W$1,Исход!$B:$B,$A136)+SUMIFS(Исход!$D:$D,Исход!$A:$A,W$1,Исход!$B:$B,$A136)),0)</f>
        <v>0</v>
      </c>
      <c r="X136" s="7">
        <f>IFERROR(SUMIFS(Исход!$G:$G,Исход!$A:$A,X$1,Исход!$B:$B,$A136)/(SUMIFS(Исход!$G:$G,Исход!$A:$A,X$1,Исход!$B:$B,$A136)+SUMIFS(Исход!$D:$D,Исход!$A:$A,X$1,Исход!$B:$B,$A136)),0)</f>
        <v>0</v>
      </c>
      <c r="Y136" s="7">
        <f>IFERROR(SUMIFS(Исход!$G:$G,Исход!$A:$A,Y$1,Исход!$B:$B,$A136)/(SUMIFS(Исход!$G:$G,Исход!$A:$A,Y$1,Исход!$B:$B,$A136)+SUMIFS(Исход!$D:$D,Исход!$A:$A,Y$1,Исход!$B:$B,$A136)),0)</f>
        <v>0</v>
      </c>
      <c r="Z136" s="7">
        <f>IFERROR(SUMIFS(Исход!$G:$G,Исход!$A:$A,Z$1,Исход!$B:$B,$A136)/(SUMIFS(Исход!$G:$G,Исход!$A:$A,Z$1,Исход!$B:$B,$A136)+SUMIFS(Исход!$D:$D,Исход!$A:$A,Z$1,Исход!$B:$B,$A136)),0)</f>
        <v>0</v>
      </c>
      <c r="AA136" s="7">
        <f>IFERROR(SUMIFS(Исход!$G:$G,Исход!$A:$A,AA$1,Исход!$B:$B,$A136)/(SUMIFS(Исход!$G:$G,Исход!$A:$A,AA$1,Исход!$B:$B,$A136)+SUMIFS(Исход!$D:$D,Исход!$A:$A,AA$1,Исход!$B:$B,$A136)),0)</f>
        <v>0</v>
      </c>
      <c r="AB136" s="7">
        <f>IFERROR(SUMIFS(Исход!$G:$G,Исход!$A:$A,AB$1,Исход!$B:$B,$A136)/(SUMIFS(Исход!$G:$G,Исход!$A:$A,AB$1,Исход!$B:$B,$A136)+SUMIFS(Исход!$D:$D,Исход!$A:$A,AB$1,Исход!$B:$B,$A136)),0)</f>
        <v>0</v>
      </c>
      <c r="AC136" s="7">
        <f>IFERROR(SUMIFS(Исход!$G:$G,Исход!$A:$A,AC$1,Исход!$B:$B,$A136)/(SUMIFS(Исход!$G:$G,Исход!$A:$A,AC$1,Исход!$B:$B,$A136)+SUMIFS(Исход!$D:$D,Исход!$A:$A,AC$1,Исход!$B:$B,$A136)),0)</f>
        <v>0</v>
      </c>
      <c r="AD136" s="7">
        <f>IFERROR(SUMIFS(Исход!$G:$G,Исход!$A:$A,AD$1,Исход!$B:$B,$A136)/(SUMIFS(Исход!$G:$G,Исход!$A:$A,AD$1,Исход!$B:$B,$A136)+SUMIFS(Исход!$D:$D,Исход!$A:$A,AD$1,Исход!$B:$B,$A136)),0)</f>
        <v>0</v>
      </c>
      <c r="AE136" s="7">
        <f>IFERROR(SUMIFS(Исход!$G:$G,Исход!$A:$A,AE$1,Исход!$B:$B,$A136)/(SUMIFS(Исход!$G:$G,Исход!$A:$A,AE$1,Исход!$B:$B,$A136)+SUMIFS(Исход!$D:$D,Исход!$A:$A,AE$1,Исход!$B:$B,$A136)),0)</f>
        <v>0</v>
      </c>
      <c r="AF136" s="7">
        <f>IFERROR(SUMIFS(Исход!$G:$G,Исход!$A:$A,AF$1,Исход!$B:$B,$A136)/(SUMIFS(Исход!$G:$G,Исход!$A:$A,AF$1,Исход!$B:$B,$A136)+SUMIFS(Исход!$D:$D,Исход!$A:$A,AF$1,Исход!$B:$B,$A136)),0)</f>
        <v>0</v>
      </c>
      <c r="AG136" s="160">
        <f>IFERROR(SUMIFS(Исход!$G:$G,Исход!$A:$A,AG$1,Исход!$B:$B,$A136)/(SUMIFS(Исход!$G:$G,Исход!$A:$A,AG$1,Исход!$B:$B,$A136)+SUMIFS(Исход!$D:$D,Исход!$A:$A,AG$1,Исход!$B:$B,$A136)),0)</f>
        <v>0</v>
      </c>
    </row>
    <row r="137" spans="1:33" hidden="1" outlineLevel="1" x14ac:dyDescent="0.25">
      <c r="A137" s="103">
        <v>0.70833333333333337</v>
      </c>
      <c r="B137" s="123">
        <v>0.72916666666666663</v>
      </c>
      <c r="C137" s="159">
        <f>IFERROR(SUMIFS(Исход!$G:$G,Исход!$A:$A,C$1,Исход!$B:$B,$A137)/(SUMIFS(Исход!$G:$G,Исход!$A:$A,C$1,Исход!$B:$B,$A137)+SUMIFS(Исход!$D:$D,Исход!$A:$A,C$1,Исход!$B:$B,$A137)),0)</f>
        <v>0</v>
      </c>
      <c r="D137" s="7">
        <f>IFERROR(SUMIFS(Исход!$G:$G,Исход!$A:$A,D$1,Исход!$B:$B,$A137)/(SUMIFS(Исход!$G:$G,Исход!$A:$A,D$1,Исход!$B:$B,$A137)+SUMIFS(Исход!$D:$D,Исход!$A:$A,D$1,Исход!$B:$B,$A137)),0)</f>
        <v>0</v>
      </c>
      <c r="E137" s="7">
        <f>IFERROR(SUMIFS(Исход!$G:$G,Исход!$A:$A,E$1,Исход!$B:$B,$A137)/(SUMIFS(Исход!$G:$G,Исход!$A:$A,E$1,Исход!$B:$B,$A137)+SUMIFS(Исход!$D:$D,Исход!$A:$A,E$1,Исход!$B:$B,$A137)),0)</f>
        <v>0</v>
      </c>
      <c r="F137" s="7">
        <f>IFERROR(SUMIFS(Исход!$G:$G,Исход!$A:$A,F$1,Исход!$B:$B,$A137)/(SUMIFS(Исход!$G:$G,Исход!$A:$A,F$1,Исход!$B:$B,$A137)+SUMIFS(Исход!$D:$D,Исход!$A:$A,F$1,Исход!$B:$B,$A137)),0)</f>
        <v>0</v>
      </c>
      <c r="G137" s="7">
        <f>IFERROR(SUMIFS(Исход!$G:$G,Исход!$A:$A,G$1,Исход!$B:$B,$A137)/(SUMIFS(Исход!$G:$G,Исход!$A:$A,G$1,Исход!$B:$B,$A137)+SUMIFS(Исход!$D:$D,Исход!$A:$A,G$1,Исход!$B:$B,$A137)),0)</f>
        <v>0</v>
      </c>
      <c r="H137" s="7">
        <f>IFERROR(SUMIFS(Исход!$G:$G,Исход!$A:$A,H$1,Исход!$B:$B,$A137)/(SUMIFS(Исход!$G:$G,Исход!$A:$A,H$1,Исход!$B:$B,$A137)+SUMIFS(Исход!$D:$D,Исход!$A:$A,H$1,Исход!$B:$B,$A137)),0)</f>
        <v>0</v>
      </c>
      <c r="I137" s="7">
        <f>IFERROR(SUMIFS(Исход!$G:$G,Исход!$A:$A,I$1,Исход!$B:$B,$A137)/(SUMIFS(Исход!$G:$G,Исход!$A:$A,I$1,Исход!$B:$B,$A137)+SUMIFS(Исход!$D:$D,Исход!$A:$A,I$1,Исход!$B:$B,$A137)),0)</f>
        <v>0</v>
      </c>
      <c r="J137" s="7">
        <f>IFERROR(SUMIFS(Исход!$G:$G,Исход!$A:$A,J$1,Исход!$B:$B,$A137)/(SUMIFS(Исход!$G:$G,Исход!$A:$A,J$1,Исход!$B:$B,$A137)+SUMIFS(Исход!$D:$D,Исход!$A:$A,J$1,Исход!$B:$B,$A137)),0)</f>
        <v>0</v>
      </c>
      <c r="K137" s="7">
        <f>IFERROR(SUMIFS(Исход!$G:$G,Исход!$A:$A,K$1,Исход!$B:$B,$A137)/(SUMIFS(Исход!$G:$G,Исход!$A:$A,K$1,Исход!$B:$B,$A137)+SUMIFS(Исход!$D:$D,Исход!$A:$A,K$1,Исход!$B:$B,$A137)),0)</f>
        <v>0</v>
      </c>
      <c r="L137" s="7">
        <f>IFERROR(SUMIFS(Исход!$G:$G,Исход!$A:$A,L$1,Исход!$B:$B,$A137)/(SUMIFS(Исход!$G:$G,Исход!$A:$A,L$1,Исход!$B:$B,$A137)+SUMIFS(Исход!$D:$D,Исход!$A:$A,L$1,Исход!$B:$B,$A137)),0)</f>
        <v>0</v>
      </c>
      <c r="M137" s="7">
        <f>IFERROR(SUMIFS(Исход!$G:$G,Исход!$A:$A,M$1,Исход!$B:$B,$A137)/(SUMIFS(Исход!$G:$G,Исход!$A:$A,M$1,Исход!$B:$B,$A137)+SUMIFS(Исход!$D:$D,Исход!$A:$A,M$1,Исход!$B:$B,$A137)),0)</f>
        <v>0</v>
      </c>
      <c r="N137" s="7">
        <f>IFERROR(SUMIFS(Исход!$G:$G,Исход!$A:$A,N$1,Исход!$B:$B,$A137)/(SUMIFS(Исход!$G:$G,Исход!$A:$A,N$1,Исход!$B:$B,$A137)+SUMIFS(Исход!$D:$D,Исход!$A:$A,N$1,Исход!$B:$B,$A137)),0)</f>
        <v>0</v>
      </c>
      <c r="O137" s="7">
        <f>IFERROR(SUMIFS(Исход!$G:$G,Исход!$A:$A,O$1,Исход!$B:$B,$A137)/(SUMIFS(Исход!$G:$G,Исход!$A:$A,O$1,Исход!$B:$B,$A137)+SUMIFS(Исход!$D:$D,Исход!$A:$A,O$1,Исход!$B:$B,$A137)),0)</f>
        <v>0</v>
      </c>
      <c r="P137" s="7">
        <f>IFERROR(SUMIFS(Исход!$G:$G,Исход!$A:$A,P$1,Исход!$B:$B,$A137)/(SUMIFS(Исход!$G:$G,Исход!$A:$A,P$1,Исход!$B:$B,$A137)+SUMIFS(Исход!$D:$D,Исход!$A:$A,P$1,Исход!$B:$B,$A137)),0)</f>
        <v>0</v>
      </c>
      <c r="Q137" s="7">
        <f>IFERROR(SUMIFS(Исход!$G:$G,Исход!$A:$A,Q$1,Исход!$B:$B,$A137)/(SUMIFS(Исход!$G:$G,Исход!$A:$A,Q$1,Исход!$B:$B,$A137)+SUMIFS(Исход!$D:$D,Исход!$A:$A,Q$1,Исход!$B:$B,$A137)),0)</f>
        <v>0</v>
      </c>
      <c r="R137" s="7">
        <f>IFERROR(SUMIFS(Исход!$G:$G,Исход!$A:$A,R$1,Исход!$B:$B,$A137)/(SUMIFS(Исход!$G:$G,Исход!$A:$A,R$1,Исход!$B:$B,$A137)+SUMIFS(Исход!$D:$D,Исход!$A:$A,R$1,Исход!$B:$B,$A137)),0)</f>
        <v>0</v>
      </c>
      <c r="S137" s="7">
        <f>IFERROR(SUMIFS(Исход!$G:$G,Исход!$A:$A,S$1,Исход!$B:$B,$A137)/(SUMIFS(Исход!$G:$G,Исход!$A:$A,S$1,Исход!$B:$B,$A137)+SUMIFS(Исход!$D:$D,Исход!$A:$A,S$1,Исход!$B:$B,$A137)),0)</f>
        <v>0</v>
      </c>
      <c r="T137" s="7">
        <f>IFERROR(SUMIFS(Исход!$G:$G,Исход!$A:$A,T$1,Исход!$B:$B,$A137)/(SUMIFS(Исход!$G:$G,Исход!$A:$A,T$1,Исход!$B:$B,$A137)+SUMIFS(Исход!$D:$D,Исход!$A:$A,T$1,Исход!$B:$B,$A137)),0)</f>
        <v>0</v>
      </c>
      <c r="U137" s="7">
        <f>IFERROR(SUMIFS(Исход!$G:$G,Исход!$A:$A,U$1,Исход!$B:$B,$A137)/(SUMIFS(Исход!$G:$G,Исход!$A:$A,U$1,Исход!$B:$B,$A137)+SUMIFS(Исход!$D:$D,Исход!$A:$A,U$1,Исход!$B:$B,$A137)),0)</f>
        <v>0</v>
      </c>
      <c r="V137" s="7">
        <f>IFERROR(SUMIFS(Исход!$G:$G,Исход!$A:$A,V$1,Исход!$B:$B,$A137)/(SUMIFS(Исход!$G:$G,Исход!$A:$A,V$1,Исход!$B:$B,$A137)+SUMIFS(Исход!$D:$D,Исход!$A:$A,V$1,Исход!$B:$B,$A137)),0)</f>
        <v>0</v>
      </c>
      <c r="W137" s="7">
        <f>IFERROR(SUMIFS(Исход!$G:$G,Исход!$A:$A,W$1,Исход!$B:$B,$A137)/(SUMIFS(Исход!$G:$G,Исход!$A:$A,W$1,Исход!$B:$B,$A137)+SUMIFS(Исход!$D:$D,Исход!$A:$A,W$1,Исход!$B:$B,$A137)),0)</f>
        <v>0</v>
      </c>
      <c r="X137" s="7">
        <f>IFERROR(SUMIFS(Исход!$G:$G,Исход!$A:$A,X$1,Исход!$B:$B,$A137)/(SUMIFS(Исход!$G:$G,Исход!$A:$A,X$1,Исход!$B:$B,$A137)+SUMIFS(Исход!$D:$D,Исход!$A:$A,X$1,Исход!$B:$B,$A137)),0)</f>
        <v>0</v>
      </c>
      <c r="Y137" s="7">
        <f>IFERROR(SUMIFS(Исход!$G:$G,Исход!$A:$A,Y$1,Исход!$B:$B,$A137)/(SUMIFS(Исход!$G:$G,Исход!$A:$A,Y$1,Исход!$B:$B,$A137)+SUMIFS(Исход!$D:$D,Исход!$A:$A,Y$1,Исход!$B:$B,$A137)),0)</f>
        <v>0</v>
      </c>
      <c r="Z137" s="7">
        <f>IFERROR(SUMIFS(Исход!$G:$G,Исход!$A:$A,Z$1,Исход!$B:$B,$A137)/(SUMIFS(Исход!$G:$G,Исход!$A:$A,Z$1,Исход!$B:$B,$A137)+SUMIFS(Исход!$D:$D,Исход!$A:$A,Z$1,Исход!$B:$B,$A137)),0)</f>
        <v>0</v>
      </c>
      <c r="AA137" s="7">
        <f>IFERROR(SUMIFS(Исход!$G:$G,Исход!$A:$A,AA$1,Исход!$B:$B,$A137)/(SUMIFS(Исход!$G:$G,Исход!$A:$A,AA$1,Исход!$B:$B,$A137)+SUMIFS(Исход!$D:$D,Исход!$A:$A,AA$1,Исход!$B:$B,$A137)),0)</f>
        <v>0</v>
      </c>
      <c r="AB137" s="7">
        <f>IFERROR(SUMIFS(Исход!$G:$G,Исход!$A:$A,AB$1,Исход!$B:$B,$A137)/(SUMIFS(Исход!$G:$G,Исход!$A:$A,AB$1,Исход!$B:$B,$A137)+SUMIFS(Исход!$D:$D,Исход!$A:$A,AB$1,Исход!$B:$B,$A137)),0)</f>
        <v>0</v>
      </c>
      <c r="AC137" s="7">
        <f>IFERROR(SUMIFS(Исход!$G:$G,Исход!$A:$A,AC$1,Исход!$B:$B,$A137)/(SUMIFS(Исход!$G:$G,Исход!$A:$A,AC$1,Исход!$B:$B,$A137)+SUMIFS(Исход!$D:$D,Исход!$A:$A,AC$1,Исход!$B:$B,$A137)),0)</f>
        <v>0</v>
      </c>
      <c r="AD137" s="7">
        <f>IFERROR(SUMIFS(Исход!$G:$G,Исход!$A:$A,AD$1,Исход!$B:$B,$A137)/(SUMIFS(Исход!$G:$G,Исход!$A:$A,AD$1,Исход!$B:$B,$A137)+SUMIFS(Исход!$D:$D,Исход!$A:$A,AD$1,Исход!$B:$B,$A137)),0)</f>
        <v>0</v>
      </c>
      <c r="AE137" s="7">
        <f>IFERROR(SUMIFS(Исход!$G:$G,Исход!$A:$A,AE$1,Исход!$B:$B,$A137)/(SUMIFS(Исход!$G:$G,Исход!$A:$A,AE$1,Исход!$B:$B,$A137)+SUMIFS(Исход!$D:$D,Исход!$A:$A,AE$1,Исход!$B:$B,$A137)),0)</f>
        <v>0</v>
      </c>
      <c r="AF137" s="7">
        <f>IFERROR(SUMIFS(Исход!$G:$G,Исход!$A:$A,AF$1,Исход!$B:$B,$A137)/(SUMIFS(Исход!$G:$G,Исход!$A:$A,AF$1,Исход!$B:$B,$A137)+SUMIFS(Исход!$D:$D,Исход!$A:$A,AF$1,Исход!$B:$B,$A137)),0)</f>
        <v>0</v>
      </c>
      <c r="AG137" s="160">
        <f>IFERROR(SUMIFS(Исход!$G:$G,Исход!$A:$A,AG$1,Исход!$B:$B,$A137)/(SUMIFS(Исход!$G:$G,Исход!$A:$A,AG$1,Исход!$B:$B,$A137)+SUMIFS(Исход!$D:$D,Исход!$A:$A,AG$1,Исход!$B:$B,$A137)),0)</f>
        <v>0</v>
      </c>
    </row>
    <row r="138" spans="1:33" hidden="1" outlineLevel="1" x14ac:dyDescent="0.25">
      <c r="A138" s="103">
        <v>0.72916666666666663</v>
      </c>
      <c r="B138" s="123">
        <v>0.75</v>
      </c>
      <c r="C138" s="159">
        <f>IFERROR(SUMIFS(Исход!$G:$G,Исход!$A:$A,C$1,Исход!$B:$B,$A138)/(SUMIFS(Исход!$G:$G,Исход!$A:$A,C$1,Исход!$B:$B,$A138)+SUMIFS(Исход!$D:$D,Исход!$A:$A,C$1,Исход!$B:$B,$A138)),0)</f>
        <v>0</v>
      </c>
      <c r="D138" s="7">
        <f>IFERROR(SUMIFS(Исход!$G:$G,Исход!$A:$A,D$1,Исход!$B:$B,$A138)/(SUMIFS(Исход!$G:$G,Исход!$A:$A,D$1,Исход!$B:$B,$A138)+SUMIFS(Исход!$D:$D,Исход!$A:$A,D$1,Исход!$B:$B,$A138)),0)</f>
        <v>0</v>
      </c>
      <c r="E138" s="7">
        <f>IFERROR(SUMIFS(Исход!$G:$G,Исход!$A:$A,E$1,Исход!$B:$B,$A138)/(SUMIFS(Исход!$G:$G,Исход!$A:$A,E$1,Исход!$B:$B,$A138)+SUMIFS(Исход!$D:$D,Исход!$A:$A,E$1,Исход!$B:$B,$A138)),0)</f>
        <v>0</v>
      </c>
      <c r="F138" s="7">
        <f>IFERROR(SUMIFS(Исход!$G:$G,Исход!$A:$A,F$1,Исход!$B:$B,$A138)/(SUMIFS(Исход!$G:$G,Исход!$A:$A,F$1,Исход!$B:$B,$A138)+SUMIFS(Исход!$D:$D,Исход!$A:$A,F$1,Исход!$B:$B,$A138)),0)</f>
        <v>0</v>
      </c>
      <c r="G138" s="7">
        <f>IFERROR(SUMIFS(Исход!$G:$G,Исход!$A:$A,G$1,Исход!$B:$B,$A138)/(SUMIFS(Исход!$G:$G,Исход!$A:$A,G$1,Исход!$B:$B,$A138)+SUMIFS(Исход!$D:$D,Исход!$A:$A,G$1,Исход!$B:$B,$A138)),0)</f>
        <v>0</v>
      </c>
      <c r="H138" s="7">
        <f>IFERROR(SUMIFS(Исход!$G:$G,Исход!$A:$A,H$1,Исход!$B:$B,$A138)/(SUMIFS(Исход!$G:$G,Исход!$A:$A,H$1,Исход!$B:$B,$A138)+SUMIFS(Исход!$D:$D,Исход!$A:$A,H$1,Исход!$B:$B,$A138)),0)</f>
        <v>0</v>
      </c>
      <c r="I138" s="7">
        <f>IFERROR(SUMIFS(Исход!$G:$G,Исход!$A:$A,I$1,Исход!$B:$B,$A138)/(SUMIFS(Исход!$G:$G,Исход!$A:$A,I$1,Исход!$B:$B,$A138)+SUMIFS(Исход!$D:$D,Исход!$A:$A,I$1,Исход!$B:$B,$A138)),0)</f>
        <v>0</v>
      </c>
      <c r="J138" s="7">
        <f>IFERROR(SUMIFS(Исход!$G:$G,Исход!$A:$A,J$1,Исход!$B:$B,$A138)/(SUMIFS(Исход!$G:$G,Исход!$A:$A,J$1,Исход!$B:$B,$A138)+SUMIFS(Исход!$D:$D,Исход!$A:$A,J$1,Исход!$B:$B,$A138)),0)</f>
        <v>0</v>
      </c>
      <c r="K138" s="7">
        <f>IFERROR(SUMIFS(Исход!$G:$G,Исход!$A:$A,K$1,Исход!$B:$B,$A138)/(SUMIFS(Исход!$G:$G,Исход!$A:$A,K$1,Исход!$B:$B,$A138)+SUMIFS(Исход!$D:$D,Исход!$A:$A,K$1,Исход!$B:$B,$A138)),0)</f>
        <v>0</v>
      </c>
      <c r="L138" s="7">
        <f>IFERROR(SUMIFS(Исход!$G:$G,Исход!$A:$A,L$1,Исход!$B:$B,$A138)/(SUMIFS(Исход!$G:$G,Исход!$A:$A,L$1,Исход!$B:$B,$A138)+SUMIFS(Исход!$D:$D,Исход!$A:$A,L$1,Исход!$B:$B,$A138)),0)</f>
        <v>0</v>
      </c>
      <c r="M138" s="7">
        <f>IFERROR(SUMIFS(Исход!$G:$G,Исход!$A:$A,M$1,Исход!$B:$B,$A138)/(SUMIFS(Исход!$G:$G,Исход!$A:$A,M$1,Исход!$B:$B,$A138)+SUMIFS(Исход!$D:$D,Исход!$A:$A,M$1,Исход!$B:$B,$A138)),0)</f>
        <v>0</v>
      </c>
      <c r="N138" s="7">
        <f>IFERROR(SUMIFS(Исход!$G:$G,Исход!$A:$A,N$1,Исход!$B:$B,$A138)/(SUMIFS(Исход!$G:$G,Исход!$A:$A,N$1,Исход!$B:$B,$A138)+SUMIFS(Исход!$D:$D,Исход!$A:$A,N$1,Исход!$B:$B,$A138)),0)</f>
        <v>0</v>
      </c>
      <c r="O138" s="7">
        <f>IFERROR(SUMIFS(Исход!$G:$G,Исход!$A:$A,O$1,Исход!$B:$B,$A138)/(SUMIFS(Исход!$G:$G,Исход!$A:$A,O$1,Исход!$B:$B,$A138)+SUMIFS(Исход!$D:$D,Исход!$A:$A,O$1,Исход!$B:$B,$A138)),0)</f>
        <v>0</v>
      </c>
      <c r="P138" s="7">
        <f>IFERROR(SUMIFS(Исход!$G:$G,Исход!$A:$A,P$1,Исход!$B:$B,$A138)/(SUMIFS(Исход!$G:$G,Исход!$A:$A,P$1,Исход!$B:$B,$A138)+SUMIFS(Исход!$D:$D,Исход!$A:$A,P$1,Исход!$B:$B,$A138)),0)</f>
        <v>0</v>
      </c>
      <c r="Q138" s="7">
        <f>IFERROR(SUMIFS(Исход!$G:$G,Исход!$A:$A,Q$1,Исход!$B:$B,$A138)/(SUMIFS(Исход!$G:$G,Исход!$A:$A,Q$1,Исход!$B:$B,$A138)+SUMIFS(Исход!$D:$D,Исход!$A:$A,Q$1,Исход!$B:$B,$A138)),0)</f>
        <v>0</v>
      </c>
      <c r="R138" s="7">
        <f>IFERROR(SUMIFS(Исход!$G:$G,Исход!$A:$A,R$1,Исход!$B:$B,$A138)/(SUMIFS(Исход!$G:$G,Исход!$A:$A,R$1,Исход!$B:$B,$A138)+SUMIFS(Исход!$D:$D,Исход!$A:$A,R$1,Исход!$B:$B,$A138)),0)</f>
        <v>0</v>
      </c>
      <c r="S138" s="7">
        <f>IFERROR(SUMIFS(Исход!$G:$G,Исход!$A:$A,S$1,Исход!$B:$B,$A138)/(SUMIFS(Исход!$G:$G,Исход!$A:$A,S$1,Исход!$B:$B,$A138)+SUMIFS(Исход!$D:$D,Исход!$A:$A,S$1,Исход!$B:$B,$A138)),0)</f>
        <v>0</v>
      </c>
      <c r="T138" s="7">
        <f>IFERROR(SUMIFS(Исход!$G:$G,Исход!$A:$A,T$1,Исход!$B:$B,$A138)/(SUMIFS(Исход!$G:$G,Исход!$A:$A,T$1,Исход!$B:$B,$A138)+SUMIFS(Исход!$D:$D,Исход!$A:$A,T$1,Исход!$B:$B,$A138)),0)</f>
        <v>0</v>
      </c>
      <c r="U138" s="7">
        <f>IFERROR(SUMIFS(Исход!$G:$G,Исход!$A:$A,U$1,Исход!$B:$B,$A138)/(SUMIFS(Исход!$G:$G,Исход!$A:$A,U$1,Исход!$B:$B,$A138)+SUMIFS(Исход!$D:$D,Исход!$A:$A,U$1,Исход!$B:$B,$A138)),0)</f>
        <v>0</v>
      </c>
      <c r="V138" s="7">
        <f>IFERROR(SUMIFS(Исход!$G:$G,Исход!$A:$A,V$1,Исход!$B:$B,$A138)/(SUMIFS(Исход!$G:$G,Исход!$A:$A,V$1,Исход!$B:$B,$A138)+SUMIFS(Исход!$D:$D,Исход!$A:$A,V$1,Исход!$B:$B,$A138)),0)</f>
        <v>0</v>
      </c>
      <c r="W138" s="7">
        <f>IFERROR(SUMIFS(Исход!$G:$G,Исход!$A:$A,W$1,Исход!$B:$B,$A138)/(SUMIFS(Исход!$G:$G,Исход!$A:$A,W$1,Исход!$B:$B,$A138)+SUMIFS(Исход!$D:$D,Исход!$A:$A,W$1,Исход!$B:$B,$A138)),0)</f>
        <v>0</v>
      </c>
      <c r="X138" s="7">
        <f>IFERROR(SUMIFS(Исход!$G:$G,Исход!$A:$A,X$1,Исход!$B:$B,$A138)/(SUMIFS(Исход!$G:$G,Исход!$A:$A,X$1,Исход!$B:$B,$A138)+SUMIFS(Исход!$D:$D,Исход!$A:$A,X$1,Исход!$B:$B,$A138)),0)</f>
        <v>0</v>
      </c>
      <c r="Y138" s="7">
        <f>IFERROR(SUMIFS(Исход!$G:$G,Исход!$A:$A,Y$1,Исход!$B:$B,$A138)/(SUMIFS(Исход!$G:$G,Исход!$A:$A,Y$1,Исход!$B:$B,$A138)+SUMIFS(Исход!$D:$D,Исход!$A:$A,Y$1,Исход!$B:$B,$A138)),0)</f>
        <v>0</v>
      </c>
      <c r="Z138" s="7">
        <f>IFERROR(SUMIFS(Исход!$G:$G,Исход!$A:$A,Z$1,Исход!$B:$B,$A138)/(SUMIFS(Исход!$G:$G,Исход!$A:$A,Z$1,Исход!$B:$B,$A138)+SUMIFS(Исход!$D:$D,Исход!$A:$A,Z$1,Исход!$B:$B,$A138)),0)</f>
        <v>0</v>
      </c>
      <c r="AA138" s="7">
        <f>IFERROR(SUMIFS(Исход!$G:$G,Исход!$A:$A,AA$1,Исход!$B:$B,$A138)/(SUMIFS(Исход!$G:$G,Исход!$A:$A,AA$1,Исход!$B:$B,$A138)+SUMIFS(Исход!$D:$D,Исход!$A:$A,AA$1,Исход!$B:$B,$A138)),0)</f>
        <v>0</v>
      </c>
      <c r="AB138" s="7">
        <f>IFERROR(SUMIFS(Исход!$G:$G,Исход!$A:$A,AB$1,Исход!$B:$B,$A138)/(SUMIFS(Исход!$G:$G,Исход!$A:$A,AB$1,Исход!$B:$B,$A138)+SUMIFS(Исход!$D:$D,Исход!$A:$A,AB$1,Исход!$B:$B,$A138)),0)</f>
        <v>0</v>
      </c>
      <c r="AC138" s="7">
        <f>IFERROR(SUMIFS(Исход!$G:$G,Исход!$A:$A,AC$1,Исход!$B:$B,$A138)/(SUMIFS(Исход!$G:$G,Исход!$A:$A,AC$1,Исход!$B:$B,$A138)+SUMIFS(Исход!$D:$D,Исход!$A:$A,AC$1,Исход!$B:$B,$A138)),0)</f>
        <v>0</v>
      </c>
      <c r="AD138" s="7">
        <f>IFERROR(SUMIFS(Исход!$G:$G,Исход!$A:$A,AD$1,Исход!$B:$B,$A138)/(SUMIFS(Исход!$G:$G,Исход!$A:$A,AD$1,Исход!$B:$B,$A138)+SUMIFS(Исход!$D:$D,Исход!$A:$A,AD$1,Исход!$B:$B,$A138)),0)</f>
        <v>0</v>
      </c>
      <c r="AE138" s="7">
        <f>IFERROR(SUMIFS(Исход!$G:$G,Исход!$A:$A,AE$1,Исход!$B:$B,$A138)/(SUMIFS(Исход!$G:$G,Исход!$A:$A,AE$1,Исход!$B:$B,$A138)+SUMIFS(Исход!$D:$D,Исход!$A:$A,AE$1,Исход!$B:$B,$A138)),0)</f>
        <v>0</v>
      </c>
      <c r="AF138" s="7">
        <f>IFERROR(SUMIFS(Исход!$G:$G,Исход!$A:$A,AF$1,Исход!$B:$B,$A138)/(SUMIFS(Исход!$G:$G,Исход!$A:$A,AF$1,Исход!$B:$B,$A138)+SUMIFS(Исход!$D:$D,Исход!$A:$A,AF$1,Исход!$B:$B,$A138)),0)</f>
        <v>0</v>
      </c>
      <c r="AG138" s="160">
        <f>IFERROR(SUMIFS(Исход!$G:$G,Исход!$A:$A,AG$1,Исход!$B:$B,$A138)/(SUMIFS(Исход!$G:$G,Исход!$A:$A,AG$1,Исход!$B:$B,$A138)+SUMIFS(Исход!$D:$D,Исход!$A:$A,AG$1,Исход!$B:$B,$A138)),0)</f>
        <v>0</v>
      </c>
    </row>
    <row r="139" spans="1:33" hidden="1" outlineLevel="1" x14ac:dyDescent="0.25">
      <c r="A139" s="103">
        <v>0.75</v>
      </c>
      <c r="B139" s="123">
        <v>0.77083333333333337</v>
      </c>
      <c r="C139" s="159">
        <f>IFERROR(SUMIFS(Исход!$G:$G,Исход!$A:$A,C$1,Исход!$B:$B,$A139)/(SUMIFS(Исход!$G:$G,Исход!$A:$A,C$1,Исход!$B:$B,$A139)+SUMIFS(Исход!$D:$D,Исход!$A:$A,C$1,Исход!$B:$B,$A139)),0)</f>
        <v>0</v>
      </c>
      <c r="D139" s="7">
        <f>IFERROR(SUMIFS(Исход!$G:$G,Исход!$A:$A,D$1,Исход!$B:$B,$A139)/(SUMIFS(Исход!$G:$G,Исход!$A:$A,D$1,Исход!$B:$B,$A139)+SUMIFS(Исход!$D:$D,Исход!$A:$A,D$1,Исход!$B:$B,$A139)),0)</f>
        <v>0</v>
      </c>
      <c r="E139" s="7">
        <f>IFERROR(SUMIFS(Исход!$G:$G,Исход!$A:$A,E$1,Исход!$B:$B,$A139)/(SUMIFS(Исход!$G:$G,Исход!$A:$A,E$1,Исход!$B:$B,$A139)+SUMIFS(Исход!$D:$D,Исход!$A:$A,E$1,Исход!$B:$B,$A139)),0)</f>
        <v>0</v>
      </c>
      <c r="F139" s="7">
        <f>IFERROR(SUMIFS(Исход!$G:$G,Исход!$A:$A,F$1,Исход!$B:$B,$A139)/(SUMIFS(Исход!$G:$G,Исход!$A:$A,F$1,Исход!$B:$B,$A139)+SUMIFS(Исход!$D:$D,Исход!$A:$A,F$1,Исход!$B:$B,$A139)),0)</f>
        <v>0</v>
      </c>
      <c r="G139" s="7">
        <f>IFERROR(SUMIFS(Исход!$G:$G,Исход!$A:$A,G$1,Исход!$B:$B,$A139)/(SUMIFS(Исход!$G:$G,Исход!$A:$A,G$1,Исход!$B:$B,$A139)+SUMIFS(Исход!$D:$D,Исход!$A:$A,G$1,Исход!$B:$B,$A139)),0)</f>
        <v>0</v>
      </c>
      <c r="H139" s="7">
        <f>IFERROR(SUMIFS(Исход!$G:$G,Исход!$A:$A,H$1,Исход!$B:$B,$A139)/(SUMIFS(Исход!$G:$G,Исход!$A:$A,H$1,Исход!$B:$B,$A139)+SUMIFS(Исход!$D:$D,Исход!$A:$A,H$1,Исход!$B:$B,$A139)),0)</f>
        <v>0</v>
      </c>
      <c r="I139" s="7">
        <f>IFERROR(SUMIFS(Исход!$G:$G,Исход!$A:$A,I$1,Исход!$B:$B,$A139)/(SUMIFS(Исход!$G:$G,Исход!$A:$A,I$1,Исход!$B:$B,$A139)+SUMIFS(Исход!$D:$D,Исход!$A:$A,I$1,Исход!$B:$B,$A139)),0)</f>
        <v>0</v>
      </c>
      <c r="J139" s="7">
        <f>IFERROR(SUMIFS(Исход!$G:$G,Исход!$A:$A,J$1,Исход!$B:$B,$A139)/(SUMIFS(Исход!$G:$G,Исход!$A:$A,J$1,Исход!$B:$B,$A139)+SUMIFS(Исход!$D:$D,Исход!$A:$A,J$1,Исход!$B:$B,$A139)),0)</f>
        <v>0</v>
      </c>
      <c r="K139" s="7">
        <f>IFERROR(SUMIFS(Исход!$G:$G,Исход!$A:$A,K$1,Исход!$B:$B,$A139)/(SUMIFS(Исход!$G:$G,Исход!$A:$A,K$1,Исход!$B:$B,$A139)+SUMIFS(Исход!$D:$D,Исход!$A:$A,K$1,Исход!$B:$B,$A139)),0)</f>
        <v>0</v>
      </c>
      <c r="L139" s="7">
        <f>IFERROR(SUMIFS(Исход!$G:$G,Исход!$A:$A,L$1,Исход!$B:$B,$A139)/(SUMIFS(Исход!$G:$G,Исход!$A:$A,L$1,Исход!$B:$B,$A139)+SUMIFS(Исход!$D:$D,Исход!$A:$A,L$1,Исход!$B:$B,$A139)),0)</f>
        <v>0</v>
      </c>
      <c r="M139" s="7">
        <f>IFERROR(SUMIFS(Исход!$G:$G,Исход!$A:$A,M$1,Исход!$B:$B,$A139)/(SUMIFS(Исход!$G:$G,Исход!$A:$A,M$1,Исход!$B:$B,$A139)+SUMIFS(Исход!$D:$D,Исход!$A:$A,M$1,Исход!$B:$B,$A139)),0)</f>
        <v>0</v>
      </c>
      <c r="N139" s="7">
        <f>IFERROR(SUMIFS(Исход!$G:$G,Исход!$A:$A,N$1,Исход!$B:$B,$A139)/(SUMIFS(Исход!$G:$G,Исход!$A:$A,N$1,Исход!$B:$B,$A139)+SUMIFS(Исход!$D:$D,Исход!$A:$A,N$1,Исход!$B:$B,$A139)),0)</f>
        <v>0</v>
      </c>
      <c r="O139" s="7">
        <f>IFERROR(SUMIFS(Исход!$G:$G,Исход!$A:$A,O$1,Исход!$B:$B,$A139)/(SUMIFS(Исход!$G:$G,Исход!$A:$A,O$1,Исход!$B:$B,$A139)+SUMIFS(Исход!$D:$D,Исход!$A:$A,O$1,Исход!$B:$B,$A139)),0)</f>
        <v>0</v>
      </c>
      <c r="P139" s="7">
        <f>IFERROR(SUMIFS(Исход!$G:$G,Исход!$A:$A,P$1,Исход!$B:$B,$A139)/(SUMIFS(Исход!$G:$G,Исход!$A:$A,P$1,Исход!$B:$B,$A139)+SUMIFS(Исход!$D:$D,Исход!$A:$A,P$1,Исход!$B:$B,$A139)),0)</f>
        <v>0</v>
      </c>
      <c r="Q139" s="7">
        <f>IFERROR(SUMIFS(Исход!$G:$G,Исход!$A:$A,Q$1,Исход!$B:$B,$A139)/(SUMIFS(Исход!$G:$G,Исход!$A:$A,Q$1,Исход!$B:$B,$A139)+SUMIFS(Исход!$D:$D,Исход!$A:$A,Q$1,Исход!$B:$B,$A139)),0)</f>
        <v>0</v>
      </c>
      <c r="R139" s="7">
        <f>IFERROR(SUMIFS(Исход!$G:$G,Исход!$A:$A,R$1,Исход!$B:$B,$A139)/(SUMIFS(Исход!$G:$G,Исход!$A:$A,R$1,Исход!$B:$B,$A139)+SUMIFS(Исход!$D:$D,Исход!$A:$A,R$1,Исход!$B:$B,$A139)),0)</f>
        <v>0</v>
      </c>
      <c r="S139" s="7">
        <f>IFERROR(SUMIFS(Исход!$G:$G,Исход!$A:$A,S$1,Исход!$B:$B,$A139)/(SUMIFS(Исход!$G:$G,Исход!$A:$A,S$1,Исход!$B:$B,$A139)+SUMIFS(Исход!$D:$D,Исход!$A:$A,S$1,Исход!$B:$B,$A139)),0)</f>
        <v>0</v>
      </c>
      <c r="T139" s="7">
        <f>IFERROR(SUMIFS(Исход!$G:$G,Исход!$A:$A,T$1,Исход!$B:$B,$A139)/(SUMIFS(Исход!$G:$G,Исход!$A:$A,T$1,Исход!$B:$B,$A139)+SUMIFS(Исход!$D:$D,Исход!$A:$A,T$1,Исход!$B:$B,$A139)),0)</f>
        <v>0</v>
      </c>
      <c r="U139" s="7">
        <f>IFERROR(SUMIFS(Исход!$G:$G,Исход!$A:$A,U$1,Исход!$B:$B,$A139)/(SUMIFS(Исход!$G:$G,Исход!$A:$A,U$1,Исход!$B:$B,$A139)+SUMIFS(Исход!$D:$D,Исход!$A:$A,U$1,Исход!$B:$B,$A139)),0)</f>
        <v>0</v>
      </c>
      <c r="V139" s="7">
        <f>IFERROR(SUMIFS(Исход!$G:$G,Исход!$A:$A,V$1,Исход!$B:$B,$A139)/(SUMIFS(Исход!$G:$G,Исход!$A:$A,V$1,Исход!$B:$B,$A139)+SUMIFS(Исход!$D:$D,Исход!$A:$A,V$1,Исход!$B:$B,$A139)),0)</f>
        <v>0</v>
      </c>
      <c r="W139" s="7">
        <f>IFERROR(SUMIFS(Исход!$G:$G,Исход!$A:$A,W$1,Исход!$B:$B,$A139)/(SUMIFS(Исход!$G:$G,Исход!$A:$A,W$1,Исход!$B:$B,$A139)+SUMIFS(Исход!$D:$D,Исход!$A:$A,W$1,Исход!$B:$B,$A139)),0)</f>
        <v>0</v>
      </c>
      <c r="X139" s="7">
        <f>IFERROR(SUMIFS(Исход!$G:$G,Исход!$A:$A,X$1,Исход!$B:$B,$A139)/(SUMIFS(Исход!$G:$G,Исход!$A:$A,X$1,Исход!$B:$B,$A139)+SUMIFS(Исход!$D:$D,Исход!$A:$A,X$1,Исход!$B:$B,$A139)),0)</f>
        <v>0</v>
      </c>
      <c r="Y139" s="7">
        <f>IFERROR(SUMIFS(Исход!$G:$G,Исход!$A:$A,Y$1,Исход!$B:$B,$A139)/(SUMIFS(Исход!$G:$G,Исход!$A:$A,Y$1,Исход!$B:$B,$A139)+SUMIFS(Исход!$D:$D,Исход!$A:$A,Y$1,Исход!$B:$B,$A139)),0)</f>
        <v>0</v>
      </c>
      <c r="Z139" s="7">
        <f>IFERROR(SUMIFS(Исход!$G:$G,Исход!$A:$A,Z$1,Исход!$B:$B,$A139)/(SUMIFS(Исход!$G:$G,Исход!$A:$A,Z$1,Исход!$B:$B,$A139)+SUMIFS(Исход!$D:$D,Исход!$A:$A,Z$1,Исход!$B:$B,$A139)),0)</f>
        <v>0</v>
      </c>
      <c r="AA139" s="7">
        <f>IFERROR(SUMIFS(Исход!$G:$G,Исход!$A:$A,AA$1,Исход!$B:$B,$A139)/(SUMIFS(Исход!$G:$G,Исход!$A:$A,AA$1,Исход!$B:$B,$A139)+SUMIFS(Исход!$D:$D,Исход!$A:$A,AA$1,Исход!$B:$B,$A139)),0)</f>
        <v>0</v>
      </c>
      <c r="AB139" s="7">
        <f>IFERROR(SUMIFS(Исход!$G:$G,Исход!$A:$A,AB$1,Исход!$B:$B,$A139)/(SUMIFS(Исход!$G:$G,Исход!$A:$A,AB$1,Исход!$B:$B,$A139)+SUMIFS(Исход!$D:$D,Исход!$A:$A,AB$1,Исход!$B:$B,$A139)),0)</f>
        <v>0</v>
      </c>
      <c r="AC139" s="7">
        <f>IFERROR(SUMIFS(Исход!$G:$G,Исход!$A:$A,AC$1,Исход!$B:$B,$A139)/(SUMIFS(Исход!$G:$G,Исход!$A:$A,AC$1,Исход!$B:$B,$A139)+SUMIFS(Исход!$D:$D,Исход!$A:$A,AC$1,Исход!$B:$B,$A139)),0)</f>
        <v>0</v>
      </c>
      <c r="AD139" s="7">
        <f>IFERROR(SUMIFS(Исход!$G:$G,Исход!$A:$A,AD$1,Исход!$B:$B,$A139)/(SUMIFS(Исход!$G:$G,Исход!$A:$A,AD$1,Исход!$B:$B,$A139)+SUMIFS(Исход!$D:$D,Исход!$A:$A,AD$1,Исход!$B:$B,$A139)),0)</f>
        <v>0</v>
      </c>
      <c r="AE139" s="7">
        <f>IFERROR(SUMIFS(Исход!$G:$G,Исход!$A:$A,AE$1,Исход!$B:$B,$A139)/(SUMIFS(Исход!$G:$G,Исход!$A:$A,AE$1,Исход!$B:$B,$A139)+SUMIFS(Исход!$D:$D,Исход!$A:$A,AE$1,Исход!$B:$B,$A139)),0)</f>
        <v>0</v>
      </c>
      <c r="AF139" s="7">
        <f>IFERROR(SUMIFS(Исход!$G:$G,Исход!$A:$A,AF$1,Исход!$B:$B,$A139)/(SUMIFS(Исход!$G:$G,Исход!$A:$A,AF$1,Исход!$B:$B,$A139)+SUMIFS(Исход!$D:$D,Исход!$A:$A,AF$1,Исход!$B:$B,$A139)),0)</f>
        <v>0</v>
      </c>
      <c r="AG139" s="160">
        <f>IFERROR(SUMIFS(Исход!$G:$G,Исход!$A:$A,AG$1,Исход!$B:$B,$A139)/(SUMIFS(Исход!$G:$G,Исход!$A:$A,AG$1,Исход!$B:$B,$A139)+SUMIFS(Исход!$D:$D,Исход!$A:$A,AG$1,Исход!$B:$B,$A139)),0)</f>
        <v>0</v>
      </c>
    </row>
    <row r="140" spans="1:33" hidden="1" outlineLevel="1" x14ac:dyDescent="0.25">
      <c r="A140" s="103">
        <v>0.77083333333333337</v>
      </c>
      <c r="B140" s="123">
        <v>0.79166666666666663</v>
      </c>
      <c r="C140" s="159">
        <f>IFERROR(SUMIFS(Исход!$G:$G,Исход!$A:$A,C$1,Исход!$B:$B,$A140)/(SUMIFS(Исход!$G:$G,Исход!$A:$A,C$1,Исход!$B:$B,$A140)+SUMIFS(Исход!$D:$D,Исход!$A:$A,C$1,Исход!$B:$B,$A140)),0)</f>
        <v>0</v>
      </c>
      <c r="D140" s="7">
        <f>IFERROR(SUMIFS(Исход!$G:$G,Исход!$A:$A,D$1,Исход!$B:$B,$A140)/(SUMIFS(Исход!$G:$G,Исход!$A:$A,D$1,Исход!$B:$B,$A140)+SUMIFS(Исход!$D:$D,Исход!$A:$A,D$1,Исход!$B:$B,$A140)),0)</f>
        <v>0</v>
      </c>
      <c r="E140" s="7">
        <f>IFERROR(SUMIFS(Исход!$G:$G,Исход!$A:$A,E$1,Исход!$B:$B,$A140)/(SUMIFS(Исход!$G:$G,Исход!$A:$A,E$1,Исход!$B:$B,$A140)+SUMIFS(Исход!$D:$D,Исход!$A:$A,E$1,Исход!$B:$B,$A140)),0)</f>
        <v>0</v>
      </c>
      <c r="F140" s="7">
        <f>IFERROR(SUMIFS(Исход!$G:$G,Исход!$A:$A,F$1,Исход!$B:$B,$A140)/(SUMIFS(Исход!$G:$G,Исход!$A:$A,F$1,Исход!$B:$B,$A140)+SUMIFS(Исход!$D:$D,Исход!$A:$A,F$1,Исход!$B:$B,$A140)),0)</f>
        <v>0</v>
      </c>
      <c r="G140" s="7">
        <f>IFERROR(SUMIFS(Исход!$G:$G,Исход!$A:$A,G$1,Исход!$B:$B,$A140)/(SUMIFS(Исход!$G:$G,Исход!$A:$A,G$1,Исход!$B:$B,$A140)+SUMIFS(Исход!$D:$D,Исход!$A:$A,G$1,Исход!$B:$B,$A140)),0)</f>
        <v>0</v>
      </c>
      <c r="H140" s="7">
        <f>IFERROR(SUMIFS(Исход!$G:$G,Исход!$A:$A,H$1,Исход!$B:$B,$A140)/(SUMIFS(Исход!$G:$G,Исход!$A:$A,H$1,Исход!$B:$B,$A140)+SUMIFS(Исход!$D:$D,Исход!$A:$A,H$1,Исход!$B:$B,$A140)),0)</f>
        <v>0</v>
      </c>
      <c r="I140" s="7">
        <f>IFERROR(SUMIFS(Исход!$G:$G,Исход!$A:$A,I$1,Исход!$B:$B,$A140)/(SUMIFS(Исход!$G:$G,Исход!$A:$A,I$1,Исход!$B:$B,$A140)+SUMIFS(Исход!$D:$D,Исход!$A:$A,I$1,Исход!$B:$B,$A140)),0)</f>
        <v>0</v>
      </c>
      <c r="J140" s="7">
        <f>IFERROR(SUMIFS(Исход!$G:$G,Исход!$A:$A,J$1,Исход!$B:$B,$A140)/(SUMIFS(Исход!$G:$G,Исход!$A:$A,J$1,Исход!$B:$B,$A140)+SUMIFS(Исход!$D:$D,Исход!$A:$A,J$1,Исход!$B:$B,$A140)),0)</f>
        <v>0</v>
      </c>
      <c r="K140" s="7">
        <f>IFERROR(SUMIFS(Исход!$G:$G,Исход!$A:$A,K$1,Исход!$B:$B,$A140)/(SUMIFS(Исход!$G:$G,Исход!$A:$A,K$1,Исход!$B:$B,$A140)+SUMIFS(Исход!$D:$D,Исход!$A:$A,K$1,Исход!$B:$B,$A140)),0)</f>
        <v>0</v>
      </c>
      <c r="L140" s="7">
        <f>IFERROR(SUMIFS(Исход!$G:$G,Исход!$A:$A,L$1,Исход!$B:$B,$A140)/(SUMIFS(Исход!$G:$G,Исход!$A:$A,L$1,Исход!$B:$B,$A140)+SUMIFS(Исход!$D:$D,Исход!$A:$A,L$1,Исход!$B:$B,$A140)),0)</f>
        <v>0</v>
      </c>
      <c r="M140" s="7">
        <f>IFERROR(SUMIFS(Исход!$G:$G,Исход!$A:$A,M$1,Исход!$B:$B,$A140)/(SUMIFS(Исход!$G:$G,Исход!$A:$A,M$1,Исход!$B:$B,$A140)+SUMIFS(Исход!$D:$D,Исход!$A:$A,M$1,Исход!$B:$B,$A140)),0)</f>
        <v>0</v>
      </c>
      <c r="N140" s="7">
        <f>IFERROR(SUMIFS(Исход!$G:$G,Исход!$A:$A,N$1,Исход!$B:$B,$A140)/(SUMIFS(Исход!$G:$G,Исход!$A:$A,N$1,Исход!$B:$B,$A140)+SUMIFS(Исход!$D:$D,Исход!$A:$A,N$1,Исход!$B:$B,$A140)),0)</f>
        <v>0</v>
      </c>
      <c r="O140" s="7">
        <f>IFERROR(SUMIFS(Исход!$G:$G,Исход!$A:$A,O$1,Исход!$B:$B,$A140)/(SUMIFS(Исход!$G:$G,Исход!$A:$A,O$1,Исход!$B:$B,$A140)+SUMIFS(Исход!$D:$D,Исход!$A:$A,O$1,Исход!$B:$B,$A140)),0)</f>
        <v>0</v>
      </c>
      <c r="P140" s="7">
        <f>IFERROR(SUMIFS(Исход!$G:$G,Исход!$A:$A,P$1,Исход!$B:$B,$A140)/(SUMIFS(Исход!$G:$G,Исход!$A:$A,P$1,Исход!$B:$B,$A140)+SUMIFS(Исход!$D:$D,Исход!$A:$A,P$1,Исход!$B:$B,$A140)),0)</f>
        <v>0</v>
      </c>
      <c r="Q140" s="7">
        <f>IFERROR(SUMIFS(Исход!$G:$G,Исход!$A:$A,Q$1,Исход!$B:$B,$A140)/(SUMIFS(Исход!$G:$G,Исход!$A:$A,Q$1,Исход!$B:$B,$A140)+SUMIFS(Исход!$D:$D,Исход!$A:$A,Q$1,Исход!$B:$B,$A140)),0)</f>
        <v>0</v>
      </c>
      <c r="R140" s="7">
        <f>IFERROR(SUMIFS(Исход!$G:$G,Исход!$A:$A,R$1,Исход!$B:$B,$A140)/(SUMIFS(Исход!$G:$G,Исход!$A:$A,R$1,Исход!$B:$B,$A140)+SUMIFS(Исход!$D:$D,Исход!$A:$A,R$1,Исход!$B:$B,$A140)),0)</f>
        <v>0</v>
      </c>
      <c r="S140" s="7">
        <f>IFERROR(SUMIFS(Исход!$G:$G,Исход!$A:$A,S$1,Исход!$B:$B,$A140)/(SUMIFS(Исход!$G:$G,Исход!$A:$A,S$1,Исход!$B:$B,$A140)+SUMIFS(Исход!$D:$D,Исход!$A:$A,S$1,Исход!$B:$B,$A140)),0)</f>
        <v>0</v>
      </c>
      <c r="T140" s="7">
        <f>IFERROR(SUMIFS(Исход!$G:$G,Исход!$A:$A,T$1,Исход!$B:$B,$A140)/(SUMIFS(Исход!$G:$G,Исход!$A:$A,T$1,Исход!$B:$B,$A140)+SUMIFS(Исход!$D:$D,Исход!$A:$A,T$1,Исход!$B:$B,$A140)),0)</f>
        <v>0</v>
      </c>
      <c r="U140" s="7">
        <f>IFERROR(SUMIFS(Исход!$G:$G,Исход!$A:$A,U$1,Исход!$B:$B,$A140)/(SUMIFS(Исход!$G:$G,Исход!$A:$A,U$1,Исход!$B:$B,$A140)+SUMIFS(Исход!$D:$D,Исход!$A:$A,U$1,Исход!$B:$B,$A140)),0)</f>
        <v>0</v>
      </c>
      <c r="V140" s="7">
        <f>IFERROR(SUMIFS(Исход!$G:$G,Исход!$A:$A,V$1,Исход!$B:$B,$A140)/(SUMIFS(Исход!$G:$G,Исход!$A:$A,V$1,Исход!$B:$B,$A140)+SUMIFS(Исход!$D:$D,Исход!$A:$A,V$1,Исход!$B:$B,$A140)),0)</f>
        <v>0</v>
      </c>
      <c r="W140" s="7">
        <f>IFERROR(SUMIFS(Исход!$G:$G,Исход!$A:$A,W$1,Исход!$B:$B,$A140)/(SUMIFS(Исход!$G:$G,Исход!$A:$A,W$1,Исход!$B:$B,$A140)+SUMIFS(Исход!$D:$D,Исход!$A:$A,W$1,Исход!$B:$B,$A140)),0)</f>
        <v>0</v>
      </c>
      <c r="X140" s="7">
        <f>IFERROR(SUMIFS(Исход!$G:$G,Исход!$A:$A,X$1,Исход!$B:$B,$A140)/(SUMIFS(Исход!$G:$G,Исход!$A:$A,X$1,Исход!$B:$B,$A140)+SUMIFS(Исход!$D:$D,Исход!$A:$A,X$1,Исход!$B:$B,$A140)),0)</f>
        <v>0</v>
      </c>
      <c r="Y140" s="7">
        <f>IFERROR(SUMIFS(Исход!$G:$G,Исход!$A:$A,Y$1,Исход!$B:$B,$A140)/(SUMIFS(Исход!$G:$G,Исход!$A:$A,Y$1,Исход!$B:$B,$A140)+SUMIFS(Исход!$D:$D,Исход!$A:$A,Y$1,Исход!$B:$B,$A140)),0)</f>
        <v>0</v>
      </c>
      <c r="Z140" s="7">
        <f>IFERROR(SUMIFS(Исход!$G:$G,Исход!$A:$A,Z$1,Исход!$B:$B,$A140)/(SUMIFS(Исход!$G:$G,Исход!$A:$A,Z$1,Исход!$B:$B,$A140)+SUMIFS(Исход!$D:$D,Исход!$A:$A,Z$1,Исход!$B:$B,$A140)),0)</f>
        <v>0</v>
      </c>
      <c r="AA140" s="7">
        <f>IFERROR(SUMIFS(Исход!$G:$G,Исход!$A:$A,AA$1,Исход!$B:$B,$A140)/(SUMIFS(Исход!$G:$G,Исход!$A:$A,AA$1,Исход!$B:$B,$A140)+SUMIFS(Исход!$D:$D,Исход!$A:$A,AA$1,Исход!$B:$B,$A140)),0)</f>
        <v>0</v>
      </c>
      <c r="AB140" s="7">
        <f>IFERROR(SUMIFS(Исход!$G:$G,Исход!$A:$A,AB$1,Исход!$B:$B,$A140)/(SUMIFS(Исход!$G:$G,Исход!$A:$A,AB$1,Исход!$B:$B,$A140)+SUMIFS(Исход!$D:$D,Исход!$A:$A,AB$1,Исход!$B:$B,$A140)),0)</f>
        <v>0</v>
      </c>
      <c r="AC140" s="7">
        <f>IFERROR(SUMIFS(Исход!$G:$G,Исход!$A:$A,AC$1,Исход!$B:$B,$A140)/(SUMIFS(Исход!$G:$G,Исход!$A:$A,AC$1,Исход!$B:$B,$A140)+SUMIFS(Исход!$D:$D,Исход!$A:$A,AC$1,Исход!$B:$B,$A140)),0)</f>
        <v>0</v>
      </c>
      <c r="AD140" s="7">
        <f>IFERROR(SUMIFS(Исход!$G:$G,Исход!$A:$A,AD$1,Исход!$B:$B,$A140)/(SUMIFS(Исход!$G:$G,Исход!$A:$A,AD$1,Исход!$B:$B,$A140)+SUMIFS(Исход!$D:$D,Исход!$A:$A,AD$1,Исход!$B:$B,$A140)),0)</f>
        <v>0</v>
      </c>
      <c r="AE140" s="7">
        <f>IFERROR(SUMIFS(Исход!$G:$G,Исход!$A:$A,AE$1,Исход!$B:$B,$A140)/(SUMIFS(Исход!$G:$G,Исход!$A:$A,AE$1,Исход!$B:$B,$A140)+SUMIFS(Исход!$D:$D,Исход!$A:$A,AE$1,Исход!$B:$B,$A140)),0)</f>
        <v>0</v>
      </c>
      <c r="AF140" s="7">
        <f>IFERROR(SUMIFS(Исход!$G:$G,Исход!$A:$A,AF$1,Исход!$B:$B,$A140)/(SUMIFS(Исход!$G:$G,Исход!$A:$A,AF$1,Исход!$B:$B,$A140)+SUMIFS(Исход!$D:$D,Исход!$A:$A,AF$1,Исход!$B:$B,$A140)),0)</f>
        <v>0</v>
      </c>
      <c r="AG140" s="160">
        <f>IFERROR(SUMIFS(Исход!$G:$G,Исход!$A:$A,AG$1,Исход!$B:$B,$A140)/(SUMIFS(Исход!$G:$G,Исход!$A:$A,AG$1,Исход!$B:$B,$A140)+SUMIFS(Исход!$D:$D,Исход!$A:$A,AG$1,Исход!$B:$B,$A140)),0)</f>
        <v>0</v>
      </c>
    </row>
    <row r="141" spans="1:33" hidden="1" outlineLevel="1" x14ac:dyDescent="0.25">
      <c r="A141" s="103">
        <v>0.79166666666666663</v>
      </c>
      <c r="B141" s="123">
        <v>0.8125</v>
      </c>
      <c r="C141" s="159">
        <f>IFERROR(SUMIFS(Исход!$G:$G,Исход!$A:$A,C$1,Исход!$B:$B,$A141)/(SUMIFS(Исход!$G:$G,Исход!$A:$A,C$1,Исход!$B:$B,$A141)+SUMIFS(Исход!$D:$D,Исход!$A:$A,C$1,Исход!$B:$B,$A141)),0)</f>
        <v>0</v>
      </c>
      <c r="D141" s="7">
        <f>IFERROR(SUMIFS(Исход!$G:$G,Исход!$A:$A,D$1,Исход!$B:$B,$A141)/(SUMIFS(Исход!$G:$G,Исход!$A:$A,D$1,Исход!$B:$B,$A141)+SUMIFS(Исход!$D:$D,Исход!$A:$A,D$1,Исход!$B:$B,$A141)),0)</f>
        <v>0</v>
      </c>
      <c r="E141" s="7">
        <f>IFERROR(SUMIFS(Исход!$G:$G,Исход!$A:$A,E$1,Исход!$B:$B,$A141)/(SUMIFS(Исход!$G:$G,Исход!$A:$A,E$1,Исход!$B:$B,$A141)+SUMIFS(Исход!$D:$D,Исход!$A:$A,E$1,Исход!$B:$B,$A141)),0)</f>
        <v>0</v>
      </c>
      <c r="F141" s="7">
        <f>IFERROR(SUMIFS(Исход!$G:$G,Исход!$A:$A,F$1,Исход!$B:$B,$A141)/(SUMIFS(Исход!$G:$G,Исход!$A:$A,F$1,Исход!$B:$B,$A141)+SUMIFS(Исход!$D:$D,Исход!$A:$A,F$1,Исход!$B:$B,$A141)),0)</f>
        <v>0</v>
      </c>
      <c r="G141" s="7">
        <f>IFERROR(SUMIFS(Исход!$G:$G,Исход!$A:$A,G$1,Исход!$B:$B,$A141)/(SUMIFS(Исход!$G:$G,Исход!$A:$A,G$1,Исход!$B:$B,$A141)+SUMIFS(Исход!$D:$D,Исход!$A:$A,G$1,Исход!$B:$B,$A141)),0)</f>
        <v>0</v>
      </c>
      <c r="H141" s="7">
        <f>IFERROR(SUMIFS(Исход!$G:$G,Исход!$A:$A,H$1,Исход!$B:$B,$A141)/(SUMIFS(Исход!$G:$G,Исход!$A:$A,H$1,Исход!$B:$B,$A141)+SUMIFS(Исход!$D:$D,Исход!$A:$A,H$1,Исход!$B:$B,$A141)),0)</f>
        <v>0</v>
      </c>
      <c r="I141" s="7">
        <f>IFERROR(SUMIFS(Исход!$G:$G,Исход!$A:$A,I$1,Исход!$B:$B,$A141)/(SUMIFS(Исход!$G:$G,Исход!$A:$A,I$1,Исход!$B:$B,$A141)+SUMIFS(Исход!$D:$D,Исход!$A:$A,I$1,Исход!$B:$B,$A141)),0)</f>
        <v>0</v>
      </c>
      <c r="J141" s="7">
        <f>IFERROR(SUMIFS(Исход!$G:$G,Исход!$A:$A,J$1,Исход!$B:$B,$A141)/(SUMIFS(Исход!$G:$G,Исход!$A:$A,J$1,Исход!$B:$B,$A141)+SUMIFS(Исход!$D:$D,Исход!$A:$A,J$1,Исход!$B:$B,$A141)),0)</f>
        <v>0</v>
      </c>
      <c r="K141" s="7">
        <f>IFERROR(SUMIFS(Исход!$G:$G,Исход!$A:$A,K$1,Исход!$B:$B,$A141)/(SUMIFS(Исход!$G:$G,Исход!$A:$A,K$1,Исход!$B:$B,$A141)+SUMIFS(Исход!$D:$D,Исход!$A:$A,K$1,Исход!$B:$B,$A141)),0)</f>
        <v>0</v>
      </c>
      <c r="L141" s="7">
        <f>IFERROR(SUMIFS(Исход!$G:$G,Исход!$A:$A,L$1,Исход!$B:$B,$A141)/(SUMIFS(Исход!$G:$G,Исход!$A:$A,L$1,Исход!$B:$B,$A141)+SUMIFS(Исход!$D:$D,Исход!$A:$A,L$1,Исход!$B:$B,$A141)),0)</f>
        <v>0</v>
      </c>
      <c r="M141" s="7">
        <f>IFERROR(SUMIFS(Исход!$G:$G,Исход!$A:$A,M$1,Исход!$B:$B,$A141)/(SUMIFS(Исход!$G:$G,Исход!$A:$A,M$1,Исход!$B:$B,$A141)+SUMIFS(Исход!$D:$D,Исход!$A:$A,M$1,Исход!$B:$B,$A141)),0)</f>
        <v>0</v>
      </c>
      <c r="N141" s="7">
        <f>IFERROR(SUMIFS(Исход!$G:$G,Исход!$A:$A,N$1,Исход!$B:$B,$A141)/(SUMIFS(Исход!$G:$G,Исход!$A:$A,N$1,Исход!$B:$B,$A141)+SUMIFS(Исход!$D:$D,Исход!$A:$A,N$1,Исход!$B:$B,$A141)),0)</f>
        <v>0</v>
      </c>
      <c r="O141" s="7">
        <f>IFERROR(SUMIFS(Исход!$G:$G,Исход!$A:$A,O$1,Исход!$B:$B,$A141)/(SUMIFS(Исход!$G:$G,Исход!$A:$A,O$1,Исход!$B:$B,$A141)+SUMIFS(Исход!$D:$D,Исход!$A:$A,O$1,Исход!$B:$B,$A141)),0)</f>
        <v>0</v>
      </c>
      <c r="P141" s="7">
        <f>IFERROR(SUMIFS(Исход!$G:$G,Исход!$A:$A,P$1,Исход!$B:$B,$A141)/(SUMIFS(Исход!$G:$G,Исход!$A:$A,P$1,Исход!$B:$B,$A141)+SUMIFS(Исход!$D:$D,Исход!$A:$A,P$1,Исход!$B:$B,$A141)),0)</f>
        <v>0</v>
      </c>
      <c r="Q141" s="7">
        <f>IFERROR(SUMIFS(Исход!$G:$G,Исход!$A:$A,Q$1,Исход!$B:$B,$A141)/(SUMIFS(Исход!$G:$G,Исход!$A:$A,Q$1,Исход!$B:$B,$A141)+SUMIFS(Исход!$D:$D,Исход!$A:$A,Q$1,Исход!$B:$B,$A141)),0)</f>
        <v>0</v>
      </c>
      <c r="R141" s="7">
        <f>IFERROR(SUMIFS(Исход!$G:$G,Исход!$A:$A,R$1,Исход!$B:$B,$A141)/(SUMIFS(Исход!$G:$G,Исход!$A:$A,R$1,Исход!$B:$B,$A141)+SUMIFS(Исход!$D:$D,Исход!$A:$A,R$1,Исход!$B:$B,$A141)),0)</f>
        <v>0</v>
      </c>
      <c r="S141" s="7">
        <f>IFERROR(SUMIFS(Исход!$G:$G,Исход!$A:$A,S$1,Исход!$B:$B,$A141)/(SUMIFS(Исход!$G:$G,Исход!$A:$A,S$1,Исход!$B:$B,$A141)+SUMIFS(Исход!$D:$D,Исход!$A:$A,S$1,Исход!$B:$B,$A141)),0)</f>
        <v>0</v>
      </c>
      <c r="T141" s="7">
        <f>IFERROR(SUMIFS(Исход!$G:$G,Исход!$A:$A,T$1,Исход!$B:$B,$A141)/(SUMIFS(Исход!$G:$G,Исход!$A:$A,T$1,Исход!$B:$B,$A141)+SUMIFS(Исход!$D:$D,Исход!$A:$A,T$1,Исход!$B:$B,$A141)),0)</f>
        <v>0</v>
      </c>
      <c r="U141" s="7">
        <f>IFERROR(SUMIFS(Исход!$G:$G,Исход!$A:$A,U$1,Исход!$B:$B,$A141)/(SUMIFS(Исход!$G:$G,Исход!$A:$A,U$1,Исход!$B:$B,$A141)+SUMIFS(Исход!$D:$D,Исход!$A:$A,U$1,Исход!$B:$B,$A141)),0)</f>
        <v>0</v>
      </c>
      <c r="V141" s="7">
        <f>IFERROR(SUMIFS(Исход!$G:$G,Исход!$A:$A,V$1,Исход!$B:$B,$A141)/(SUMIFS(Исход!$G:$G,Исход!$A:$A,V$1,Исход!$B:$B,$A141)+SUMIFS(Исход!$D:$D,Исход!$A:$A,V$1,Исход!$B:$B,$A141)),0)</f>
        <v>0</v>
      </c>
      <c r="W141" s="7">
        <f>IFERROR(SUMIFS(Исход!$G:$G,Исход!$A:$A,W$1,Исход!$B:$B,$A141)/(SUMIFS(Исход!$G:$G,Исход!$A:$A,W$1,Исход!$B:$B,$A141)+SUMIFS(Исход!$D:$D,Исход!$A:$A,W$1,Исход!$B:$B,$A141)),0)</f>
        <v>0</v>
      </c>
      <c r="X141" s="7">
        <f>IFERROR(SUMIFS(Исход!$G:$G,Исход!$A:$A,X$1,Исход!$B:$B,$A141)/(SUMIFS(Исход!$G:$G,Исход!$A:$A,X$1,Исход!$B:$B,$A141)+SUMIFS(Исход!$D:$D,Исход!$A:$A,X$1,Исход!$B:$B,$A141)),0)</f>
        <v>0</v>
      </c>
      <c r="Y141" s="7">
        <f>IFERROR(SUMIFS(Исход!$G:$G,Исход!$A:$A,Y$1,Исход!$B:$B,$A141)/(SUMIFS(Исход!$G:$G,Исход!$A:$A,Y$1,Исход!$B:$B,$A141)+SUMIFS(Исход!$D:$D,Исход!$A:$A,Y$1,Исход!$B:$B,$A141)),0)</f>
        <v>0</v>
      </c>
      <c r="Z141" s="7">
        <f>IFERROR(SUMIFS(Исход!$G:$G,Исход!$A:$A,Z$1,Исход!$B:$B,$A141)/(SUMIFS(Исход!$G:$G,Исход!$A:$A,Z$1,Исход!$B:$B,$A141)+SUMIFS(Исход!$D:$D,Исход!$A:$A,Z$1,Исход!$B:$B,$A141)),0)</f>
        <v>0</v>
      </c>
      <c r="AA141" s="7">
        <f>IFERROR(SUMIFS(Исход!$G:$G,Исход!$A:$A,AA$1,Исход!$B:$B,$A141)/(SUMIFS(Исход!$G:$G,Исход!$A:$A,AA$1,Исход!$B:$B,$A141)+SUMIFS(Исход!$D:$D,Исход!$A:$A,AA$1,Исход!$B:$B,$A141)),0)</f>
        <v>0</v>
      </c>
      <c r="AB141" s="7">
        <f>IFERROR(SUMIFS(Исход!$G:$G,Исход!$A:$A,AB$1,Исход!$B:$B,$A141)/(SUMIFS(Исход!$G:$G,Исход!$A:$A,AB$1,Исход!$B:$B,$A141)+SUMIFS(Исход!$D:$D,Исход!$A:$A,AB$1,Исход!$B:$B,$A141)),0)</f>
        <v>0</v>
      </c>
      <c r="AC141" s="7">
        <f>IFERROR(SUMIFS(Исход!$G:$G,Исход!$A:$A,AC$1,Исход!$B:$B,$A141)/(SUMIFS(Исход!$G:$G,Исход!$A:$A,AC$1,Исход!$B:$B,$A141)+SUMIFS(Исход!$D:$D,Исход!$A:$A,AC$1,Исход!$B:$B,$A141)),0)</f>
        <v>0</v>
      </c>
      <c r="AD141" s="7">
        <f>IFERROR(SUMIFS(Исход!$G:$G,Исход!$A:$A,AD$1,Исход!$B:$B,$A141)/(SUMIFS(Исход!$G:$G,Исход!$A:$A,AD$1,Исход!$B:$B,$A141)+SUMIFS(Исход!$D:$D,Исход!$A:$A,AD$1,Исход!$B:$B,$A141)),0)</f>
        <v>0</v>
      </c>
      <c r="AE141" s="7">
        <f>IFERROR(SUMIFS(Исход!$G:$G,Исход!$A:$A,AE$1,Исход!$B:$B,$A141)/(SUMIFS(Исход!$G:$G,Исход!$A:$A,AE$1,Исход!$B:$B,$A141)+SUMIFS(Исход!$D:$D,Исход!$A:$A,AE$1,Исход!$B:$B,$A141)),0)</f>
        <v>0</v>
      </c>
      <c r="AF141" s="7">
        <f>IFERROR(SUMIFS(Исход!$G:$G,Исход!$A:$A,AF$1,Исход!$B:$B,$A141)/(SUMIFS(Исход!$G:$G,Исход!$A:$A,AF$1,Исход!$B:$B,$A141)+SUMIFS(Исход!$D:$D,Исход!$A:$A,AF$1,Исход!$B:$B,$A141)),0)</f>
        <v>0</v>
      </c>
      <c r="AG141" s="160">
        <f>IFERROR(SUMIFS(Исход!$G:$G,Исход!$A:$A,AG$1,Исход!$B:$B,$A141)/(SUMIFS(Исход!$G:$G,Исход!$A:$A,AG$1,Исход!$B:$B,$A141)+SUMIFS(Исход!$D:$D,Исход!$A:$A,AG$1,Исход!$B:$B,$A141)),0)</f>
        <v>0</v>
      </c>
    </row>
    <row r="142" spans="1:33" hidden="1" outlineLevel="1" x14ac:dyDescent="0.25">
      <c r="A142" s="103">
        <v>0.8125</v>
      </c>
      <c r="B142" s="123">
        <v>0.83333333333333337</v>
      </c>
      <c r="C142" s="159">
        <f>IFERROR(SUMIFS(Исход!$G:$G,Исход!$A:$A,C$1,Исход!$B:$B,$A142)/(SUMIFS(Исход!$G:$G,Исход!$A:$A,C$1,Исход!$B:$B,$A142)+SUMIFS(Исход!$D:$D,Исход!$A:$A,C$1,Исход!$B:$B,$A142)),0)</f>
        <v>0</v>
      </c>
      <c r="D142" s="7">
        <f>IFERROR(SUMIFS(Исход!$G:$G,Исход!$A:$A,D$1,Исход!$B:$B,$A142)/(SUMIFS(Исход!$G:$G,Исход!$A:$A,D$1,Исход!$B:$B,$A142)+SUMIFS(Исход!$D:$D,Исход!$A:$A,D$1,Исход!$B:$B,$A142)),0)</f>
        <v>0</v>
      </c>
      <c r="E142" s="7">
        <f>IFERROR(SUMIFS(Исход!$G:$G,Исход!$A:$A,E$1,Исход!$B:$B,$A142)/(SUMIFS(Исход!$G:$G,Исход!$A:$A,E$1,Исход!$B:$B,$A142)+SUMIFS(Исход!$D:$D,Исход!$A:$A,E$1,Исход!$B:$B,$A142)),0)</f>
        <v>0</v>
      </c>
      <c r="F142" s="7">
        <f>IFERROR(SUMIFS(Исход!$G:$G,Исход!$A:$A,F$1,Исход!$B:$B,$A142)/(SUMIFS(Исход!$G:$G,Исход!$A:$A,F$1,Исход!$B:$B,$A142)+SUMIFS(Исход!$D:$D,Исход!$A:$A,F$1,Исход!$B:$B,$A142)),0)</f>
        <v>0</v>
      </c>
      <c r="G142" s="7">
        <f>IFERROR(SUMIFS(Исход!$G:$G,Исход!$A:$A,G$1,Исход!$B:$B,$A142)/(SUMIFS(Исход!$G:$G,Исход!$A:$A,G$1,Исход!$B:$B,$A142)+SUMIFS(Исход!$D:$D,Исход!$A:$A,G$1,Исход!$B:$B,$A142)),0)</f>
        <v>0</v>
      </c>
      <c r="H142" s="7">
        <f>IFERROR(SUMIFS(Исход!$G:$G,Исход!$A:$A,H$1,Исход!$B:$B,$A142)/(SUMIFS(Исход!$G:$G,Исход!$A:$A,H$1,Исход!$B:$B,$A142)+SUMIFS(Исход!$D:$D,Исход!$A:$A,H$1,Исход!$B:$B,$A142)),0)</f>
        <v>0</v>
      </c>
      <c r="I142" s="7">
        <f>IFERROR(SUMIFS(Исход!$G:$G,Исход!$A:$A,I$1,Исход!$B:$B,$A142)/(SUMIFS(Исход!$G:$G,Исход!$A:$A,I$1,Исход!$B:$B,$A142)+SUMIFS(Исход!$D:$D,Исход!$A:$A,I$1,Исход!$B:$B,$A142)),0)</f>
        <v>0</v>
      </c>
      <c r="J142" s="7">
        <f>IFERROR(SUMIFS(Исход!$G:$G,Исход!$A:$A,J$1,Исход!$B:$B,$A142)/(SUMIFS(Исход!$G:$G,Исход!$A:$A,J$1,Исход!$B:$B,$A142)+SUMIFS(Исход!$D:$D,Исход!$A:$A,J$1,Исход!$B:$B,$A142)),0)</f>
        <v>0</v>
      </c>
      <c r="K142" s="7">
        <f>IFERROR(SUMIFS(Исход!$G:$G,Исход!$A:$A,K$1,Исход!$B:$B,$A142)/(SUMIFS(Исход!$G:$G,Исход!$A:$A,K$1,Исход!$B:$B,$A142)+SUMIFS(Исход!$D:$D,Исход!$A:$A,K$1,Исход!$B:$B,$A142)),0)</f>
        <v>0</v>
      </c>
      <c r="L142" s="7">
        <f>IFERROR(SUMIFS(Исход!$G:$G,Исход!$A:$A,L$1,Исход!$B:$B,$A142)/(SUMIFS(Исход!$G:$G,Исход!$A:$A,L$1,Исход!$B:$B,$A142)+SUMIFS(Исход!$D:$D,Исход!$A:$A,L$1,Исход!$B:$B,$A142)),0)</f>
        <v>0</v>
      </c>
      <c r="M142" s="7">
        <f>IFERROR(SUMIFS(Исход!$G:$G,Исход!$A:$A,M$1,Исход!$B:$B,$A142)/(SUMIFS(Исход!$G:$G,Исход!$A:$A,M$1,Исход!$B:$B,$A142)+SUMIFS(Исход!$D:$D,Исход!$A:$A,M$1,Исход!$B:$B,$A142)),0)</f>
        <v>0</v>
      </c>
      <c r="N142" s="7">
        <f>IFERROR(SUMIFS(Исход!$G:$G,Исход!$A:$A,N$1,Исход!$B:$B,$A142)/(SUMIFS(Исход!$G:$G,Исход!$A:$A,N$1,Исход!$B:$B,$A142)+SUMIFS(Исход!$D:$D,Исход!$A:$A,N$1,Исход!$B:$B,$A142)),0)</f>
        <v>0</v>
      </c>
      <c r="O142" s="7">
        <f>IFERROR(SUMIFS(Исход!$G:$G,Исход!$A:$A,O$1,Исход!$B:$B,$A142)/(SUMIFS(Исход!$G:$G,Исход!$A:$A,O$1,Исход!$B:$B,$A142)+SUMIFS(Исход!$D:$D,Исход!$A:$A,O$1,Исход!$B:$B,$A142)),0)</f>
        <v>0</v>
      </c>
      <c r="P142" s="7">
        <f>IFERROR(SUMIFS(Исход!$G:$G,Исход!$A:$A,P$1,Исход!$B:$B,$A142)/(SUMIFS(Исход!$G:$G,Исход!$A:$A,P$1,Исход!$B:$B,$A142)+SUMIFS(Исход!$D:$D,Исход!$A:$A,P$1,Исход!$B:$B,$A142)),0)</f>
        <v>0</v>
      </c>
      <c r="Q142" s="7">
        <f>IFERROR(SUMIFS(Исход!$G:$G,Исход!$A:$A,Q$1,Исход!$B:$B,$A142)/(SUMIFS(Исход!$G:$G,Исход!$A:$A,Q$1,Исход!$B:$B,$A142)+SUMIFS(Исход!$D:$D,Исход!$A:$A,Q$1,Исход!$B:$B,$A142)),0)</f>
        <v>0</v>
      </c>
      <c r="R142" s="7">
        <f>IFERROR(SUMIFS(Исход!$G:$G,Исход!$A:$A,R$1,Исход!$B:$B,$A142)/(SUMIFS(Исход!$G:$G,Исход!$A:$A,R$1,Исход!$B:$B,$A142)+SUMIFS(Исход!$D:$D,Исход!$A:$A,R$1,Исход!$B:$B,$A142)),0)</f>
        <v>0</v>
      </c>
      <c r="S142" s="7">
        <f>IFERROR(SUMIFS(Исход!$G:$G,Исход!$A:$A,S$1,Исход!$B:$B,$A142)/(SUMIFS(Исход!$G:$G,Исход!$A:$A,S$1,Исход!$B:$B,$A142)+SUMIFS(Исход!$D:$D,Исход!$A:$A,S$1,Исход!$B:$B,$A142)),0)</f>
        <v>0</v>
      </c>
      <c r="T142" s="7">
        <f>IFERROR(SUMIFS(Исход!$G:$G,Исход!$A:$A,T$1,Исход!$B:$B,$A142)/(SUMIFS(Исход!$G:$G,Исход!$A:$A,T$1,Исход!$B:$B,$A142)+SUMIFS(Исход!$D:$D,Исход!$A:$A,T$1,Исход!$B:$B,$A142)),0)</f>
        <v>0</v>
      </c>
      <c r="U142" s="7">
        <f>IFERROR(SUMIFS(Исход!$G:$G,Исход!$A:$A,U$1,Исход!$B:$B,$A142)/(SUMIFS(Исход!$G:$G,Исход!$A:$A,U$1,Исход!$B:$B,$A142)+SUMIFS(Исход!$D:$D,Исход!$A:$A,U$1,Исход!$B:$B,$A142)),0)</f>
        <v>0</v>
      </c>
      <c r="V142" s="7">
        <f>IFERROR(SUMIFS(Исход!$G:$G,Исход!$A:$A,V$1,Исход!$B:$B,$A142)/(SUMIFS(Исход!$G:$G,Исход!$A:$A,V$1,Исход!$B:$B,$A142)+SUMIFS(Исход!$D:$D,Исход!$A:$A,V$1,Исход!$B:$B,$A142)),0)</f>
        <v>0</v>
      </c>
      <c r="W142" s="7">
        <f>IFERROR(SUMIFS(Исход!$G:$G,Исход!$A:$A,W$1,Исход!$B:$B,$A142)/(SUMIFS(Исход!$G:$G,Исход!$A:$A,W$1,Исход!$B:$B,$A142)+SUMIFS(Исход!$D:$D,Исход!$A:$A,W$1,Исход!$B:$B,$A142)),0)</f>
        <v>0</v>
      </c>
      <c r="X142" s="7">
        <f>IFERROR(SUMIFS(Исход!$G:$G,Исход!$A:$A,X$1,Исход!$B:$B,$A142)/(SUMIFS(Исход!$G:$G,Исход!$A:$A,X$1,Исход!$B:$B,$A142)+SUMIFS(Исход!$D:$D,Исход!$A:$A,X$1,Исход!$B:$B,$A142)),0)</f>
        <v>0</v>
      </c>
      <c r="Y142" s="7">
        <f>IFERROR(SUMIFS(Исход!$G:$G,Исход!$A:$A,Y$1,Исход!$B:$B,$A142)/(SUMIFS(Исход!$G:$G,Исход!$A:$A,Y$1,Исход!$B:$B,$A142)+SUMIFS(Исход!$D:$D,Исход!$A:$A,Y$1,Исход!$B:$B,$A142)),0)</f>
        <v>0</v>
      </c>
      <c r="Z142" s="7">
        <f>IFERROR(SUMIFS(Исход!$G:$G,Исход!$A:$A,Z$1,Исход!$B:$B,$A142)/(SUMIFS(Исход!$G:$G,Исход!$A:$A,Z$1,Исход!$B:$B,$A142)+SUMIFS(Исход!$D:$D,Исход!$A:$A,Z$1,Исход!$B:$B,$A142)),0)</f>
        <v>0</v>
      </c>
      <c r="AA142" s="7">
        <f>IFERROR(SUMIFS(Исход!$G:$G,Исход!$A:$A,AA$1,Исход!$B:$B,$A142)/(SUMIFS(Исход!$G:$G,Исход!$A:$A,AA$1,Исход!$B:$B,$A142)+SUMIFS(Исход!$D:$D,Исход!$A:$A,AA$1,Исход!$B:$B,$A142)),0)</f>
        <v>0</v>
      </c>
      <c r="AB142" s="7">
        <f>IFERROR(SUMIFS(Исход!$G:$G,Исход!$A:$A,AB$1,Исход!$B:$B,$A142)/(SUMIFS(Исход!$G:$G,Исход!$A:$A,AB$1,Исход!$B:$B,$A142)+SUMIFS(Исход!$D:$D,Исход!$A:$A,AB$1,Исход!$B:$B,$A142)),0)</f>
        <v>0</v>
      </c>
      <c r="AC142" s="7">
        <f>IFERROR(SUMIFS(Исход!$G:$G,Исход!$A:$A,AC$1,Исход!$B:$B,$A142)/(SUMIFS(Исход!$G:$G,Исход!$A:$A,AC$1,Исход!$B:$B,$A142)+SUMIFS(Исход!$D:$D,Исход!$A:$A,AC$1,Исход!$B:$B,$A142)),0)</f>
        <v>0</v>
      </c>
      <c r="AD142" s="7">
        <f>IFERROR(SUMIFS(Исход!$G:$G,Исход!$A:$A,AD$1,Исход!$B:$B,$A142)/(SUMIFS(Исход!$G:$G,Исход!$A:$A,AD$1,Исход!$B:$B,$A142)+SUMIFS(Исход!$D:$D,Исход!$A:$A,AD$1,Исход!$B:$B,$A142)),0)</f>
        <v>0</v>
      </c>
      <c r="AE142" s="7">
        <f>IFERROR(SUMIFS(Исход!$G:$G,Исход!$A:$A,AE$1,Исход!$B:$B,$A142)/(SUMIFS(Исход!$G:$G,Исход!$A:$A,AE$1,Исход!$B:$B,$A142)+SUMIFS(Исход!$D:$D,Исход!$A:$A,AE$1,Исход!$B:$B,$A142)),0)</f>
        <v>0</v>
      </c>
      <c r="AF142" s="7">
        <f>IFERROR(SUMIFS(Исход!$G:$G,Исход!$A:$A,AF$1,Исход!$B:$B,$A142)/(SUMIFS(Исход!$G:$G,Исход!$A:$A,AF$1,Исход!$B:$B,$A142)+SUMIFS(Исход!$D:$D,Исход!$A:$A,AF$1,Исход!$B:$B,$A142)),0)</f>
        <v>0</v>
      </c>
      <c r="AG142" s="160">
        <f>IFERROR(SUMIFS(Исход!$G:$G,Исход!$A:$A,AG$1,Исход!$B:$B,$A142)/(SUMIFS(Исход!$G:$G,Исход!$A:$A,AG$1,Исход!$B:$B,$A142)+SUMIFS(Исход!$D:$D,Исход!$A:$A,AG$1,Исход!$B:$B,$A142)),0)</f>
        <v>0</v>
      </c>
    </row>
    <row r="143" spans="1:33" hidden="1" outlineLevel="1" x14ac:dyDescent="0.25">
      <c r="A143" s="103">
        <v>0.83333333333333337</v>
      </c>
      <c r="B143" s="123">
        <v>0.85416666666666663</v>
      </c>
      <c r="C143" s="159">
        <f>IFERROR(SUMIFS(Исход!$G:$G,Исход!$A:$A,C$1,Исход!$B:$B,$A143)/(SUMIFS(Исход!$G:$G,Исход!$A:$A,C$1,Исход!$B:$B,$A143)+SUMIFS(Исход!$D:$D,Исход!$A:$A,C$1,Исход!$B:$B,$A143)),0)</f>
        <v>0</v>
      </c>
      <c r="D143" s="7">
        <f>IFERROR(SUMIFS(Исход!$G:$G,Исход!$A:$A,D$1,Исход!$B:$B,$A143)/(SUMIFS(Исход!$G:$G,Исход!$A:$A,D$1,Исход!$B:$B,$A143)+SUMIFS(Исход!$D:$D,Исход!$A:$A,D$1,Исход!$B:$B,$A143)),0)</f>
        <v>0</v>
      </c>
      <c r="E143" s="7">
        <f>IFERROR(SUMIFS(Исход!$G:$G,Исход!$A:$A,E$1,Исход!$B:$B,$A143)/(SUMIFS(Исход!$G:$G,Исход!$A:$A,E$1,Исход!$B:$B,$A143)+SUMIFS(Исход!$D:$D,Исход!$A:$A,E$1,Исход!$B:$B,$A143)),0)</f>
        <v>0</v>
      </c>
      <c r="F143" s="7">
        <f>IFERROR(SUMIFS(Исход!$G:$G,Исход!$A:$A,F$1,Исход!$B:$B,$A143)/(SUMIFS(Исход!$G:$G,Исход!$A:$A,F$1,Исход!$B:$B,$A143)+SUMIFS(Исход!$D:$D,Исход!$A:$A,F$1,Исход!$B:$B,$A143)),0)</f>
        <v>0</v>
      </c>
      <c r="G143" s="7">
        <f>IFERROR(SUMIFS(Исход!$G:$G,Исход!$A:$A,G$1,Исход!$B:$B,$A143)/(SUMIFS(Исход!$G:$G,Исход!$A:$A,G$1,Исход!$B:$B,$A143)+SUMIFS(Исход!$D:$D,Исход!$A:$A,G$1,Исход!$B:$B,$A143)),0)</f>
        <v>0</v>
      </c>
      <c r="H143" s="7">
        <f>IFERROR(SUMIFS(Исход!$G:$G,Исход!$A:$A,H$1,Исход!$B:$B,$A143)/(SUMIFS(Исход!$G:$G,Исход!$A:$A,H$1,Исход!$B:$B,$A143)+SUMIFS(Исход!$D:$D,Исход!$A:$A,H$1,Исход!$B:$B,$A143)),0)</f>
        <v>0</v>
      </c>
      <c r="I143" s="7">
        <f>IFERROR(SUMIFS(Исход!$G:$G,Исход!$A:$A,I$1,Исход!$B:$B,$A143)/(SUMIFS(Исход!$G:$G,Исход!$A:$A,I$1,Исход!$B:$B,$A143)+SUMIFS(Исход!$D:$D,Исход!$A:$A,I$1,Исход!$B:$B,$A143)),0)</f>
        <v>0</v>
      </c>
      <c r="J143" s="7">
        <f>IFERROR(SUMIFS(Исход!$G:$G,Исход!$A:$A,J$1,Исход!$B:$B,$A143)/(SUMIFS(Исход!$G:$G,Исход!$A:$A,J$1,Исход!$B:$B,$A143)+SUMIFS(Исход!$D:$D,Исход!$A:$A,J$1,Исход!$B:$B,$A143)),0)</f>
        <v>0</v>
      </c>
      <c r="K143" s="7">
        <f>IFERROR(SUMIFS(Исход!$G:$G,Исход!$A:$A,K$1,Исход!$B:$B,$A143)/(SUMIFS(Исход!$G:$G,Исход!$A:$A,K$1,Исход!$B:$B,$A143)+SUMIFS(Исход!$D:$D,Исход!$A:$A,K$1,Исход!$B:$B,$A143)),0)</f>
        <v>0</v>
      </c>
      <c r="L143" s="7">
        <f>IFERROR(SUMIFS(Исход!$G:$G,Исход!$A:$A,L$1,Исход!$B:$B,$A143)/(SUMIFS(Исход!$G:$G,Исход!$A:$A,L$1,Исход!$B:$B,$A143)+SUMIFS(Исход!$D:$D,Исход!$A:$A,L$1,Исход!$B:$B,$A143)),0)</f>
        <v>0</v>
      </c>
      <c r="M143" s="7">
        <f>IFERROR(SUMIFS(Исход!$G:$G,Исход!$A:$A,M$1,Исход!$B:$B,$A143)/(SUMIFS(Исход!$G:$G,Исход!$A:$A,M$1,Исход!$B:$B,$A143)+SUMIFS(Исход!$D:$D,Исход!$A:$A,M$1,Исход!$B:$B,$A143)),0)</f>
        <v>0</v>
      </c>
      <c r="N143" s="7">
        <f>IFERROR(SUMIFS(Исход!$G:$G,Исход!$A:$A,N$1,Исход!$B:$B,$A143)/(SUMIFS(Исход!$G:$G,Исход!$A:$A,N$1,Исход!$B:$B,$A143)+SUMIFS(Исход!$D:$D,Исход!$A:$A,N$1,Исход!$B:$B,$A143)),0)</f>
        <v>0</v>
      </c>
      <c r="O143" s="7">
        <f>IFERROR(SUMIFS(Исход!$G:$G,Исход!$A:$A,O$1,Исход!$B:$B,$A143)/(SUMIFS(Исход!$G:$G,Исход!$A:$A,O$1,Исход!$B:$B,$A143)+SUMIFS(Исход!$D:$D,Исход!$A:$A,O$1,Исход!$B:$B,$A143)),0)</f>
        <v>0</v>
      </c>
      <c r="P143" s="7">
        <f>IFERROR(SUMIFS(Исход!$G:$G,Исход!$A:$A,P$1,Исход!$B:$B,$A143)/(SUMIFS(Исход!$G:$G,Исход!$A:$A,P$1,Исход!$B:$B,$A143)+SUMIFS(Исход!$D:$D,Исход!$A:$A,P$1,Исход!$B:$B,$A143)),0)</f>
        <v>0</v>
      </c>
      <c r="Q143" s="7">
        <f>IFERROR(SUMIFS(Исход!$G:$G,Исход!$A:$A,Q$1,Исход!$B:$B,$A143)/(SUMIFS(Исход!$G:$G,Исход!$A:$A,Q$1,Исход!$B:$B,$A143)+SUMIFS(Исход!$D:$D,Исход!$A:$A,Q$1,Исход!$B:$B,$A143)),0)</f>
        <v>0</v>
      </c>
      <c r="R143" s="7">
        <f>IFERROR(SUMIFS(Исход!$G:$G,Исход!$A:$A,R$1,Исход!$B:$B,$A143)/(SUMIFS(Исход!$G:$G,Исход!$A:$A,R$1,Исход!$B:$B,$A143)+SUMIFS(Исход!$D:$D,Исход!$A:$A,R$1,Исход!$B:$B,$A143)),0)</f>
        <v>0</v>
      </c>
      <c r="S143" s="7">
        <f>IFERROR(SUMIFS(Исход!$G:$G,Исход!$A:$A,S$1,Исход!$B:$B,$A143)/(SUMIFS(Исход!$G:$G,Исход!$A:$A,S$1,Исход!$B:$B,$A143)+SUMIFS(Исход!$D:$D,Исход!$A:$A,S$1,Исход!$B:$B,$A143)),0)</f>
        <v>0</v>
      </c>
      <c r="T143" s="7">
        <f>IFERROR(SUMIFS(Исход!$G:$G,Исход!$A:$A,T$1,Исход!$B:$B,$A143)/(SUMIFS(Исход!$G:$G,Исход!$A:$A,T$1,Исход!$B:$B,$A143)+SUMIFS(Исход!$D:$D,Исход!$A:$A,T$1,Исход!$B:$B,$A143)),0)</f>
        <v>0</v>
      </c>
      <c r="U143" s="7">
        <f>IFERROR(SUMIFS(Исход!$G:$G,Исход!$A:$A,U$1,Исход!$B:$B,$A143)/(SUMIFS(Исход!$G:$G,Исход!$A:$A,U$1,Исход!$B:$B,$A143)+SUMIFS(Исход!$D:$D,Исход!$A:$A,U$1,Исход!$B:$B,$A143)),0)</f>
        <v>0</v>
      </c>
      <c r="V143" s="7">
        <f>IFERROR(SUMIFS(Исход!$G:$G,Исход!$A:$A,V$1,Исход!$B:$B,$A143)/(SUMIFS(Исход!$G:$G,Исход!$A:$A,V$1,Исход!$B:$B,$A143)+SUMIFS(Исход!$D:$D,Исход!$A:$A,V$1,Исход!$B:$B,$A143)),0)</f>
        <v>0</v>
      </c>
      <c r="W143" s="7">
        <f>IFERROR(SUMIFS(Исход!$G:$G,Исход!$A:$A,W$1,Исход!$B:$B,$A143)/(SUMIFS(Исход!$G:$G,Исход!$A:$A,W$1,Исход!$B:$B,$A143)+SUMIFS(Исход!$D:$D,Исход!$A:$A,W$1,Исход!$B:$B,$A143)),0)</f>
        <v>0</v>
      </c>
      <c r="X143" s="7">
        <f>IFERROR(SUMIFS(Исход!$G:$G,Исход!$A:$A,X$1,Исход!$B:$B,$A143)/(SUMIFS(Исход!$G:$G,Исход!$A:$A,X$1,Исход!$B:$B,$A143)+SUMIFS(Исход!$D:$D,Исход!$A:$A,X$1,Исход!$B:$B,$A143)),0)</f>
        <v>0</v>
      </c>
      <c r="Y143" s="7">
        <f>IFERROR(SUMIFS(Исход!$G:$G,Исход!$A:$A,Y$1,Исход!$B:$B,$A143)/(SUMIFS(Исход!$G:$G,Исход!$A:$A,Y$1,Исход!$B:$B,$A143)+SUMIFS(Исход!$D:$D,Исход!$A:$A,Y$1,Исход!$B:$B,$A143)),0)</f>
        <v>0</v>
      </c>
      <c r="Z143" s="7">
        <f>IFERROR(SUMIFS(Исход!$G:$G,Исход!$A:$A,Z$1,Исход!$B:$B,$A143)/(SUMIFS(Исход!$G:$G,Исход!$A:$A,Z$1,Исход!$B:$B,$A143)+SUMIFS(Исход!$D:$D,Исход!$A:$A,Z$1,Исход!$B:$B,$A143)),0)</f>
        <v>0</v>
      </c>
      <c r="AA143" s="7">
        <f>IFERROR(SUMIFS(Исход!$G:$G,Исход!$A:$A,AA$1,Исход!$B:$B,$A143)/(SUMIFS(Исход!$G:$G,Исход!$A:$A,AA$1,Исход!$B:$B,$A143)+SUMIFS(Исход!$D:$D,Исход!$A:$A,AA$1,Исход!$B:$B,$A143)),0)</f>
        <v>0</v>
      </c>
      <c r="AB143" s="7">
        <f>IFERROR(SUMIFS(Исход!$G:$G,Исход!$A:$A,AB$1,Исход!$B:$B,$A143)/(SUMIFS(Исход!$G:$G,Исход!$A:$A,AB$1,Исход!$B:$B,$A143)+SUMIFS(Исход!$D:$D,Исход!$A:$A,AB$1,Исход!$B:$B,$A143)),0)</f>
        <v>0</v>
      </c>
      <c r="AC143" s="7">
        <f>IFERROR(SUMIFS(Исход!$G:$G,Исход!$A:$A,AC$1,Исход!$B:$B,$A143)/(SUMIFS(Исход!$G:$G,Исход!$A:$A,AC$1,Исход!$B:$B,$A143)+SUMIFS(Исход!$D:$D,Исход!$A:$A,AC$1,Исход!$B:$B,$A143)),0)</f>
        <v>0</v>
      </c>
      <c r="AD143" s="7">
        <f>IFERROR(SUMIFS(Исход!$G:$G,Исход!$A:$A,AD$1,Исход!$B:$B,$A143)/(SUMIFS(Исход!$G:$G,Исход!$A:$A,AD$1,Исход!$B:$B,$A143)+SUMIFS(Исход!$D:$D,Исход!$A:$A,AD$1,Исход!$B:$B,$A143)),0)</f>
        <v>0</v>
      </c>
      <c r="AE143" s="7">
        <f>IFERROR(SUMIFS(Исход!$G:$G,Исход!$A:$A,AE$1,Исход!$B:$B,$A143)/(SUMIFS(Исход!$G:$G,Исход!$A:$A,AE$1,Исход!$B:$B,$A143)+SUMIFS(Исход!$D:$D,Исход!$A:$A,AE$1,Исход!$B:$B,$A143)),0)</f>
        <v>0</v>
      </c>
      <c r="AF143" s="7">
        <f>IFERROR(SUMIFS(Исход!$G:$G,Исход!$A:$A,AF$1,Исход!$B:$B,$A143)/(SUMIFS(Исход!$G:$G,Исход!$A:$A,AF$1,Исход!$B:$B,$A143)+SUMIFS(Исход!$D:$D,Исход!$A:$A,AF$1,Исход!$B:$B,$A143)),0)</f>
        <v>0</v>
      </c>
      <c r="AG143" s="160">
        <f>IFERROR(SUMIFS(Исход!$G:$G,Исход!$A:$A,AG$1,Исход!$B:$B,$A143)/(SUMIFS(Исход!$G:$G,Исход!$A:$A,AG$1,Исход!$B:$B,$A143)+SUMIFS(Исход!$D:$D,Исход!$A:$A,AG$1,Исход!$B:$B,$A143)),0)</f>
        <v>0</v>
      </c>
    </row>
    <row r="144" spans="1:33" hidden="1" outlineLevel="1" x14ac:dyDescent="0.25">
      <c r="A144" s="103">
        <v>0.85416666666666663</v>
      </c>
      <c r="B144" s="123">
        <v>0.875</v>
      </c>
      <c r="C144" s="159">
        <f>IFERROR(SUMIFS(Исход!$G:$G,Исход!$A:$A,C$1,Исход!$B:$B,$A144)/(SUMIFS(Исход!$G:$G,Исход!$A:$A,C$1,Исход!$B:$B,$A144)+SUMIFS(Исход!$D:$D,Исход!$A:$A,C$1,Исход!$B:$B,$A144)),0)</f>
        <v>0</v>
      </c>
      <c r="D144" s="7">
        <f>IFERROR(SUMIFS(Исход!$G:$G,Исход!$A:$A,D$1,Исход!$B:$B,$A144)/(SUMIFS(Исход!$G:$G,Исход!$A:$A,D$1,Исход!$B:$B,$A144)+SUMIFS(Исход!$D:$D,Исход!$A:$A,D$1,Исход!$B:$B,$A144)),0)</f>
        <v>0</v>
      </c>
      <c r="E144" s="7">
        <f>IFERROR(SUMIFS(Исход!$G:$G,Исход!$A:$A,E$1,Исход!$B:$B,$A144)/(SUMIFS(Исход!$G:$G,Исход!$A:$A,E$1,Исход!$B:$B,$A144)+SUMIFS(Исход!$D:$D,Исход!$A:$A,E$1,Исход!$B:$B,$A144)),0)</f>
        <v>0</v>
      </c>
      <c r="F144" s="7">
        <f>IFERROR(SUMIFS(Исход!$G:$G,Исход!$A:$A,F$1,Исход!$B:$B,$A144)/(SUMIFS(Исход!$G:$G,Исход!$A:$A,F$1,Исход!$B:$B,$A144)+SUMIFS(Исход!$D:$D,Исход!$A:$A,F$1,Исход!$B:$B,$A144)),0)</f>
        <v>0</v>
      </c>
      <c r="G144" s="7">
        <f>IFERROR(SUMIFS(Исход!$G:$G,Исход!$A:$A,G$1,Исход!$B:$B,$A144)/(SUMIFS(Исход!$G:$G,Исход!$A:$A,G$1,Исход!$B:$B,$A144)+SUMIFS(Исход!$D:$D,Исход!$A:$A,G$1,Исход!$B:$B,$A144)),0)</f>
        <v>0</v>
      </c>
      <c r="H144" s="7">
        <f>IFERROR(SUMIFS(Исход!$G:$G,Исход!$A:$A,H$1,Исход!$B:$B,$A144)/(SUMIFS(Исход!$G:$G,Исход!$A:$A,H$1,Исход!$B:$B,$A144)+SUMIFS(Исход!$D:$D,Исход!$A:$A,H$1,Исход!$B:$B,$A144)),0)</f>
        <v>0</v>
      </c>
      <c r="I144" s="7">
        <f>IFERROR(SUMIFS(Исход!$G:$G,Исход!$A:$A,I$1,Исход!$B:$B,$A144)/(SUMIFS(Исход!$G:$G,Исход!$A:$A,I$1,Исход!$B:$B,$A144)+SUMIFS(Исход!$D:$D,Исход!$A:$A,I$1,Исход!$B:$B,$A144)),0)</f>
        <v>0</v>
      </c>
      <c r="J144" s="7">
        <f>IFERROR(SUMIFS(Исход!$G:$G,Исход!$A:$A,J$1,Исход!$B:$B,$A144)/(SUMIFS(Исход!$G:$G,Исход!$A:$A,J$1,Исход!$B:$B,$A144)+SUMIFS(Исход!$D:$D,Исход!$A:$A,J$1,Исход!$B:$B,$A144)),0)</f>
        <v>0</v>
      </c>
      <c r="K144" s="7">
        <f>IFERROR(SUMIFS(Исход!$G:$G,Исход!$A:$A,K$1,Исход!$B:$B,$A144)/(SUMIFS(Исход!$G:$G,Исход!$A:$A,K$1,Исход!$B:$B,$A144)+SUMIFS(Исход!$D:$D,Исход!$A:$A,K$1,Исход!$B:$B,$A144)),0)</f>
        <v>0</v>
      </c>
      <c r="L144" s="7">
        <f>IFERROR(SUMIFS(Исход!$G:$G,Исход!$A:$A,L$1,Исход!$B:$B,$A144)/(SUMIFS(Исход!$G:$G,Исход!$A:$A,L$1,Исход!$B:$B,$A144)+SUMIFS(Исход!$D:$D,Исход!$A:$A,L$1,Исход!$B:$B,$A144)),0)</f>
        <v>0</v>
      </c>
      <c r="M144" s="7">
        <f>IFERROR(SUMIFS(Исход!$G:$G,Исход!$A:$A,M$1,Исход!$B:$B,$A144)/(SUMIFS(Исход!$G:$G,Исход!$A:$A,M$1,Исход!$B:$B,$A144)+SUMIFS(Исход!$D:$D,Исход!$A:$A,M$1,Исход!$B:$B,$A144)),0)</f>
        <v>0</v>
      </c>
      <c r="N144" s="7">
        <f>IFERROR(SUMIFS(Исход!$G:$G,Исход!$A:$A,N$1,Исход!$B:$B,$A144)/(SUMIFS(Исход!$G:$G,Исход!$A:$A,N$1,Исход!$B:$B,$A144)+SUMIFS(Исход!$D:$D,Исход!$A:$A,N$1,Исход!$B:$B,$A144)),0)</f>
        <v>0</v>
      </c>
      <c r="O144" s="7">
        <f>IFERROR(SUMIFS(Исход!$G:$G,Исход!$A:$A,O$1,Исход!$B:$B,$A144)/(SUMIFS(Исход!$G:$G,Исход!$A:$A,O$1,Исход!$B:$B,$A144)+SUMIFS(Исход!$D:$D,Исход!$A:$A,O$1,Исход!$B:$B,$A144)),0)</f>
        <v>0</v>
      </c>
      <c r="P144" s="7">
        <f>IFERROR(SUMIFS(Исход!$G:$G,Исход!$A:$A,P$1,Исход!$B:$B,$A144)/(SUMIFS(Исход!$G:$G,Исход!$A:$A,P$1,Исход!$B:$B,$A144)+SUMIFS(Исход!$D:$D,Исход!$A:$A,P$1,Исход!$B:$B,$A144)),0)</f>
        <v>0</v>
      </c>
      <c r="Q144" s="7">
        <f>IFERROR(SUMIFS(Исход!$G:$G,Исход!$A:$A,Q$1,Исход!$B:$B,$A144)/(SUMIFS(Исход!$G:$G,Исход!$A:$A,Q$1,Исход!$B:$B,$A144)+SUMIFS(Исход!$D:$D,Исход!$A:$A,Q$1,Исход!$B:$B,$A144)),0)</f>
        <v>0</v>
      </c>
      <c r="R144" s="7">
        <f>IFERROR(SUMIFS(Исход!$G:$G,Исход!$A:$A,R$1,Исход!$B:$B,$A144)/(SUMIFS(Исход!$G:$G,Исход!$A:$A,R$1,Исход!$B:$B,$A144)+SUMIFS(Исход!$D:$D,Исход!$A:$A,R$1,Исход!$B:$B,$A144)),0)</f>
        <v>0</v>
      </c>
      <c r="S144" s="7">
        <f>IFERROR(SUMIFS(Исход!$G:$G,Исход!$A:$A,S$1,Исход!$B:$B,$A144)/(SUMIFS(Исход!$G:$G,Исход!$A:$A,S$1,Исход!$B:$B,$A144)+SUMIFS(Исход!$D:$D,Исход!$A:$A,S$1,Исход!$B:$B,$A144)),0)</f>
        <v>0</v>
      </c>
      <c r="T144" s="7">
        <f>IFERROR(SUMIFS(Исход!$G:$G,Исход!$A:$A,T$1,Исход!$B:$B,$A144)/(SUMIFS(Исход!$G:$G,Исход!$A:$A,T$1,Исход!$B:$B,$A144)+SUMIFS(Исход!$D:$D,Исход!$A:$A,T$1,Исход!$B:$B,$A144)),0)</f>
        <v>0</v>
      </c>
      <c r="U144" s="7">
        <f>IFERROR(SUMIFS(Исход!$G:$G,Исход!$A:$A,U$1,Исход!$B:$B,$A144)/(SUMIFS(Исход!$G:$G,Исход!$A:$A,U$1,Исход!$B:$B,$A144)+SUMIFS(Исход!$D:$D,Исход!$A:$A,U$1,Исход!$B:$B,$A144)),0)</f>
        <v>0</v>
      </c>
      <c r="V144" s="7">
        <f>IFERROR(SUMIFS(Исход!$G:$G,Исход!$A:$A,V$1,Исход!$B:$B,$A144)/(SUMIFS(Исход!$G:$G,Исход!$A:$A,V$1,Исход!$B:$B,$A144)+SUMIFS(Исход!$D:$D,Исход!$A:$A,V$1,Исход!$B:$B,$A144)),0)</f>
        <v>0</v>
      </c>
      <c r="W144" s="7">
        <f>IFERROR(SUMIFS(Исход!$G:$G,Исход!$A:$A,W$1,Исход!$B:$B,$A144)/(SUMIFS(Исход!$G:$G,Исход!$A:$A,W$1,Исход!$B:$B,$A144)+SUMIFS(Исход!$D:$D,Исход!$A:$A,W$1,Исход!$B:$B,$A144)),0)</f>
        <v>0</v>
      </c>
      <c r="X144" s="7">
        <f>IFERROR(SUMIFS(Исход!$G:$G,Исход!$A:$A,X$1,Исход!$B:$B,$A144)/(SUMIFS(Исход!$G:$G,Исход!$A:$A,X$1,Исход!$B:$B,$A144)+SUMIFS(Исход!$D:$D,Исход!$A:$A,X$1,Исход!$B:$B,$A144)),0)</f>
        <v>0</v>
      </c>
      <c r="Y144" s="7">
        <f>IFERROR(SUMIFS(Исход!$G:$G,Исход!$A:$A,Y$1,Исход!$B:$B,$A144)/(SUMIFS(Исход!$G:$G,Исход!$A:$A,Y$1,Исход!$B:$B,$A144)+SUMIFS(Исход!$D:$D,Исход!$A:$A,Y$1,Исход!$B:$B,$A144)),0)</f>
        <v>0</v>
      </c>
      <c r="Z144" s="7">
        <f>IFERROR(SUMIFS(Исход!$G:$G,Исход!$A:$A,Z$1,Исход!$B:$B,$A144)/(SUMIFS(Исход!$G:$G,Исход!$A:$A,Z$1,Исход!$B:$B,$A144)+SUMIFS(Исход!$D:$D,Исход!$A:$A,Z$1,Исход!$B:$B,$A144)),0)</f>
        <v>0</v>
      </c>
      <c r="AA144" s="7">
        <f>IFERROR(SUMIFS(Исход!$G:$G,Исход!$A:$A,AA$1,Исход!$B:$B,$A144)/(SUMIFS(Исход!$G:$G,Исход!$A:$A,AA$1,Исход!$B:$B,$A144)+SUMIFS(Исход!$D:$D,Исход!$A:$A,AA$1,Исход!$B:$B,$A144)),0)</f>
        <v>0</v>
      </c>
      <c r="AB144" s="7">
        <f>IFERROR(SUMIFS(Исход!$G:$G,Исход!$A:$A,AB$1,Исход!$B:$B,$A144)/(SUMIFS(Исход!$G:$G,Исход!$A:$A,AB$1,Исход!$B:$B,$A144)+SUMIFS(Исход!$D:$D,Исход!$A:$A,AB$1,Исход!$B:$B,$A144)),0)</f>
        <v>0</v>
      </c>
      <c r="AC144" s="7">
        <f>IFERROR(SUMIFS(Исход!$G:$G,Исход!$A:$A,AC$1,Исход!$B:$B,$A144)/(SUMIFS(Исход!$G:$G,Исход!$A:$A,AC$1,Исход!$B:$B,$A144)+SUMIFS(Исход!$D:$D,Исход!$A:$A,AC$1,Исход!$B:$B,$A144)),0)</f>
        <v>0</v>
      </c>
      <c r="AD144" s="7">
        <f>IFERROR(SUMIFS(Исход!$G:$G,Исход!$A:$A,AD$1,Исход!$B:$B,$A144)/(SUMIFS(Исход!$G:$G,Исход!$A:$A,AD$1,Исход!$B:$B,$A144)+SUMIFS(Исход!$D:$D,Исход!$A:$A,AD$1,Исход!$B:$B,$A144)),0)</f>
        <v>0</v>
      </c>
      <c r="AE144" s="7">
        <f>IFERROR(SUMIFS(Исход!$G:$G,Исход!$A:$A,AE$1,Исход!$B:$B,$A144)/(SUMIFS(Исход!$G:$G,Исход!$A:$A,AE$1,Исход!$B:$B,$A144)+SUMIFS(Исход!$D:$D,Исход!$A:$A,AE$1,Исход!$B:$B,$A144)),0)</f>
        <v>0</v>
      </c>
      <c r="AF144" s="7">
        <f>IFERROR(SUMIFS(Исход!$G:$G,Исход!$A:$A,AF$1,Исход!$B:$B,$A144)/(SUMIFS(Исход!$G:$G,Исход!$A:$A,AF$1,Исход!$B:$B,$A144)+SUMIFS(Исход!$D:$D,Исход!$A:$A,AF$1,Исход!$B:$B,$A144)),0)</f>
        <v>0</v>
      </c>
      <c r="AG144" s="160">
        <f>IFERROR(SUMIFS(Исход!$G:$G,Исход!$A:$A,AG$1,Исход!$B:$B,$A144)/(SUMIFS(Исход!$G:$G,Исход!$A:$A,AG$1,Исход!$B:$B,$A144)+SUMIFS(Исход!$D:$D,Исход!$A:$A,AG$1,Исход!$B:$B,$A144)),0)</f>
        <v>0</v>
      </c>
    </row>
    <row r="145" spans="1:33" hidden="1" outlineLevel="1" x14ac:dyDescent="0.25">
      <c r="A145" s="103">
        <v>0.875</v>
      </c>
      <c r="B145" s="123">
        <v>0.89583333333333337</v>
      </c>
      <c r="C145" s="159">
        <f>IFERROR(SUMIFS(Исход!$G:$G,Исход!$A:$A,C$1,Исход!$B:$B,$A145)/(SUMIFS(Исход!$G:$G,Исход!$A:$A,C$1,Исход!$B:$B,$A145)+SUMIFS(Исход!$D:$D,Исход!$A:$A,C$1,Исход!$B:$B,$A145)),0)</f>
        <v>0</v>
      </c>
      <c r="D145" s="7">
        <f>IFERROR(SUMIFS(Исход!$G:$G,Исход!$A:$A,D$1,Исход!$B:$B,$A145)/(SUMIFS(Исход!$G:$G,Исход!$A:$A,D$1,Исход!$B:$B,$A145)+SUMIFS(Исход!$D:$D,Исход!$A:$A,D$1,Исход!$B:$B,$A145)),0)</f>
        <v>0</v>
      </c>
      <c r="E145" s="7">
        <f>IFERROR(SUMIFS(Исход!$G:$G,Исход!$A:$A,E$1,Исход!$B:$B,$A145)/(SUMIFS(Исход!$G:$G,Исход!$A:$A,E$1,Исход!$B:$B,$A145)+SUMIFS(Исход!$D:$D,Исход!$A:$A,E$1,Исход!$B:$B,$A145)),0)</f>
        <v>0</v>
      </c>
      <c r="F145" s="7">
        <f>IFERROR(SUMIFS(Исход!$G:$G,Исход!$A:$A,F$1,Исход!$B:$B,$A145)/(SUMIFS(Исход!$G:$G,Исход!$A:$A,F$1,Исход!$B:$B,$A145)+SUMIFS(Исход!$D:$D,Исход!$A:$A,F$1,Исход!$B:$B,$A145)),0)</f>
        <v>0</v>
      </c>
      <c r="G145" s="7">
        <f>IFERROR(SUMIFS(Исход!$G:$G,Исход!$A:$A,G$1,Исход!$B:$B,$A145)/(SUMIFS(Исход!$G:$G,Исход!$A:$A,G$1,Исход!$B:$B,$A145)+SUMIFS(Исход!$D:$D,Исход!$A:$A,G$1,Исход!$B:$B,$A145)),0)</f>
        <v>0</v>
      </c>
      <c r="H145" s="7">
        <f>IFERROR(SUMIFS(Исход!$G:$G,Исход!$A:$A,H$1,Исход!$B:$B,$A145)/(SUMIFS(Исход!$G:$G,Исход!$A:$A,H$1,Исход!$B:$B,$A145)+SUMIFS(Исход!$D:$D,Исход!$A:$A,H$1,Исход!$B:$B,$A145)),0)</f>
        <v>0</v>
      </c>
      <c r="I145" s="7">
        <f>IFERROR(SUMIFS(Исход!$G:$G,Исход!$A:$A,I$1,Исход!$B:$B,$A145)/(SUMIFS(Исход!$G:$G,Исход!$A:$A,I$1,Исход!$B:$B,$A145)+SUMIFS(Исход!$D:$D,Исход!$A:$A,I$1,Исход!$B:$B,$A145)),0)</f>
        <v>0</v>
      </c>
      <c r="J145" s="7">
        <f>IFERROR(SUMIFS(Исход!$G:$G,Исход!$A:$A,J$1,Исход!$B:$B,$A145)/(SUMIFS(Исход!$G:$G,Исход!$A:$A,J$1,Исход!$B:$B,$A145)+SUMIFS(Исход!$D:$D,Исход!$A:$A,J$1,Исход!$B:$B,$A145)),0)</f>
        <v>0</v>
      </c>
      <c r="K145" s="7">
        <f>IFERROR(SUMIFS(Исход!$G:$G,Исход!$A:$A,K$1,Исход!$B:$B,$A145)/(SUMIFS(Исход!$G:$G,Исход!$A:$A,K$1,Исход!$B:$B,$A145)+SUMIFS(Исход!$D:$D,Исход!$A:$A,K$1,Исход!$B:$B,$A145)),0)</f>
        <v>0</v>
      </c>
      <c r="L145" s="7">
        <f>IFERROR(SUMIFS(Исход!$G:$G,Исход!$A:$A,L$1,Исход!$B:$B,$A145)/(SUMIFS(Исход!$G:$G,Исход!$A:$A,L$1,Исход!$B:$B,$A145)+SUMIFS(Исход!$D:$D,Исход!$A:$A,L$1,Исход!$B:$B,$A145)),0)</f>
        <v>0</v>
      </c>
      <c r="M145" s="7">
        <f>IFERROR(SUMIFS(Исход!$G:$G,Исход!$A:$A,M$1,Исход!$B:$B,$A145)/(SUMIFS(Исход!$G:$G,Исход!$A:$A,M$1,Исход!$B:$B,$A145)+SUMIFS(Исход!$D:$D,Исход!$A:$A,M$1,Исход!$B:$B,$A145)),0)</f>
        <v>0</v>
      </c>
      <c r="N145" s="7">
        <f>IFERROR(SUMIFS(Исход!$G:$G,Исход!$A:$A,N$1,Исход!$B:$B,$A145)/(SUMIFS(Исход!$G:$G,Исход!$A:$A,N$1,Исход!$B:$B,$A145)+SUMIFS(Исход!$D:$D,Исход!$A:$A,N$1,Исход!$B:$B,$A145)),0)</f>
        <v>0</v>
      </c>
      <c r="O145" s="7">
        <f>IFERROR(SUMIFS(Исход!$G:$G,Исход!$A:$A,O$1,Исход!$B:$B,$A145)/(SUMIFS(Исход!$G:$G,Исход!$A:$A,O$1,Исход!$B:$B,$A145)+SUMIFS(Исход!$D:$D,Исход!$A:$A,O$1,Исход!$B:$B,$A145)),0)</f>
        <v>0</v>
      </c>
      <c r="P145" s="7">
        <f>IFERROR(SUMIFS(Исход!$G:$G,Исход!$A:$A,P$1,Исход!$B:$B,$A145)/(SUMIFS(Исход!$G:$G,Исход!$A:$A,P$1,Исход!$B:$B,$A145)+SUMIFS(Исход!$D:$D,Исход!$A:$A,P$1,Исход!$B:$B,$A145)),0)</f>
        <v>0</v>
      </c>
      <c r="Q145" s="7">
        <f>IFERROR(SUMIFS(Исход!$G:$G,Исход!$A:$A,Q$1,Исход!$B:$B,$A145)/(SUMIFS(Исход!$G:$G,Исход!$A:$A,Q$1,Исход!$B:$B,$A145)+SUMIFS(Исход!$D:$D,Исход!$A:$A,Q$1,Исход!$B:$B,$A145)),0)</f>
        <v>0</v>
      </c>
      <c r="R145" s="7">
        <f>IFERROR(SUMIFS(Исход!$G:$G,Исход!$A:$A,R$1,Исход!$B:$B,$A145)/(SUMIFS(Исход!$G:$G,Исход!$A:$A,R$1,Исход!$B:$B,$A145)+SUMIFS(Исход!$D:$D,Исход!$A:$A,R$1,Исход!$B:$B,$A145)),0)</f>
        <v>0</v>
      </c>
      <c r="S145" s="7">
        <f>IFERROR(SUMIFS(Исход!$G:$G,Исход!$A:$A,S$1,Исход!$B:$B,$A145)/(SUMIFS(Исход!$G:$G,Исход!$A:$A,S$1,Исход!$B:$B,$A145)+SUMIFS(Исход!$D:$D,Исход!$A:$A,S$1,Исход!$B:$B,$A145)),0)</f>
        <v>0</v>
      </c>
      <c r="T145" s="7">
        <f>IFERROR(SUMIFS(Исход!$G:$G,Исход!$A:$A,T$1,Исход!$B:$B,$A145)/(SUMIFS(Исход!$G:$G,Исход!$A:$A,T$1,Исход!$B:$B,$A145)+SUMIFS(Исход!$D:$D,Исход!$A:$A,T$1,Исход!$B:$B,$A145)),0)</f>
        <v>0</v>
      </c>
      <c r="U145" s="7">
        <f>IFERROR(SUMIFS(Исход!$G:$G,Исход!$A:$A,U$1,Исход!$B:$B,$A145)/(SUMIFS(Исход!$G:$G,Исход!$A:$A,U$1,Исход!$B:$B,$A145)+SUMIFS(Исход!$D:$D,Исход!$A:$A,U$1,Исход!$B:$B,$A145)),0)</f>
        <v>0</v>
      </c>
      <c r="V145" s="7">
        <f>IFERROR(SUMIFS(Исход!$G:$G,Исход!$A:$A,V$1,Исход!$B:$B,$A145)/(SUMIFS(Исход!$G:$G,Исход!$A:$A,V$1,Исход!$B:$B,$A145)+SUMIFS(Исход!$D:$D,Исход!$A:$A,V$1,Исход!$B:$B,$A145)),0)</f>
        <v>0</v>
      </c>
      <c r="W145" s="7">
        <f>IFERROR(SUMIFS(Исход!$G:$G,Исход!$A:$A,W$1,Исход!$B:$B,$A145)/(SUMIFS(Исход!$G:$G,Исход!$A:$A,W$1,Исход!$B:$B,$A145)+SUMIFS(Исход!$D:$D,Исход!$A:$A,W$1,Исход!$B:$B,$A145)),0)</f>
        <v>0</v>
      </c>
      <c r="X145" s="7">
        <f>IFERROR(SUMIFS(Исход!$G:$G,Исход!$A:$A,X$1,Исход!$B:$B,$A145)/(SUMIFS(Исход!$G:$G,Исход!$A:$A,X$1,Исход!$B:$B,$A145)+SUMIFS(Исход!$D:$D,Исход!$A:$A,X$1,Исход!$B:$B,$A145)),0)</f>
        <v>0</v>
      </c>
      <c r="Y145" s="7">
        <f>IFERROR(SUMIFS(Исход!$G:$G,Исход!$A:$A,Y$1,Исход!$B:$B,$A145)/(SUMIFS(Исход!$G:$G,Исход!$A:$A,Y$1,Исход!$B:$B,$A145)+SUMIFS(Исход!$D:$D,Исход!$A:$A,Y$1,Исход!$B:$B,$A145)),0)</f>
        <v>0</v>
      </c>
      <c r="Z145" s="7">
        <f>IFERROR(SUMIFS(Исход!$G:$G,Исход!$A:$A,Z$1,Исход!$B:$B,$A145)/(SUMIFS(Исход!$G:$G,Исход!$A:$A,Z$1,Исход!$B:$B,$A145)+SUMIFS(Исход!$D:$D,Исход!$A:$A,Z$1,Исход!$B:$B,$A145)),0)</f>
        <v>0</v>
      </c>
      <c r="AA145" s="7">
        <f>IFERROR(SUMIFS(Исход!$G:$G,Исход!$A:$A,AA$1,Исход!$B:$B,$A145)/(SUMIFS(Исход!$G:$G,Исход!$A:$A,AA$1,Исход!$B:$B,$A145)+SUMIFS(Исход!$D:$D,Исход!$A:$A,AA$1,Исход!$B:$B,$A145)),0)</f>
        <v>0</v>
      </c>
      <c r="AB145" s="7">
        <f>IFERROR(SUMIFS(Исход!$G:$G,Исход!$A:$A,AB$1,Исход!$B:$B,$A145)/(SUMIFS(Исход!$G:$G,Исход!$A:$A,AB$1,Исход!$B:$B,$A145)+SUMIFS(Исход!$D:$D,Исход!$A:$A,AB$1,Исход!$B:$B,$A145)),0)</f>
        <v>0</v>
      </c>
      <c r="AC145" s="7">
        <f>IFERROR(SUMIFS(Исход!$G:$G,Исход!$A:$A,AC$1,Исход!$B:$B,$A145)/(SUMIFS(Исход!$G:$G,Исход!$A:$A,AC$1,Исход!$B:$B,$A145)+SUMIFS(Исход!$D:$D,Исход!$A:$A,AC$1,Исход!$B:$B,$A145)),0)</f>
        <v>0</v>
      </c>
      <c r="AD145" s="7">
        <f>IFERROR(SUMIFS(Исход!$G:$G,Исход!$A:$A,AD$1,Исход!$B:$B,$A145)/(SUMIFS(Исход!$G:$G,Исход!$A:$A,AD$1,Исход!$B:$B,$A145)+SUMIFS(Исход!$D:$D,Исход!$A:$A,AD$1,Исход!$B:$B,$A145)),0)</f>
        <v>0</v>
      </c>
      <c r="AE145" s="7">
        <f>IFERROR(SUMIFS(Исход!$G:$G,Исход!$A:$A,AE$1,Исход!$B:$B,$A145)/(SUMIFS(Исход!$G:$G,Исход!$A:$A,AE$1,Исход!$B:$B,$A145)+SUMIFS(Исход!$D:$D,Исход!$A:$A,AE$1,Исход!$B:$B,$A145)),0)</f>
        <v>0</v>
      </c>
      <c r="AF145" s="7">
        <f>IFERROR(SUMIFS(Исход!$G:$G,Исход!$A:$A,AF$1,Исход!$B:$B,$A145)/(SUMIFS(Исход!$G:$G,Исход!$A:$A,AF$1,Исход!$B:$B,$A145)+SUMIFS(Исход!$D:$D,Исход!$A:$A,AF$1,Исход!$B:$B,$A145)),0)</f>
        <v>0</v>
      </c>
      <c r="AG145" s="160">
        <f>IFERROR(SUMIFS(Исход!$G:$G,Исход!$A:$A,AG$1,Исход!$B:$B,$A145)/(SUMIFS(Исход!$G:$G,Исход!$A:$A,AG$1,Исход!$B:$B,$A145)+SUMIFS(Исход!$D:$D,Исход!$A:$A,AG$1,Исход!$B:$B,$A145)),0)</f>
        <v>0</v>
      </c>
    </row>
    <row r="146" spans="1:33" ht="15.75" hidden="1" outlineLevel="1" thickBot="1" x14ac:dyDescent="0.3">
      <c r="A146" s="113">
        <v>0.89583333333333337</v>
      </c>
      <c r="B146" s="134">
        <v>0.91666666666666663</v>
      </c>
      <c r="C146" s="161">
        <f>IFERROR(SUMIFS(Исход!$G:$G,Исход!$A:$A,C$1,Исход!$B:$B,$A146)/(SUMIFS(Исход!$G:$G,Исход!$A:$A,C$1,Исход!$B:$B,$A146)+SUMIFS(Исход!$D:$D,Исход!$A:$A,C$1,Исход!$B:$B,$A146)),0)</f>
        <v>0</v>
      </c>
      <c r="D146" s="162">
        <f>IFERROR(SUMIFS(Исход!$G:$G,Исход!$A:$A,D$1,Исход!$B:$B,$A146)/(SUMIFS(Исход!$G:$G,Исход!$A:$A,D$1,Исход!$B:$B,$A146)+SUMIFS(Исход!$D:$D,Исход!$A:$A,D$1,Исход!$B:$B,$A146)),0)</f>
        <v>0</v>
      </c>
      <c r="E146" s="162">
        <f>IFERROR(SUMIFS(Исход!$G:$G,Исход!$A:$A,E$1,Исход!$B:$B,$A146)/(SUMIFS(Исход!$G:$G,Исход!$A:$A,E$1,Исход!$B:$B,$A146)+SUMIFS(Исход!$D:$D,Исход!$A:$A,E$1,Исход!$B:$B,$A146)),0)</f>
        <v>0</v>
      </c>
      <c r="F146" s="162">
        <f>IFERROR(SUMIFS(Исход!$G:$G,Исход!$A:$A,F$1,Исход!$B:$B,$A146)/(SUMIFS(Исход!$G:$G,Исход!$A:$A,F$1,Исход!$B:$B,$A146)+SUMIFS(Исход!$D:$D,Исход!$A:$A,F$1,Исход!$B:$B,$A146)),0)</f>
        <v>0</v>
      </c>
      <c r="G146" s="162">
        <f>IFERROR(SUMIFS(Исход!$G:$G,Исход!$A:$A,G$1,Исход!$B:$B,$A146)/(SUMIFS(Исход!$G:$G,Исход!$A:$A,G$1,Исход!$B:$B,$A146)+SUMIFS(Исход!$D:$D,Исход!$A:$A,G$1,Исход!$B:$B,$A146)),0)</f>
        <v>0</v>
      </c>
      <c r="H146" s="162">
        <f>IFERROR(SUMIFS(Исход!$G:$G,Исход!$A:$A,H$1,Исход!$B:$B,$A146)/(SUMIFS(Исход!$G:$G,Исход!$A:$A,H$1,Исход!$B:$B,$A146)+SUMIFS(Исход!$D:$D,Исход!$A:$A,H$1,Исход!$B:$B,$A146)),0)</f>
        <v>0</v>
      </c>
      <c r="I146" s="162">
        <f>IFERROR(SUMIFS(Исход!$G:$G,Исход!$A:$A,I$1,Исход!$B:$B,$A146)/(SUMIFS(Исход!$G:$G,Исход!$A:$A,I$1,Исход!$B:$B,$A146)+SUMIFS(Исход!$D:$D,Исход!$A:$A,I$1,Исход!$B:$B,$A146)),0)</f>
        <v>0</v>
      </c>
      <c r="J146" s="162">
        <f>IFERROR(SUMIFS(Исход!$G:$G,Исход!$A:$A,J$1,Исход!$B:$B,$A146)/(SUMIFS(Исход!$G:$G,Исход!$A:$A,J$1,Исход!$B:$B,$A146)+SUMIFS(Исход!$D:$D,Исход!$A:$A,J$1,Исход!$B:$B,$A146)),0)</f>
        <v>0</v>
      </c>
      <c r="K146" s="162">
        <f>IFERROR(SUMIFS(Исход!$G:$G,Исход!$A:$A,K$1,Исход!$B:$B,$A146)/(SUMIFS(Исход!$G:$G,Исход!$A:$A,K$1,Исход!$B:$B,$A146)+SUMIFS(Исход!$D:$D,Исход!$A:$A,K$1,Исход!$B:$B,$A146)),0)</f>
        <v>0</v>
      </c>
      <c r="L146" s="162">
        <f>IFERROR(SUMIFS(Исход!$G:$G,Исход!$A:$A,L$1,Исход!$B:$B,$A146)/(SUMIFS(Исход!$G:$G,Исход!$A:$A,L$1,Исход!$B:$B,$A146)+SUMIFS(Исход!$D:$D,Исход!$A:$A,L$1,Исход!$B:$B,$A146)),0)</f>
        <v>0</v>
      </c>
      <c r="M146" s="162">
        <f>IFERROR(SUMIFS(Исход!$G:$G,Исход!$A:$A,M$1,Исход!$B:$B,$A146)/(SUMIFS(Исход!$G:$G,Исход!$A:$A,M$1,Исход!$B:$B,$A146)+SUMIFS(Исход!$D:$D,Исход!$A:$A,M$1,Исход!$B:$B,$A146)),0)</f>
        <v>0</v>
      </c>
      <c r="N146" s="162">
        <f>IFERROR(SUMIFS(Исход!$G:$G,Исход!$A:$A,N$1,Исход!$B:$B,$A146)/(SUMIFS(Исход!$G:$G,Исход!$A:$A,N$1,Исход!$B:$B,$A146)+SUMIFS(Исход!$D:$D,Исход!$A:$A,N$1,Исход!$B:$B,$A146)),0)</f>
        <v>0</v>
      </c>
      <c r="O146" s="162">
        <f>IFERROR(SUMIFS(Исход!$G:$G,Исход!$A:$A,O$1,Исход!$B:$B,$A146)/(SUMIFS(Исход!$G:$G,Исход!$A:$A,O$1,Исход!$B:$B,$A146)+SUMIFS(Исход!$D:$D,Исход!$A:$A,O$1,Исход!$B:$B,$A146)),0)</f>
        <v>0</v>
      </c>
      <c r="P146" s="162">
        <f>IFERROR(SUMIFS(Исход!$G:$G,Исход!$A:$A,P$1,Исход!$B:$B,$A146)/(SUMIFS(Исход!$G:$G,Исход!$A:$A,P$1,Исход!$B:$B,$A146)+SUMIFS(Исход!$D:$D,Исход!$A:$A,P$1,Исход!$B:$B,$A146)),0)</f>
        <v>0</v>
      </c>
      <c r="Q146" s="162">
        <f>IFERROR(SUMIFS(Исход!$G:$G,Исход!$A:$A,Q$1,Исход!$B:$B,$A146)/(SUMIFS(Исход!$G:$G,Исход!$A:$A,Q$1,Исход!$B:$B,$A146)+SUMIFS(Исход!$D:$D,Исход!$A:$A,Q$1,Исход!$B:$B,$A146)),0)</f>
        <v>0</v>
      </c>
      <c r="R146" s="162">
        <f>IFERROR(SUMIFS(Исход!$G:$G,Исход!$A:$A,R$1,Исход!$B:$B,$A146)/(SUMIFS(Исход!$G:$G,Исход!$A:$A,R$1,Исход!$B:$B,$A146)+SUMIFS(Исход!$D:$D,Исход!$A:$A,R$1,Исход!$B:$B,$A146)),0)</f>
        <v>0</v>
      </c>
      <c r="S146" s="162">
        <f>IFERROR(SUMIFS(Исход!$G:$G,Исход!$A:$A,S$1,Исход!$B:$B,$A146)/(SUMIFS(Исход!$G:$G,Исход!$A:$A,S$1,Исход!$B:$B,$A146)+SUMIFS(Исход!$D:$D,Исход!$A:$A,S$1,Исход!$B:$B,$A146)),0)</f>
        <v>0</v>
      </c>
      <c r="T146" s="162">
        <f>IFERROR(SUMIFS(Исход!$G:$G,Исход!$A:$A,T$1,Исход!$B:$B,$A146)/(SUMIFS(Исход!$G:$G,Исход!$A:$A,T$1,Исход!$B:$B,$A146)+SUMIFS(Исход!$D:$D,Исход!$A:$A,T$1,Исход!$B:$B,$A146)),0)</f>
        <v>0</v>
      </c>
      <c r="U146" s="162">
        <f>IFERROR(SUMIFS(Исход!$G:$G,Исход!$A:$A,U$1,Исход!$B:$B,$A146)/(SUMIFS(Исход!$G:$G,Исход!$A:$A,U$1,Исход!$B:$B,$A146)+SUMIFS(Исход!$D:$D,Исход!$A:$A,U$1,Исход!$B:$B,$A146)),0)</f>
        <v>0</v>
      </c>
      <c r="V146" s="162">
        <f>IFERROR(SUMIFS(Исход!$G:$G,Исход!$A:$A,V$1,Исход!$B:$B,$A146)/(SUMIFS(Исход!$G:$G,Исход!$A:$A,V$1,Исход!$B:$B,$A146)+SUMIFS(Исход!$D:$D,Исход!$A:$A,V$1,Исход!$B:$B,$A146)),0)</f>
        <v>0</v>
      </c>
      <c r="W146" s="162">
        <f>IFERROR(SUMIFS(Исход!$G:$G,Исход!$A:$A,W$1,Исход!$B:$B,$A146)/(SUMIFS(Исход!$G:$G,Исход!$A:$A,W$1,Исход!$B:$B,$A146)+SUMIFS(Исход!$D:$D,Исход!$A:$A,W$1,Исход!$B:$B,$A146)),0)</f>
        <v>0</v>
      </c>
      <c r="X146" s="162">
        <f>IFERROR(SUMIFS(Исход!$G:$G,Исход!$A:$A,X$1,Исход!$B:$B,$A146)/(SUMIFS(Исход!$G:$G,Исход!$A:$A,X$1,Исход!$B:$B,$A146)+SUMIFS(Исход!$D:$D,Исход!$A:$A,X$1,Исход!$B:$B,$A146)),0)</f>
        <v>0</v>
      </c>
      <c r="Y146" s="162">
        <f>IFERROR(SUMIFS(Исход!$G:$G,Исход!$A:$A,Y$1,Исход!$B:$B,$A146)/(SUMIFS(Исход!$G:$G,Исход!$A:$A,Y$1,Исход!$B:$B,$A146)+SUMIFS(Исход!$D:$D,Исход!$A:$A,Y$1,Исход!$B:$B,$A146)),0)</f>
        <v>0</v>
      </c>
      <c r="Z146" s="162">
        <f>IFERROR(SUMIFS(Исход!$G:$G,Исход!$A:$A,Z$1,Исход!$B:$B,$A146)/(SUMIFS(Исход!$G:$G,Исход!$A:$A,Z$1,Исход!$B:$B,$A146)+SUMIFS(Исход!$D:$D,Исход!$A:$A,Z$1,Исход!$B:$B,$A146)),0)</f>
        <v>0</v>
      </c>
      <c r="AA146" s="162">
        <f>IFERROR(SUMIFS(Исход!$G:$G,Исход!$A:$A,AA$1,Исход!$B:$B,$A146)/(SUMIFS(Исход!$G:$G,Исход!$A:$A,AA$1,Исход!$B:$B,$A146)+SUMIFS(Исход!$D:$D,Исход!$A:$A,AA$1,Исход!$B:$B,$A146)),0)</f>
        <v>0</v>
      </c>
      <c r="AB146" s="162">
        <f>IFERROR(SUMIFS(Исход!$G:$G,Исход!$A:$A,AB$1,Исход!$B:$B,$A146)/(SUMIFS(Исход!$G:$G,Исход!$A:$A,AB$1,Исход!$B:$B,$A146)+SUMIFS(Исход!$D:$D,Исход!$A:$A,AB$1,Исход!$B:$B,$A146)),0)</f>
        <v>0</v>
      </c>
      <c r="AC146" s="162">
        <f>IFERROR(SUMIFS(Исход!$G:$G,Исход!$A:$A,AC$1,Исход!$B:$B,$A146)/(SUMIFS(Исход!$G:$G,Исход!$A:$A,AC$1,Исход!$B:$B,$A146)+SUMIFS(Исход!$D:$D,Исход!$A:$A,AC$1,Исход!$B:$B,$A146)),0)</f>
        <v>0</v>
      </c>
      <c r="AD146" s="162">
        <f>IFERROR(SUMIFS(Исход!$G:$G,Исход!$A:$A,AD$1,Исход!$B:$B,$A146)/(SUMIFS(Исход!$G:$G,Исход!$A:$A,AD$1,Исход!$B:$B,$A146)+SUMIFS(Исход!$D:$D,Исход!$A:$A,AD$1,Исход!$B:$B,$A146)),0)</f>
        <v>0</v>
      </c>
      <c r="AE146" s="162">
        <f>IFERROR(SUMIFS(Исход!$G:$G,Исход!$A:$A,AE$1,Исход!$B:$B,$A146)/(SUMIFS(Исход!$G:$G,Исход!$A:$A,AE$1,Исход!$B:$B,$A146)+SUMIFS(Исход!$D:$D,Исход!$A:$A,AE$1,Исход!$B:$B,$A146)),0)</f>
        <v>0</v>
      </c>
      <c r="AF146" s="162">
        <f>IFERROR(SUMIFS(Исход!$G:$G,Исход!$A:$A,AF$1,Исход!$B:$B,$A146)/(SUMIFS(Исход!$G:$G,Исход!$A:$A,AF$1,Исход!$B:$B,$A146)+SUMIFS(Исход!$D:$D,Исход!$A:$A,AF$1,Исход!$B:$B,$A146)),0)</f>
        <v>0</v>
      </c>
      <c r="AG146" s="163">
        <f>IFERROR(SUMIFS(Исход!$G:$G,Исход!$A:$A,AG$1,Исход!$B:$B,$A146)/(SUMIFS(Исход!$G:$G,Исход!$A:$A,AG$1,Исход!$B:$B,$A146)+SUMIFS(Исход!$D:$D,Исход!$A:$A,AG$1,Исход!$B:$B,$A146)),0)</f>
        <v>0</v>
      </c>
    </row>
    <row r="147" spans="1:33" hidden="1" outlineLevel="1" x14ac:dyDescent="0.25">
      <c r="A147" s="108">
        <v>0.91666666666666663</v>
      </c>
      <c r="B147" s="125">
        <v>0.9375</v>
      </c>
      <c r="C147" s="164">
        <f>IFERROR(SUMIFS(Исход!$G:$G,Исход!$A:$A,C$1,Исход!$B:$B,$A147)/(SUMIFS(Исход!$G:$G,Исход!$A:$A,C$1,Исход!$B:$B,$A147)+SUMIFS(Исход!$D:$D,Исход!$A:$A,C$1,Исход!$B:$B,$A147)),0)</f>
        <v>0</v>
      </c>
      <c r="D147" s="165">
        <f>IFERROR(SUMIFS(Исход!$G:$G,Исход!$A:$A,D$1,Исход!$B:$B,$A147)/(SUMIFS(Исход!$G:$G,Исход!$A:$A,D$1,Исход!$B:$B,$A147)+SUMIFS(Исход!$D:$D,Исход!$A:$A,D$1,Исход!$B:$B,$A147)),0)</f>
        <v>0</v>
      </c>
      <c r="E147" s="165">
        <f>IFERROR(SUMIFS(Исход!$G:$G,Исход!$A:$A,E$1,Исход!$B:$B,$A147)/(SUMIFS(Исход!$G:$G,Исход!$A:$A,E$1,Исход!$B:$B,$A147)+SUMIFS(Исход!$D:$D,Исход!$A:$A,E$1,Исход!$B:$B,$A147)),0)</f>
        <v>0</v>
      </c>
      <c r="F147" s="165">
        <f>IFERROR(SUMIFS(Исход!$G:$G,Исход!$A:$A,F$1,Исход!$B:$B,$A147)/(SUMIFS(Исход!$G:$G,Исход!$A:$A,F$1,Исход!$B:$B,$A147)+SUMIFS(Исход!$D:$D,Исход!$A:$A,F$1,Исход!$B:$B,$A147)),0)</f>
        <v>0</v>
      </c>
      <c r="G147" s="165">
        <f>IFERROR(SUMIFS(Исход!$G:$G,Исход!$A:$A,G$1,Исход!$B:$B,$A147)/(SUMIFS(Исход!$G:$G,Исход!$A:$A,G$1,Исход!$B:$B,$A147)+SUMIFS(Исход!$D:$D,Исход!$A:$A,G$1,Исход!$B:$B,$A147)),0)</f>
        <v>0</v>
      </c>
      <c r="H147" s="165">
        <f>IFERROR(SUMIFS(Исход!$G:$G,Исход!$A:$A,H$1,Исход!$B:$B,$A147)/(SUMIFS(Исход!$G:$G,Исход!$A:$A,H$1,Исход!$B:$B,$A147)+SUMIFS(Исход!$D:$D,Исход!$A:$A,H$1,Исход!$B:$B,$A147)),0)</f>
        <v>0</v>
      </c>
      <c r="I147" s="165">
        <f>IFERROR(SUMIFS(Исход!$G:$G,Исход!$A:$A,I$1,Исход!$B:$B,$A147)/(SUMIFS(Исход!$G:$G,Исход!$A:$A,I$1,Исход!$B:$B,$A147)+SUMIFS(Исход!$D:$D,Исход!$A:$A,I$1,Исход!$B:$B,$A147)),0)</f>
        <v>0</v>
      </c>
      <c r="J147" s="165">
        <f>IFERROR(SUMIFS(Исход!$G:$G,Исход!$A:$A,J$1,Исход!$B:$B,$A147)/(SUMIFS(Исход!$G:$G,Исход!$A:$A,J$1,Исход!$B:$B,$A147)+SUMIFS(Исход!$D:$D,Исход!$A:$A,J$1,Исход!$B:$B,$A147)),0)</f>
        <v>0</v>
      </c>
      <c r="K147" s="165">
        <f>IFERROR(SUMIFS(Исход!$G:$G,Исход!$A:$A,K$1,Исход!$B:$B,$A147)/(SUMIFS(Исход!$G:$G,Исход!$A:$A,K$1,Исход!$B:$B,$A147)+SUMIFS(Исход!$D:$D,Исход!$A:$A,K$1,Исход!$B:$B,$A147)),0)</f>
        <v>0</v>
      </c>
      <c r="L147" s="165">
        <f>IFERROR(SUMIFS(Исход!$G:$G,Исход!$A:$A,L$1,Исход!$B:$B,$A147)/(SUMIFS(Исход!$G:$G,Исход!$A:$A,L$1,Исход!$B:$B,$A147)+SUMIFS(Исход!$D:$D,Исход!$A:$A,L$1,Исход!$B:$B,$A147)),0)</f>
        <v>0</v>
      </c>
      <c r="M147" s="165">
        <f>IFERROR(SUMIFS(Исход!$G:$G,Исход!$A:$A,M$1,Исход!$B:$B,$A147)/(SUMIFS(Исход!$G:$G,Исход!$A:$A,M$1,Исход!$B:$B,$A147)+SUMIFS(Исход!$D:$D,Исход!$A:$A,M$1,Исход!$B:$B,$A147)),0)</f>
        <v>0</v>
      </c>
      <c r="N147" s="165">
        <f>IFERROR(SUMIFS(Исход!$G:$G,Исход!$A:$A,N$1,Исход!$B:$B,$A147)/(SUMIFS(Исход!$G:$G,Исход!$A:$A,N$1,Исход!$B:$B,$A147)+SUMIFS(Исход!$D:$D,Исход!$A:$A,N$1,Исход!$B:$B,$A147)),0)</f>
        <v>0</v>
      </c>
      <c r="O147" s="165">
        <f>IFERROR(SUMIFS(Исход!$G:$G,Исход!$A:$A,O$1,Исход!$B:$B,$A147)/(SUMIFS(Исход!$G:$G,Исход!$A:$A,O$1,Исход!$B:$B,$A147)+SUMIFS(Исход!$D:$D,Исход!$A:$A,O$1,Исход!$B:$B,$A147)),0)</f>
        <v>0</v>
      </c>
      <c r="P147" s="165">
        <f>IFERROR(SUMIFS(Исход!$G:$G,Исход!$A:$A,P$1,Исход!$B:$B,$A147)/(SUMIFS(Исход!$G:$G,Исход!$A:$A,P$1,Исход!$B:$B,$A147)+SUMIFS(Исход!$D:$D,Исход!$A:$A,P$1,Исход!$B:$B,$A147)),0)</f>
        <v>0</v>
      </c>
      <c r="Q147" s="165">
        <f>IFERROR(SUMIFS(Исход!$G:$G,Исход!$A:$A,Q$1,Исход!$B:$B,$A147)/(SUMIFS(Исход!$G:$G,Исход!$A:$A,Q$1,Исход!$B:$B,$A147)+SUMIFS(Исход!$D:$D,Исход!$A:$A,Q$1,Исход!$B:$B,$A147)),0)</f>
        <v>0</v>
      </c>
      <c r="R147" s="165">
        <f>IFERROR(SUMIFS(Исход!$G:$G,Исход!$A:$A,R$1,Исход!$B:$B,$A147)/(SUMIFS(Исход!$G:$G,Исход!$A:$A,R$1,Исход!$B:$B,$A147)+SUMIFS(Исход!$D:$D,Исход!$A:$A,R$1,Исход!$B:$B,$A147)),0)</f>
        <v>0</v>
      </c>
      <c r="S147" s="165">
        <f>IFERROR(SUMIFS(Исход!$G:$G,Исход!$A:$A,S$1,Исход!$B:$B,$A147)/(SUMIFS(Исход!$G:$G,Исход!$A:$A,S$1,Исход!$B:$B,$A147)+SUMIFS(Исход!$D:$D,Исход!$A:$A,S$1,Исход!$B:$B,$A147)),0)</f>
        <v>0</v>
      </c>
      <c r="T147" s="165">
        <f>IFERROR(SUMIFS(Исход!$G:$G,Исход!$A:$A,T$1,Исход!$B:$B,$A147)/(SUMIFS(Исход!$G:$G,Исход!$A:$A,T$1,Исход!$B:$B,$A147)+SUMIFS(Исход!$D:$D,Исход!$A:$A,T$1,Исход!$B:$B,$A147)),0)</f>
        <v>0</v>
      </c>
      <c r="U147" s="165">
        <v>0</v>
      </c>
      <c r="V147" s="165">
        <v>0</v>
      </c>
      <c r="W147" s="165">
        <v>0</v>
      </c>
      <c r="X147" s="165">
        <v>0</v>
      </c>
      <c r="Y147" s="165">
        <v>0</v>
      </c>
      <c r="Z147" s="165">
        <v>0</v>
      </c>
      <c r="AA147" s="165">
        <v>0</v>
      </c>
      <c r="AB147" s="165">
        <v>0</v>
      </c>
      <c r="AC147" s="165">
        <v>0</v>
      </c>
      <c r="AD147" s="165">
        <v>0</v>
      </c>
      <c r="AE147" s="165">
        <v>0</v>
      </c>
      <c r="AF147" s="165">
        <v>0</v>
      </c>
      <c r="AG147" s="166">
        <v>0</v>
      </c>
    </row>
    <row r="148" spans="1:33" hidden="1" outlineLevel="1" x14ac:dyDescent="0.25">
      <c r="A148" s="102">
        <v>0.9375</v>
      </c>
      <c r="B148" s="128">
        <v>0.95833333333333337</v>
      </c>
      <c r="C148" s="167">
        <f>IFERROR(SUMIFS(Исход!$G:$G,Исход!$A:$A,C$1,Исход!$B:$B,$A148)/(SUMIFS(Исход!$G:$G,Исход!$A:$A,C$1,Исход!$B:$B,$A148)+SUMIFS(Исход!$D:$D,Исход!$A:$A,C$1,Исход!$B:$B,$A148)),0)</f>
        <v>0</v>
      </c>
      <c r="D148" s="168">
        <f>IFERROR(SUMIFS(Исход!$G:$G,Исход!$A:$A,D$1,Исход!$B:$B,$A148)/(SUMIFS(Исход!$G:$G,Исход!$A:$A,D$1,Исход!$B:$B,$A148)+SUMIFS(Исход!$D:$D,Исход!$A:$A,D$1,Исход!$B:$B,$A148)),0)</f>
        <v>0</v>
      </c>
      <c r="E148" s="168">
        <f>IFERROR(SUMIFS(Исход!$G:$G,Исход!$A:$A,E$1,Исход!$B:$B,$A148)/(SUMIFS(Исход!$G:$G,Исход!$A:$A,E$1,Исход!$B:$B,$A148)+SUMIFS(Исход!$D:$D,Исход!$A:$A,E$1,Исход!$B:$B,$A148)),0)</f>
        <v>0</v>
      </c>
      <c r="F148" s="168">
        <f>IFERROR(SUMIFS(Исход!$G:$G,Исход!$A:$A,F$1,Исход!$B:$B,$A148)/(SUMIFS(Исход!$G:$G,Исход!$A:$A,F$1,Исход!$B:$B,$A148)+SUMIFS(Исход!$D:$D,Исход!$A:$A,F$1,Исход!$B:$B,$A148)),0)</f>
        <v>0</v>
      </c>
      <c r="G148" s="168">
        <f>IFERROR(SUMIFS(Исход!$G:$G,Исход!$A:$A,G$1,Исход!$B:$B,$A148)/(SUMIFS(Исход!$G:$G,Исход!$A:$A,G$1,Исход!$B:$B,$A148)+SUMIFS(Исход!$D:$D,Исход!$A:$A,G$1,Исход!$B:$B,$A148)),0)</f>
        <v>0</v>
      </c>
      <c r="H148" s="168">
        <f>IFERROR(SUMIFS(Исход!$G:$G,Исход!$A:$A,H$1,Исход!$B:$B,$A148)/(SUMIFS(Исход!$G:$G,Исход!$A:$A,H$1,Исход!$B:$B,$A148)+SUMIFS(Исход!$D:$D,Исход!$A:$A,H$1,Исход!$B:$B,$A148)),0)</f>
        <v>0</v>
      </c>
      <c r="I148" s="168">
        <f>IFERROR(SUMIFS(Исход!$G:$G,Исход!$A:$A,I$1,Исход!$B:$B,$A148)/(SUMIFS(Исход!$G:$G,Исход!$A:$A,I$1,Исход!$B:$B,$A148)+SUMIFS(Исход!$D:$D,Исход!$A:$A,I$1,Исход!$B:$B,$A148)),0)</f>
        <v>0</v>
      </c>
      <c r="J148" s="168">
        <f>IFERROR(SUMIFS(Исход!$G:$G,Исход!$A:$A,J$1,Исход!$B:$B,$A148)/(SUMIFS(Исход!$G:$G,Исход!$A:$A,J$1,Исход!$B:$B,$A148)+SUMIFS(Исход!$D:$D,Исход!$A:$A,J$1,Исход!$B:$B,$A148)),0)</f>
        <v>0</v>
      </c>
      <c r="K148" s="168">
        <f>IFERROR(SUMIFS(Исход!$G:$G,Исход!$A:$A,K$1,Исход!$B:$B,$A148)/(SUMIFS(Исход!$G:$G,Исход!$A:$A,K$1,Исход!$B:$B,$A148)+SUMIFS(Исход!$D:$D,Исход!$A:$A,K$1,Исход!$B:$B,$A148)),0)</f>
        <v>0</v>
      </c>
      <c r="L148" s="168">
        <f>IFERROR(SUMIFS(Исход!$G:$G,Исход!$A:$A,L$1,Исход!$B:$B,$A148)/(SUMIFS(Исход!$G:$G,Исход!$A:$A,L$1,Исход!$B:$B,$A148)+SUMIFS(Исход!$D:$D,Исход!$A:$A,L$1,Исход!$B:$B,$A148)),0)</f>
        <v>0</v>
      </c>
      <c r="M148" s="168">
        <f>IFERROR(SUMIFS(Исход!$G:$G,Исход!$A:$A,M$1,Исход!$B:$B,$A148)/(SUMIFS(Исход!$G:$G,Исход!$A:$A,M$1,Исход!$B:$B,$A148)+SUMIFS(Исход!$D:$D,Исход!$A:$A,M$1,Исход!$B:$B,$A148)),0)</f>
        <v>0</v>
      </c>
      <c r="N148" s="168">
        <f>IFERROR(SUMIFS(Исход!$G:$G,Исход!$A:$A,N$1,Исход!$B:$B,$A148)/(SUMIFS(Исход!$G:$G,Исход!$A:$A,N$1,Исход!$B:$B,$A148)+SUMIFS(Исход!$D:$D,Исход!$A:$A,N$1,Исход!$B:$B,$A148)),0)</f>
        <v>0</v>
      </c>
      <c r="O148" s="168">
        <f>IFERROR(SUMIFS(Исход!$G:$G,Исход!$A:$A,O$1,Исход!$B:$B,$A148)/(SUMIFS(Исход!$G:$G,Исход!$A:$A,O$1,Исход!$B:$B,$A148)+SUMIFS(Исход!$D:$D,Исход!$A:$A,O$1,Исход!$B:$B,$A148)),0)</f>
        <v>0</v>
      </c>
      <c r="P148" s="168">
        <f>IFERROR(SUMIFS(Исход!$G:$G,Исход!$A:$A,P$1,Исход!$B:$B,$A148)/(SUMIFS(Исход!$G:$G,Исход!$A:$A,P$1,Исход!$B:$B,$A148)+SUMIFS(Исход!$D:$D,Исход!$A:$A,P$1,Исход!$B:$B,$A148)),0)</f>
        <v>0</v>
      </c>
      <c r="Q148" s="168">
        <f>IFERROR(SUMIFS(Исход!$G:$G,Исход!$A:$A,Q$1,Исход!$B:$B,$A148)/(SUMIFS(Исход!$G:$G,Исход!$A:$A,Q$1,Исход!$B:$B,$A148)+SUMIFS(Исход!$D:$D,Исход!$A:$A,Q$1,Исход!$B:$B,$A148)),0)</f>
        <v>0</v>
      </c>
      <c r="R148" s="168">
        <f>IFERROR(SUMIFS(Исход!$G:$G,Исход!$A:$A,R$1,Исход!$B:$B,$A148)/(SUMIFS(Исход!$G:$G,Исход!$A:$A,R$1,Исход!$B:$B,$A148)+SUMIFS(Исход!$D:$D,Исход!$A:$A,R$1,Исход!$B:$B,$A148)),0)</f>
        <v>0</v>
      </c>
      <c r="S148" s="168">
        <f>IFERROR(SUMIFS(Исход!$G:$G,Исход!$A:$A,S$1,Исход!$B:$B,$A148)/(SUMIFS(Исход!$G:$G,Исход!$A:$A,S$1,Исход!$B:$B,$A148)+SUMIFS(Исход!$D:$D,Исход!$A:$A,S$1,Исход!$B:$B,$A148)),0)</f>
        <v>0</v>
      </c>
      <c r="T148" s="168">
        <f>IFERROR(SUMIFS(Исход!$G:$G,Исход!$A:$A,T$1,Исход!$B:$B,$A148)/(SUMIFS(Исход!$G:$G,Исход!$A:$A,T$1,Исход!$B:$B,$A148)+SUMIFS(Исход!$D:$D,Исход!$A:$A,T$1,Исход!$B:$B,$A148)),0)</f>
        <v>0</v>
      </c>
      <c r="U148" s="168">
        <v>0</v>
      </c>
      <c r="V148" s="168">
        <v>0</v>
      </c>
      <c r="W148" s="168">
        <v>0</v>
      </c>
      <c r="X148" s="168">
        <v>0</v>
      </c>
      <c r="Y148" s="168">
        <v>0</v>
      </c>
      <c r="Z148" s="168">
        <v>0</v>
      </c>
      <c r="AA148" s="168">
        <v>0</v>
      </c>
      <c r="AB148" s="168">
        <v>0</v>
      </c>
      <c r="AC148" s="168">
        <v>0</v>
      </c>
      <c r="AD148" s="168">
        <v>0</v>
      </c>
      <c r="AE148" s="168">
        <v>0</v>
      </c>
      <c r="AF148" s="168">
        <v>0</v>
      </c>
      <c r="AG148" s="169">
        <v>0</v>
      </c>
    </row>
    <row r="149" spans="1:33" hidden="1" outlineLevel="1" x14ac:dyDescent="0.25">
      <c r="A149" s="102">
        <v>0.95833333333333337</v>
      </c>
      <c r="B149" s="128">
        <v>0.97916666666666663</v>
      </c>
      <c r="C149" s="167">
        <f>IFERROR(SUMIFS(Исход!$G:$G,Исход!$A:$A,C$1,Исход!$B:$B,$A149)/(SUMIFS(Исход!$G:$G,Исход!$A:$A,C$1,Исход!$B:$B,$A149)+SUMIFS(Исход!$D:$D,Исход!$A:$A,C$1,Исход!$B:$B,$A149)),0)</f>
        <v>0</v>
      </c>
      <c r="D149" s="168">
        <f>IFERROR(SUMIFS(Исход!$G:$G,Исход!$A:$A,D$1,Исход!$B:$B,$A149)/(SUMIFS(Исход!$G:$G,Исход!$A:$A,D$1,Исход!$B:$B,$A149)+SUMIFS(Исход!$D:$D,Исход!$A:$A,D$1,Исход!$B:$B,$A149)),0)</f>
        <v>0</v>
      </c>
      <c r="E149" s="168">
        <f>IFERROR(SUMIFS(Исход!$G:$G,Исход!$A:$A,E$1,Исход!$B:$B,$A149)/(SUMIFS(Исход!$G:$G,Исход!$A:$A,E$1,Исход!$B:$B,$A149)+SUMIFS(Исход!$D:$D,Исход!$A:$A,E$1,Исход!$B:$B,$A149)),0)</f>
        <v>0</v>
      </c>
      <c r="F149" s="168">
        <f>IFERROR(SUMIFS(Исход!$G:$G,Исход!$A:$A,F$1,Исход!$B:$B,$A149)/(SUMIFS(Исход!$G:$G,Исход!$A:$A,F$1,Исход!$B:$B,$A149)+SUMIFS(Исход!$D:$D,Исход!$A:$A,F$1,Исход!$B:$B,$A149)),0)</f>
        <v>0</v>
      </c>
      <c r="G149" s="168">
        <f>IFERROR(SUMIFS(Исход!$G:$G,Исход!$A:$A,G$1,Исход!$B:$B,$A149)/(SUMIFS(Исход!$G:$G,Исход!$A:$A,G$1,Исход!$B:$B,$A149)+SUMIFS(Исход!$D:$D,Исход!$A:$A,G$1,Исход!$B:$B,$A149)),0)</f>
        <v>0</v>
      </c>
      <c r="H149" s="168">
        <f>IFERROR(SUMIFS(Исход!$G:$G,Исход!$A:$A,H$1,Исход!$B:$B,$A149)/(SUMIFS(Исход!$G:$G,Исход!$A:$A,H$1,Исход!$B:$B,$A149)+SUMIFS(Исход!$D:$D,Исход!$A:$A,H$1,Исход!$B:$B,$A149)),0)</f>
        <v>0</v>
      </c>
      <c r="I149" s="168">
        <f>IFERROR(SUMIFS(Исход!$G:$G,Исход!$A:$A,I$1,Исход!$B:$B,$A149)/(SUMIFS(Исход!$G:$G,Исход!$A:$A,I$1,Исход!$B:$B,$A149)+SUMIFS(Исход!$D:$D,Исход!$A:$A,I$1,Исход!$B:$B,$A149)),0)</f>
        <v>0</v>
      </c>
      <c r="J149" s="168">
        <f>IFERROR(SUMIFS(Исход!$G:$G,Исход!$A:$A,J$1,Исход!$B:$B,$A149)/(SUMIFS(Исход!$G:$G,Исход!$A:$A,J$1,Исход!$B:$B,$A149)+SUMIFS(Исход!$D:$D,Исход!$A:$A,J$1,Исход!$B:$B,$A149)),0)</f>
        <v>0</v>
      </c>
      <c r="K149" s="168">
        <f>IFERROR(SUMIFS(Исход!$G:$G,Исход!$A:$A,K$1,Исход!$B:$B,$A149)/(SUMIFS(Исход!$G:$G,Исход!$A:$A,K$1,Исход!$B:$B,$A149)+SUMIFS(Исход!$D:$D,Исход!$A:$A,K$1,Исход!$B:$B,$A149)),0)</f>
        <v>0</v>
      </c>
      <c r="L149" s="168">
        <f>IFERROR(SUMIFS(Исход!$G:$G,Исход!$A:$A,L$1,Исход!$B:$B,$A149)/(SUMIFS(Исход!$G:$G,Исход!$A:$A,L$1,Исход!$B:$B,$A149)+SUMIFS(Исход!$D:$D,Исход!$A:$A,L$1,Исход!$B:$B,$A149)),0)</f>
        <v>0</v>
      </c>
      <c r="M149" s="168">
        <f>IFERROR(SUMIFS(Исход!$G:$G,Исход!$A:$A,M$1,Исход!$B:$B,$A149)/(SUMIFS(Исход!$G:$G,Исход!$A:$A,M$1,Исход!$B:$B,$A149)+SUMIFS(Исход!$D:$D,Исход!$A:$A,M$1,Исход!$B:$B,$A149)),0)</f>
        <v>0</v>
      </c>
      <c r="N149" s="168">
        <f>IFERROR(SUMIFS(Исход!$G:$G,Исход!$A:$A,N$1,Исход!$B:$B,$A149)/(SUMIFS(Исход!$G:$G,Исход!$A:$A,N$1,Исход!$B:$B,$A149)+SUMIFS(Исход!$D:$D,Исход!$A:$A,N$1,Исход!$B:$B,$A149)),0)</f>
        <v>0</v>
      </c>
      <c r="O149" s="168">
        <f>IFERROR(SUMIFS(Исход!$G:$G,Исход!$A:$A,O$1,Исход!$B:$B,$A149)/(SUMIFS(Исход!$G:$G,Исход!$A:$A,O$1,Исход!$B:$B,$A149)+SUMIFS(Исход!$D:$D,Исход!$A:$A,O$1,Исход!$B:$B,$A149)),0)</f>
        <v>0</v>
      </c>
      <c r="P149" s="168">
        <f>IFERROR(SUMIFS(Исход!$G:$G,Исход!$A:$A,P$1,Исход!$B:$B,$A149)/(SUMIFS(Исход!$G:$G,Исход!$A:$A,P$1,Исход!$B:$B,$A149)+SUMIFS(Исход!$D:$D,Исход!$A:$A,P$1,Исход!$B:$B,$A149)),0)</f>
        <v>0</v>
      </c>
      <c r="Q149" s="168">
        <f>IFERROR(SUMIFS(Исход!$G:$G,Исход!$A:$A,Q$1,Исход!$B:$B,$A149)/(SUMIFS(Исход!$G:$G,Исход!$A:$A,Q$1,Исход!$B:$B,$A149)+SUMIFS(Исход!$D:$D,Исход!$A:$A,Q$1,Исход!$B:$B,$A149)),0)</f>
        <v>0</v>
      </c>
      <c r="R149" s="168">
        <f>IFERROR(SUMIFS(Исход!$G:$G,Исход!$A:$A,R$1,Исход!$B:$B,$A149)/(SUMIFS(Исход!$G:$G,Исход!$A:$A,R$1,Исход!$B:$B,$A149)+SUMIFS(Исход!$D:$D,Исход!$A:$A,R$1,Исход!$B:$B,$A149)),0)</f>
        <v>0</v>
      </c>
      <c r="S149" s="168">
        <f>IFERROR(SUMIFS(Исход!$G:$G,Исход!$A:$A,S$1,Исход!$B:$B,$A149)/(SUMIFS(Исход!$G:$G,Исход!$A:$A,S$1,Исход!$B:$B,$A149)+SUMIFS(Исход!$D:$D,Исход!$A:$A,S$1,Исход!$B:$B,$A149)),0)</f>
        <v>0</v>
      </c>
      <c r="T149" s="168">
        <f>IFERROR(SUMIFS(Исход!$G:$G,Исход!$A:$A,T$1,Исход!$B:$B,$A149)/(SUMIFS(Исход!$G:$G,Исход!$A:$A,T$1,Исход!$B:$B,$A149)+SUMIFS(Исход!$D:$D,Исход!$A:$A,T$1,Исход!$B:$B,$A149)),0)</f>
        <v>0</v>
      </c>
      <c r="U149" s="168">
        <v>0</v>
      </c>
      <c r="V149" s="168">
        <v>0</v>
      </c>
      <c r="W149" s="168">
        <v>0</v>
      </c>
      <c r="X149" s="168">
        <v>0</v>
      </c>
      <c r="Y149" s="168">
        <v>0</v>
      </c>
      <c r="Z149" s="168">
        <v>0</v>
      </c>
      <c r="AA149" s="168">
        <v>0</v>
      </c>
      <c r="AB149" s="168">
        <v>0</v>
      </c>
      <c r="AC149" s="168">
        <v>0</v>
      </c>
      <c r="AD149" s="168">
        <v>0</v>
      </c>
      <c r="AE149" s="168">
        <v>0</v>
      </c>
      <c r="AF149" s="168">
        <v>0</v>
      </c>
      <c r="AG149" s="169">
        <v>0</v>
      </c>
    </row>
    <row r="150" spans="1:33" ht="15.75" hidden="1" outlineLevel="1" thickBot="1" x14ac:dyDescent="0.3">
      <c r="A150" s="104">
        <v>0.97916666666666663</v>
      </c>
      <c r="B150" s="131">
        <v>0</v>
      </c>
      <c r="C150" s="170">
        <f>IFERROR(SUMIFS(Исход!$G:$G,Исход!$A:$A,C$1,Исход!$B:$B,$A150)/(SUMIFS(Исход!$G:$G,Исход!$A:$A,C$1,Исход!$B:$B,$A150)+SUMIFS(Исход!$D:$D,Исход!$A:$A,C$1,Исход!$B:$B,$A150)),0)</f>
        <v>0</v>
      </c>
      <c r="D150" s="171">
        <f>IFERROR(SUMIFS(Исход!$G:$G,Исход!$A:$A,D$1,Исход!$B:$B,$A150)/(SUMIFS(Исход!$G:$G,Исход!$A:$A,D$1,Исход!$B:$B,$A150)+SUMIFS(Исход!$D:$D,Исход!$A:$A,D$1,Исход!$B:$B,$A150)),0)</f>
        <v>0</v>
      </c>
      <c r="E150" s="171">
        <f>IFERROR(SUMIFS(Исход!$G:$G,Исход!$A:$A,E$1,Исход!$B:$B,$A150)/(SUMIFS(Исход!$G:$G,Исход!$A:$A,E$1,Исход!$B:$B,$A150)+SUMIFS(Исход!$D:$D,Исход!$A:$A,E$1,Исход!$B:$B,$A150)),0)</f>
        <v>0</v>
      </c>
      <c r="F150" s="171">
        <f>IFERROR(SUMIFS(Исход!$G:$G,Исход!$A:$A,F$1,Исход!$B:$B,$A150)/(SUMIFS(Исход!$G:$G,Исход!$A:$A,F$1,Исход!$B:$B,$A150)+SUMIFS(Исход!$D:$D,Исход!$A:$A,F$1,Исход!$B:$B,$A150)),0)</f>
        <v>0</v>
      </c>
      <c r="G150" s="171">
        <f>IFERROR(SUMIFS(Исход!$G:$G,Исход!$A:$A,G$1,Исход!$B:$B,$A150)/(SUMIFS(Исход!$G:$G,Исход!$A:$A,G$1,Исход!$B:$B,$A150)+SUMIFS(Исход!$D:$D,Исход!$A:$A,G$1,Исход!$B:$B,$A150)),0)</f>
        <v>0</v>
      </c>
      <c r="H150" s="171">
        <f>IFERROR(SUMIFS(Исход!$G:$G,Исход!$A:$A,H$1,Исход!$B:$B,$A150)/(SUMIFS(Исход!$G:$G,Исход!$A:$A,H$1,Исход!$B:$B,$A150)+SUMIFS(Исход!$D:$D,Исход!$A:$A,H$1,Исход!$B:$B,$A150)),0)</f>
        <v>0</v>
      </c>
      <c r="I150" s="171">
        <f>IFERROR(SUMIFS(Исход!$G:$G,Исход!$A:$A,I$1,Исход!$B:$B,$A150)/(SUMIFS(Исход!$G:$G,Исход!$A:$A,I$1,Исход!$B:$B,$A150)+SUMIFS(Исход!$D:$D,Исход!$A:$A,I$1,Исход!$B:$B,$A150)),0)</f>
        <v>0</v>
      </c>
      <c r="J150" s="171">
        <f>IFERROR(SUMIFS(Исход!$G:$G,Исход!$A:$A,J$1,Исход!$B:$B,$A150)/(SUMIFS(Исход!$G:$G,Исход!$A:$A,J$1,Исход!$B:$B,$A150)+SUMIFS(Исход!$D:$D,Исход!$A:$A,J$1,Исход!$B:$B,$A150)),0)</f>
        <v>0</v>
      </c>
      <c r="K150" s="171">
        <f>IFERROR(SUMIFS(Исход!$G:$G,Исход!$A:$A,K$1,Исход!$B:$B,$A150)/(SUMIFS(Исход!$G:$G,Исход!$A:$A,K$1,Исход!$B:$B,$A150)+SUMIFS(Исход!$D:$D,Исход!$A:$A,K$1,Исход!$B:$B,$A150)),0)</f>
        <v>0</v>
      </c>
      <c r="L150" s="171">
        <f>IFERROR(SUMIFS(Исход!$G:$G,Исход!$A:$A,L$1,Исход!$B:$B,$A150)/(SUMIFS(Исход!$G:$G,Исход!$A:$A,L$1,Исход!$B:$B,$A150)+SUMIFS(Исход!$D:$D,Исход!$A:$A,L$1,Исход!$B:$B,$A150)),0)</f>
        <v>0</v>
      </c>
      <c r="M150" s="171">
        <f>IFERROR(SUMIFS(Исход!$G:$G,Исход!$A:$A,M$1,Исход!$B:$B,$A150)/(SUMIFS(Исход!$G:$G,Исход!$A:$A,M$1,Исход!$B:$B,$A150)+SUMIFS(Исход!$D:$D,Исход!$A:$A,M$1,Исход!$B:$B,$A150)),0)</f>
        <v>0</v>
      </c>
      <c r="N150" s="171">
        <f>IFERROR(SUMIFS(Исход!$G:$G,Исход!$A:$A,N$1,Исход!$B:$B,$A150)/(SUMIFS(Исход!$G:$G,Исход!$A:$A,N$1,Исход!$B:$B,$A150)+SUMIFS(Исход!$D:$D,Исход!$A:$A,N$1,Исход!$B:$B,$A150)),0)</f>
        <v>0</v>
      </c>
      <c r="O150" s="171">
        <f>IFERROR(SUMIFS(Исход!$G:$G,Исход!$A:$A,O$1,Исход!$B:$B,$A150)/(SUMIFS(Исход!$G:$G,Исход!$A:$A,O$1,Исход!$B:$B,$A150)+SUMIFS(Исход!$D:$D,Исход!$A:$A,O$1,Исход!$B:$B,$A150)),0)</f>
        <v>0</v>
      </c>
      <c r="P150" s="171">
        <f>IFERROR(SUMIFS(Исход!$G:$G,Исход!$A:$A,P$1,Исход!$B:$B,$A150)/(SUMIFS(Исход!$G:$G,Исход!$A:$A,P$1,Исход!$B:$B,$A150)+SUMIFS(Исход!$D:$D,Исход!$A:$A,P$1,Исход!$B:$B,$A150)),0)</f>
        <v>0</v>
      </c>
      <c r="Q150" s="171">
        <f>IFERROR(SUMIFS(Исход!$G:$G,Исход!$A:$A,Q$1,Исход!$B:$B,$A150)/(SUMIFS(Исход!$G:$G,Исход!$A:$A,Q$1,Исход!$B:$B,$A150)+SUMIFS(Исход!$D:$D,Исход!$A:$A,Q$1,Исход!$B:$B,$A150)),0)</f>
        <v>0</v>
      </c>
      <c r="R150" s="171">
        <f>IFERROR(SUMIFS(Исход!$G:$G,Исход!$A:$A,R$1,Исход!$B:$B,$A150)/(SUMIFS(Исход!$G:$G,Исход!$A:$A,R$1,Исход!$B:$B,$A150)+SUMIFS(Исход!$D:$D,Исход!$A:$A,R$1,Исход!$B:$B,$A150)),0)</f>
        <v>0</v>
      </c>
      <c r="S150" s="171">
        <f>IFERROR(SUMIFS(Исход!$G:$G,Исход!$A:$A,S$1,Исход!$B:$B,$A150)/(SUMIFS(Исход!$G:$G,Исход!$A:$A,S$1,Исход!$B:$B,$A150)+SUMIFS(Исход!$D:$D,Исход!$A:$A,S$1,Исход!$B:$B,$A150)),0)</f>
        <v>0</v>
      </c>
      <c r="T150" s="171">
        <f>IFERROR(SUMIFS(Исход!$G:$G,Исход!$A:$A,T$1,Исход!$B:$B,$A150)/(SUMIFS(Исход!$G:$G,Исход!$A:$A,T$1,Исход!$B:$B,$A150)+SUMIFS(Исход!$D:$D,Исход!$A:$A,T$1,Исход!$B:$B,$A150)),0)</f>
        <v>0</v>
      </c>
      <c r="U150" s="171">
        <v>0</v>
      </c>
      <c r="V150" s="171">
        <v>0</v>
      </c>
      <c r="W150" s="171">
        <v>0</v>
      </c>
      <c r="X150" s="171">
        <v>0</v>
      </c>
      <c r="Y150" s="171">
        <v>0</v>
      </c>
      <c r="Z150" s="171">
        <v>0</v>
      </c>
      <c r="AA150" s="171">
        <v>0</v>
      </c>
      <c r="AB150" s="171">
        <v>0</v>
      </c>
      <c r="AC150" s="171">
        <v>0</v>
      </c>
      <c r="AD150" s="171">
        <v>0</v>
      </c>
      <c r="AE150" s="171">
        <v>0</v>
      </c>
      <c r="AF150" s="171">
        <v>0</v>
      </c>
      <c r="AG150" s="172">
        <v>0</v>
      </c>
    </row>
    <row r="151" spans="1:33" ht="15.75" collapsed="1" thickBot="1" x14ac:dyDescent="0.3">
      <c r="A151" s="331" t="s">
        <v>69</v>
      </c>
      <c r="B151" s="332"/>
      <c r="C151" s="340" t="s">
        <v>11</v>
      </c>
      <c r="D151" s="341"/>
      <c r="E151" s="341"/>
      <c r="F151" s="341"/>
      <c r="G151" s="341"/>
      <c r="H151" s="341"/>
      <c r="I151" s="341"/>
      <c r="J151" s="341"/>
      <c r="K151" s="341"/>
      <c r="L151" s="341"/>
      <c r="M151" s="341"/>
      <c r="N151" s="341"/>
      <c r="O151" s="341"/>
      <c r="P151" s="341"/>
      <c r="Q151" s="341"/>
      <c r="R151" s="341"/>
      <c r="S151" s="341"/>
      <c r="T151" s="341"/>
      <c r="U151" s="341"/>
      <c r="V151" s="341"/>
      <c r="W151" s="341"/>
      <c r="X151" s="341"/>
      <c r="Y151" s="341"/>
      <c r="Z151" s="341"/>
      <c r="AA151" s="341"/>
      <c r="AB151" s="341"/>
      <c r="AC151" s="341"/>
      <c r="AD151" s="341"/>
      <c r="AE151" s="341"/>
      <c r="AF151" s="341"/>
      <c r="AG151" s="342"/>
    </row>
    <row r="152" spans="1:33" hidden="1" outlineLevel="1" x14ac:dyDescent="0.25">
      <c r="A152" s="108">
        <v>0</v>
      </c>
      <c r="B152" s="125">
        <v>2.0833333333333332E-2</v>
      </c>
      <c r="C152" s="181">
        <v>0.85</v>
      </c>
      <c r="D152" s="182">
        <v>0.85</v>
      </c>
      <c r="E152" s="182">
        <v>0.85</v>
      </c>
      <c r="F152" s="182">
        <v>0.85</v>
      </c>
      <c r="G152" s="182">
        <v>0.85</v>
      </c>
      <c r="H152" s="182">
        <v>0.85</v>
      </c>
      <c r="I152" s="182">
        <v>0.85</v>
      </c>
      <c r="J152" s="182">
        <v>0.85</v>
      </c>
      <c r="K152" s="182">
        <v>0.85</v>
      </c>
      <c r="L152" s="182">
        <v>0.85</v>
      </c>
      <c r="M152" s="182">
        <v>0.85</v>
      </c>
      <c r="N152" s="182">
        <v>0.85</v>
      </c>
      <c r="O152" s="182">
        <v>0.85</v>
      </c>
      <c r="P152" s="182">
        <v>0.85</v>
      </c>
      <c r="Q152" s="182">
        <v>0.85</v>
      </c>
      <c r="R152" s="182">
        <v>0.85</v>
      </c>
      <c r="S152" s="182">
        <v>0.85</v>
      </c>
      <c r="T152" s="182">
        <v>0.85</v>
      </c>
      <c r="U152" s="182">
        <v>0.85</v>
      </c>
      <c r="V152" s="182">
        <v>0.85</v>
      </c>
      <c r="W152" s="182">
        <v>0.85</v>
      </c>
      <c r="X152" s="182">
        <v>0.85</v>
      </c>
      <c r="Y152" s="182">
        <v>0.85</v>
      </c>
      <c r="Z152" s="182">
        <v>0.85</v>
      </c>
      <c r="AA152" s="182">
        <v>0.85</v>
      </c>
      <c r="AB152" s="182">
        <v>0.85</v>
      </c>
      <c r="AC152" s="182">
        <v>0.85</v>
      </c>
      <c r="AD152" s="182">
        <v>0.85</v>
      </c>
      <c r="AE152" s="182">
        <v>0.85</v>
      </c>
      <c r="AF152" s="182">
        <v>0.85</v>
      </c>
      <c r="AG152" s="183">
        <v>0.85</v>
      </c>
    </row>
    <row r="153" spans="1:33" hidden="1" outlineLevel="1" x14ac:dyDescent="0.25">
      <c r="A153" s="102">
        <v>2.0833333333333332E-2</v>
      </c>
      <c r="B153" s="128">
        <v>4.1666666666666664E-2</v>
      </c>
      <c r="C153" s="184">
        <v>0.85</v>
      </c>
      <c r="D153" s="185">
        <v>0.85</v>
      </c>
      <c r="E153" s="185">
        <v>0.85</v>
      </c>
      <c r="F153" s="185">
        <v>0.85</v>
      </c>
      <c r="G153" s="185">
        <v>0.85</v>
      </c>
      <c r="H153" s="185">
        <v>0.85</v>
      </c>
      <c r="I153" s="185">
        <v>0.85</v>
      </c>
      <c r="J153" s="185">
        <v>0.85</v>
      </c>
      <c r="K153" s="185">
        <v>0.85</v>
      </c>
      <c r="L153" s="185">
        <v>0.85</v>
      </c>
      <c r="M153" s="185">
        <v>0.85</v>
      </c>
      <c r="N153" s="185">
        <v>0.85</v>
      </c>
      <c r="O153" s="185">
        <v>0.85</v>
      </c>
      <c r="P153" s="185">
        <v>0.85</v>
      </c>
      <c r="Q153" s="185">
        <v>0.85</v>
      </c>
      <c r="R153" s="185">
        <v>0.85</v>
      </c>
      <c r="S153" s="185">
        <v>0.85</v>
      </c>
      <c r="T153" s="185">
        <v>0.85</v>
      </c>
      <c r="U153" s="185">
        <v>0.85</v>
      </c>
      <c r="V153" s="185">
        <v>0.85</v>
      </c>
      <c r="W153" s="185">
        <v>0.85</v>
      </c>
      <c r="X153" s="185">
        <v>0.85</v>
      </c>
      <c r="Y153" s="185">
        <v>0.85</v>
      </c>
      <c r="Z153" s="185">
        <v>0.85</v>
      </c>
      <c r="AA153" s="185">
        <v>0.85</v>
      </c>
      <c r="AB153" s="185">
        <v>0.85</v>
      </c>
      <c r="AC153" s="185">
        <v>0.85</v>
      </c>
      <c r="AD153" s="185">
        <v>0.85</v>
      </c>
      <c r="AE153" s="185">
        <v>0.85</v>
      </c>
      <c r="AF153" s="185">
        <v>0.85</v>
      </c>
      <c r="AG153" s="186">
        <v>0.85</v>
      </c>
    </row>
    <row r="154" spans="1:33" hidden="1" outlineLevel="1" x14ac:dyDescent="0.25">
      <c r="A154" s="102">
        <v>4.1666666666666664E-2</v>
      </c>
      <c r="B154" s="128">
        <v>6.25E-2</v>
      </c>
      <c r="C154" s="184">
        <v>0.85</v>
      </c>
      <c r="D154" s="185">
        <v>0.85</v>
      </c>
      <c r="E154" s="185">
        <v>0.85</v>
      </c>
      <c r="F154" s="185">
        <v>0.85</v>
      </c>
      <c r="G154" s="185">
        <v>0.85</v>
      </c>
      <c r="H154" s="185">
        <v>0.85</v>
      </c>
      <c r="I154" s="185">
        <v>0.85</v>
      </c>
      <c r="J154" s="185">
        <v>0.85</v>
      </c>
      <c r="K154" s="185">
        <v>0.85</v>
      </c>
      <c r="L154" s="185">
        <v>0.85</v>
      </c>
      <c r="M154" s="185">
        <v>0.85</v>
      </c>
      <c r="N154" s="185">
        <v>0.85</v>
      </c>
      <c r="O154" s="185">
        <v>0.85</v>
      </c>
      <c r="P154" s="185">
        <v>0.85</v>
      </c>
      <c r="Q154" s="185">
        <v>0.85</v>
      </c>
      <c r="R154" s="185">
        <v>0.85</v>
      </c>
      <c r="S154" s="185">
        <v>0.85</v>
      </c>
      <c r="T154" s="185">
        <v>0.85</v>
      </c>
      <c r="U154" s="185">
        <v>0.85</v>
      </c>
      <c r="V154" s="185">
        <v>0.85</v>
      </c>
      <c r="W154" s="185">
        <v>0.85</v>
      </c>
      <c r="X154" s="185">
        <v>0.85</v>
      </c>
      <c r="Y154" s="185">
        <v>0.85</v>
      </c>
      <c r="Z154" s="185">
        <v>0.85</v>
      </c>
      <c r="AA154" s="185">
        <v>0.85</v>
      </c>
      <c r="AB154" s="185">
        <v>0.85</v>
      </c>
      <c r="AC154" s="185">
        <v>0.85</v>
      </c>
      <c r="AD154" s="185">
        <v>0.85</v>
      </c>
      <c r="AE154" s="185">
        <v>0.85</v>
      </c>
      <c r="AF154" s="185">
        <v>0.85</v>
      </c>
      <c r="AG154" s="186">
        <v>0.85</v>
      </c>
    </row>
    <row r="155" spans="1:33" hidden="1" outlineLevel="1" x14ac:dyDescent="0.25">
      <c r="A155" s="102">
        <v>6.25E-2</v>
      </c>
      <c r="B155" s="128">
        <v>8.3333333333333329E-2</v>
      </c>
      <c r="C155" s="184">
        <v>0.85</v>
      </c>
      <c r="D155" s="185">
        <v>0.85</v>
      </c>
      <c r="E155" s="185">
        <v>0.85</v>
      </c>
      <c r="F155" s="185">
        <v>0.85</v>
      </c>
      <c r="G155" s="185">
        <v>0.85</v>
      </c>
      <c r="H155" s="185">
        <v>0.85</v>
      </c>
      <c r="I155" s="185">
        <v>0.85</v>
      </c>
      <c r="J155" s="185">
        <v>0.85</v>
      </c>
      <c r="K155" s="185">
        <v>0.85</v>
      </c>
      <c r="L155" s="185">
        <v>0.85</v>
      </c>
      <c r="M155" s="185">
        <v>0.85</v>
      </c>
      <c r="N155" s="185">
        <v>0.85</v>
      </c>
      <c r="O155" s="185">
        <v>0.85</v>
      </c>
      <c r="P155" s="185">
        <v>0.85</v>
      </c>
      <c r="Q155" s="185">
        <v>0.85</v>
      </c>
      <c r="R155" s="185">
        <v>0.85</v>
      </c>
      <c r="S155" s="185">
        <v>0.85</v>
      </c>
      <c r="T155" s="185">
        <v>0.85</v>
      </c>
      <c r="U155" s="185">
        <v>0.85</v>
      </c>
      <c r="V155" s="185">
        <v>0.85</v>
      </c>
      <c r="W155" s="185">
        <v>0.85</v>
      </c>
      <c r="X155" s="185">
        <v>0.85</v>
      </c>
      <c r="Y155" s="185">
        <v>0.85</v>
      </c>
      <c r="Z155" s="185">
        <v>0.85</v>
      </c>
      <c r="AA155" s="185">
        <v>0.85</v>
      </c>
      <c r="AB155" s="185">
        <v>0.85</v>
      </c>
      <c r="AC155" s="185">
        <v>0.85</v>
      </c>
      <c r="AD155" s="185">
        <v>0.85</v>
      </c>
      <c r="AE155" s="185">
        <v>0.85</v>
      </c>
      <c r="AF155" s="185">
        <v>0.85</v>
      </c>
      <c r="AG155" s="186">
        <v>0.85</v>
      </c>
    </row>
    <row r="156" spans="1:33" hidden="1" outlineLevel="1" x14ac:dyDescent="0.25">
      <c r="A156" s="102">
        <v>8.3333333333333329E-2</v>
      </c>
      <c r="B156" s="128">
        <v>0.10416666666666667</v>
      </c>
      <c r="C156" s="184">
        <v>0.85</v>
      </c>
      <c r="D156" s="185">
        <v>0.85</v>
      </c>
      <c r="E156" s="185">
        <v>0.85</v>
      </c>
      <c r="F156" s="185">
        <v>0.85</v>
      </c>
      <c r="G156" s="185">
        <v>0.85</v>
      </c>
      <c r="H156" s="185">
        <v>0.85</v>
      </c>
      <c r="I156" s="185">
        <v>0.85</v>
      </c>
      <c r="J156" s="185">
        <v>0.85</v>
      </c>
      <c r="K156" s="185">
        <v>0.85</v>
      </c>
      <c r="L156" s="185">
        <v>0.85</v>
      </c>
      <c r="M156" s="185">
        <v>0.85</v>
      </c>
      <c r="N156" s="185">
        <v>0.85</v>
      </c>
      <c r="O156" s="185">
        <v>0.85</v>
      </c>
      <c r="P156" s="185">
        <v>0.85</v>
      </c>
      <c r="Q156" s="185">
        <v>0.85</v>
      </c>
      <c r="R156" s="185">
        <v>0.85</v>
      </c>
      <c r="S156" s="185">
        <v>0.85</v>
      </c>
      <c r="T156" s="185">
        <v>0.85</v>
      </c>
      <c r="U156" s="185">
        <v>0.85</v>
      </c>
      <c r="V156" s="185">
        <v>0.85</v>
      </c>
      <c r="W156" s="185">
        <v>0.85</v>
      </c>
      <c r="X156" s="185">
        <v>0.85</v>
      </c>
      <c r="Y156" s="185">
        <v>0.85</v>
      </c>
      <c r="Z156" s="185">
        <v>0.85</v>
      </c>
      <c r="AA156" s="185">
        <v>0.85</v>
      </c>
      <c r="AB156" s="185">
        <v>0.85</v>
      </c>
      <c r="AC156" s="185">
        <v>0.85</v>
      </c>
      <c r="AD156" s="185">
        <v>0.85</v>
      </c>
      <c r="AE156" s="185">
        <v>0.85</v>
      </c>
      <c r="AF156" s="185">
        <v>0.85</v>
      </c>
      <c r="AG156" s="186">
        <v>0.85</v>
      </c>
    </row>
    <row r="157" spans="1:33" hidden="1" outlineLevel="1" x14ac:dyDescent="0.25">
      <c r="A157" s="102">
        <v>0.10416666666666667</v>
      </c>
      <c r="B157" s="128">
        <v>0.125</v>
      </c>
      <c r="C157" s="184">
        <v>0.85</v>
      </c>
      <c r="D157" s="185">
        <v>0.85</v>
      </c>
      <c r="E157" s="185">
        <v>0.85</v>
      </c>
      <c r="F157" s="185">
        <v>0.85</v>
      </c>
      <c r="G157" s="185">
        <v>0.85</v>
      </c>
      <c r="H157" s="185">
        <v>0.85</v>
      </c>
      <c r="I157" s="185">
        <v>0.85</v>
      </c>
      <c r="J157" s="185">
        <v>0.85</v>
      </c>
      <c r="K157" s="185">
        <v>0.85</v>
      </c>
      <c r="L157" s="185">
        <v>0.85</v>
      </c>
      <c r="M157" s="185">
        <v>0.85</v>
      </c>
      <c r="N157" s="185">
        <v>0.85</v>
      </c>
      <c r="O157" s="185">
        <v>0.85</v>
      </c>
      <c r="P157" s="185">
        <v>0.85</v>
      </c>
      <c r="Q157" s="185">
        <v>0.85</v>
      </c>
      <c r="R157" s="185">
        <v>0.85</v>
      </c>
      <c r="S157" s="185">
        <v>0.85</v>
      </c>
      <c r="T157" s="185">
        <v>0.85</v>
      </c>
      <c r="U157" s="185">
        <v>0.85</v>
      </c>
      <c r="V157" s="185">
        <v>0.85</v>
      </c>
      <c r="W157" s="185">
        <v>0.85</v>
      </c>
      <c r="X157" s="185">
        <v>0.85</v>
      </c>
      <c r="Y157" s="185">
        <v>0.85</v>
      </c>
      <c r="Z157" s="185">
        <v>0.85</v>
      </c>
      <c r="AA157" s="185">
        <v>0.85</v>
      </c>
      <c r="AB157" s="185">
        <v>0.85</v>
      </c>
      <c r="AC157" s="185">
        <v>0.85</v>
      </c>
      <c r="AD157" s="185">
        <v>0.85</v>
      </c>
      <c r="AE157" s="185">
        <v>0.85</v>
      </c>
      <c r="AF157" s="185">
        <v>0.85</v>
      </c>
      <c r="AG157" s="186">
        <v>0.85</v>
      </c>
    </row>
    <row r="158" spans="1:33" hidden="1" outlineLevel="1" x14ac:dyDescent="0.25">
      <c r="A158" s="102">
        <v>0.125</v>
      </c>
      <c r="B158" s="128">
        <v>0.14583333333333334</v>
      </c>
      <c r="C158" s="184">
        <v>0.85</v>
      </c>
      <c r="D158" s="185">
        <v>0.85</v>
      </c>
      <c r="E158" s="185">
        <v>0.85</v>
      </c>
      <c r="F158" s="185">
        <v>0.85</v>
      </c>
      <c r="G158" s="185">
        <v>0.85</v>
      </c>
      <c r="H158" s="185">
        <v>0.85</v>
      </c>
      <c r="I158" s="185">
        <v>0.85</v>
      </c>
      <c r="J158" s="185">
        <v>0.85</v>
      </c>
      <c r="K158" s="185">
        <v>0.85</v>
      </c>
      <c r="L158" s="185">
        <v>0.85</v>
      </c>
      <c r="M158" s="185">
        <v>0.85</v>
      </c>
      <c r="N158" s="185">
        <v>0.85</v>
      </c>
      <c r="O158" s="185">
        <v>0.85</v>
      </c>
      <c r="P158" s="185">
        <v>0.85</v>
      </c>
      <c r="Q158" s="185">
        <v>0.85</v>
      </c>
      <c r="R158" s="185">
        <v>0.85</v>
      </c>
      <c r="S158" s="185">
        <v>0.85</v>
      </c>
      <c r="T158" s="185">
        <v>0.85</v>
      </c>
      <c r="U158" s="185">
        <v>0.85</v>
      </c>
      <c r="V158" s="185">
        <v>0.85</v>
      </c>
      <c r="W158" s="185">
        <v>0.85</v>
      </c>
      <c r="X158" s="185">
        <v>0.85</v>
      </c>
      <c r="Y158" s="185">
        <v>0.85</v>
      </c>
      <c r="Z158" s="185">
        <v>0.85</v>
      </c>
      <c r="AA158" s="185">
        <v>0.85</v>
      </c>
      <c r="AB158" s="185">
        <v>0.85</v>
      </c>
      <c r="AC158" s="185">
        <v>0.85</v>
      </c>
      <c r="AD158" s="185">
        <v>0.85</v>
      </c>
      <c r="AE158" s="185">
        <v>0.85</v>
      </c>
      <c r="AF158" s="185">
        <v>0.85</v>
      </c>
      <c r="AG158" s="186">
        <v>0.85</v>
      </c>
    </row>
    <row r="159" spans="1:33" hidden="1" outlineLevel="1" x14ac:dyDescent="0.25">
      <c r="A159" s="102">
        <v>0.14583333333333334</v>
      </c>
      <c r="B159" s="128">
        <v>0.16666666666666666</v>
      </c>
      <c r="C159" s="184">
        <v>0.85</v>
      </c>
      <c r="D159" s="185">
        <v>0.85</v>
      </c>
      <c r="E159" s="185">
        <v>0.85</v>
      </c>
      <c r="F159" s="185">
        <v>0.85</v>
      </c>
      <c r="G159" s="185">
        <v>0.85</v>
      </c>
      <c r="H159" s="185">
        <v>0.85</v>
      </c>
      <c r="I159" s="185">
        <v>0.85</v>
      </c>
      <c r="J159" s="185">
        <v>0.85</v>
      </c>
      <c r="K159" s="185">
        <v>0.85</v>
      </c>
      <c r="L159" s="185">
        <v>0.85</v>
      </c>
      <c r="M159" s="185">
        <v>0.85</v>
      </c>
      <c r="N159" s="185">
        <v>0.85</v>
      </c>
      <c r="O159" s="185">
        <v>0.85</v>
      </c>
      <c r="P159" s="185">
        <v>0.85</v>
      </c>
      <c r="Q159" s="185">
        <v>0.85</v>
      </c>
      <c r="R159" s="185">
        <v>0.85</v>
      </c>
      <c r="S159" s="185">
        <v>0.85</v>
      </c>
      <c r="T159" s="185">
        <v>0.85</v>
      </c>
      <c r="U159" s="185">
        <v>0.85</v>
      </c>
      <c r="V159" s="185">
        <v>0.85</v>
      </c>
      <c r="W159" s="185">
        <v>0.85</v>
      </c>
      <c r="X159" s="185">
        <v>0.85</v>
      </c>
      <c r="Y159" s="185">
        <v>0.85</v>
      </c>
      <c r="Z159" s="185">
        <v>0.85</v>
      </c>
      <c r="AA159" s="185">
        <v>0.85</v>
      </c>
      <c r="AB159" s="185">
        <v>0.85</v>
      </c>
      <c r="AC159" s="185">
        <v>0.85</v>
      </c>
      <c r="AD159" s="185">
        <v>0.85</v>
      </c>
      <c r="AE159" s="185">
        <v>0.85</v>
      </c>
      <c r="AF159" s="185">
        <v>0.85</v>
      </c>
      <c r="AG159" s="186">
        <v>0.85</v>
      </c>
    </row>
    <row r="160" spans="1:33" hidden="1" outlineLevel="1" x14ac:dyDescent="0.25">
      <c r="A160" s="102">
        <v>0.16666666666666666</v>
      </c>
      <c r="B160" s="128">
        <v>0.1875</v>
      </c>
      <c r="C160" s="184">
        <v>0.85</v>
      </c>
      <c r="D160" s="185">
        <v>0.85</v>
      </c>
      <c r="E160" s="185">
        <v>0.85</v>
      </c>
      <c r="F160" s="185">
        <v>0.85</v>
      </c>
      <c r="G160" s="185">
        <v>0.85</v>
      </c>
      <c r="H160" s="185">
        <v>0.85</v>
      </c>
      <c r="I160" s="185">
        <v>0.85</v>
      </c>
      <c r="J160" s="185">
        <v>0.85</v>
      </c>
      <c r="K160" s="185">
        <v>0.85</v>
      </c>
      <c r="L160" s="185">
        <v>0.85</v>
      </c>
      <c r="M160" s="185">
        <v>0.85</v>
      </c>
      <c r="N160" s="185">
        <v>0.85</v>
      </c>
      <c r="O160" s="185">
        <v>0.85</v>
      </c>
      <c r="P160" s="185">
        <v>0.85</v>
      </c>
      <c r="Q160" s="185">
        <v>0.85</v>
      </c>
      <c r="R160" s="185">
        <v>0.85</v>
      </c>
      <c r="S160" s="185">
        <v>0.85</v>
      </c>
      <c r="T160" s="185">
        <v>0.85</v>
      </c>
      <c r="U160" s="185">
        <v>0.85</v>
      </c>
      <c r="V160" s="185">
        <v>0.85</v>
      </c>
      <c r="W160" s="185">
        <v>0.85</v>
      </c>
      <c r="X160" s="185">
        <v>0.85</v>
      </c>
      <c r="Y160" s="185">
        <v>0.85</v>
      </c>
      <c r="Z160" s="185">
        <v>0.85</v>
      </c>
      <c r="AA160" s="185">
        <v>0.85</v>
      </c>
      <c r="AB160" s="185">
        <v>0.85</v>
      </c>
      <c r="AC160" s="185">
        <v>0.85</v>
      </c>
      <c r="AD160" s="185">
        <v>0.85</v>
      </c>
      <c r="AE160" s="185">
        <v>0.85</v>
      </c>
      <c r="AF160" s="185">
        <v>0.85</v>
      </c>
      <c r="AG160" s="186">
        <v>0.85</v>
      </c>
    </row>
    <row r="161" spans="1:33" hidden="1" outlineLevel="1" x14ac:dyDescent="0.25">
      <c r="A161" s="102">
        <v>0.1875</v>
      </c>
      <c r="B161" s="128">
        <v>0.20833333333333334</v>
      </c>
      <c r="C161" s="184">
        <v>0.85</v>
      </c>
      <c r="D161" s="185">
        <v>0.85</v>
      </c>
      <c r="E161" s="185">
        <v>0.85</v>
      </c>
      <c r="F161" s="185">
        <v>0.85</v>
      </c>
      <c r="G161" s="185">
        <v>0.85</v>
      </c>
      <c r="H161" s="185">
        <v>0.85</v>
      </c>
      <c r="I161" s="185">
        <v>0.85</v>
      </c>
      <c r="J161" s="185">
        <v>0.85</v>
      </c>
      <c r="K161" s="185">
        <v>0.85</v>
      </c>
      <c r="L161" s="185">
        <v>0.85</v>
      </c>
      <c r="M161" s="185">
        <v>0.85</v>
      </c>
      <c r="N161" s="185">
        <v>0.85</v>
      </c>
      <c r="O161" s="185">
        <v>0.85</v>
      </c>
      <c r="P161" s="185">
        <v>0.85</v>
      </c>
      <c r="Q161" s="185">
        <v>0.85</v>
      </c>
      <c r="R161" s="185">
        <v>0.85</v>
      </c>
      <c r="S161" s="185">
        <v>0.85</v>
      </c>
      <c r="T161" s="185">
        <v>0.85</v>
      </c>
      <c r="U161" s="185">
        <v>0.85</v>
      </c>
      <c r="V161" s="185">
        <v>0.85</v>
      </c>
      <c r="W161" s="185">
        <v>0.85</v>
      </c>
      <c r="X161" s="185">
        <v>0.85</v>
      </c>
      <c r="Y161" s="185">
        <v>0.85</v>
      </c>
      <c r="Z161" s="185">
        <v>0.85</v>
      </c>
      <c r="AA161" s="185">
        <v>0.85</v>
      </c>
      <c r="AB161" s="185">
        <v>0.85</v>
      </c>
      <c r="AC161" s="185">
        <v>0.85</v>
      </c>
      <c r="AD161" s="185">
        <v>0.85</v>
      </c>
      <c r="AE161" s="185">
        <v>0.85</v>
      </c>
      <c r="AF161" s="185">
        <v>0.85</v>
      </c>
      <c r="AG161" s="186">
        <v>0.85</v>
      </c>
    </row>
    <row r="162" spans="1:33" hidden="1" outlineLevel="1" x14ac:dyDescent="0.25">
      <c r="A162" s="102">
        <v>0.20833333333333334</v>
      </c>
      <c r="B162" s="128">
        <v>0.22916666666666666</v>
      </c>
      <c r="C162" s="184">
        <v>0.85</v>
      </c>
      <c r="D162" s="185">
        <v>0.85</v>
      </c>
      <c r="E162" s="185">
        <v>0.85</v>
      </c>
      <c r="F162" s="185">
        <v>0.85</v>
      </c>
      <c r="G162" s="185">
        <v>0.85</v>
      </c>
      <c r="H162" s="185">
        <v>0.85</v>
      </c>
      <c r="I162" s="185">
        <v>0.85</v>
      </c>
      <c r="J162" s="185">
        <v>0.85</v>
      </c>
      <c r="K162" s="185">
        <v>0.85</v>
      </c>
      <c r="L162" s="185">
        <v>0.85</v>
      </c>
      <c r="M162" s="185">
        <v>0.85</v>
      </c>
      <c r="N162" s="185">
        <v>0.85</v>
      </c>
      <c r="O162" s="185">
        <v>0.85</v>
      </c>
      <c r="P162" s="185">
        <v>0.85</v>
      </c>
      <c r="Q162" s="185">
        <v>0.85</v>
      </c>
      <c r="R162" s="185">
        <v>0.85</v>
      </c>
      <c r="S162" s="185">
        <v>0.85</v>
      </c>
      <c r="T162" s="185">
        <v>0.85</v>
      </c>
      <c r="U162" s="185">
        <v>0.85</v>
      </c>
      <c r="V162" s="185">
        <v>0.85</v>
      </c>
      <c r="W162" s="185">
        <v>0.85</v>
      </c>
      <c r="X162" s="185">
        <v>0.85</v>
      </c>
      <c r="Y162" s="185">
        <v>0.85</v>
      </c>
      <c r="Z162" s="185">
        <v>0.85</v>
      </c>
      <c r="AA162" s="185">
        <v>0.85</v>
      </c>
      <c r="AB162" s="185">
        <v>0.85</v>
      </c>
      <c r="AC162" s="185">
        <v>0.85</v>
      </c>
      <c r="AD162" s="185">
        <v>0.85</v>
      </c>
      <c r="AE162" s="185">
        <v>0.85</v>
      </c>
      <c r="AF162" s="185">
        <v>0.85</v>
      </c>
      <c r="AG162" s="186">
        <v>0.85</v>
      </c>
    </row>
    <row r="163" spans="1:33" hidden="1" outlineLevel="1" x14ac:dyDescent="0.25">
      <c r="A163" s="102">
        <v>0.22916666666666666</v>
      </c>
      <c r="B163" s="128">
        <v>0.25</v>
      </c>
      <c r="C163" s="184">
        <v>0.85</v>
      </c>
      <c r="D163" s="185">
        <v>0.85</v>
      </c>
      <c r="E163" s="185">
        <v>0.85</v>
      </c>
      <c r="F163" s="185">
        <v>0.85</v>
      </c>
      <c r="G163" s="185">
        <v>0.85</v>
      </c>
      <c r="H163" s="185">
        <v>0.85</v>
      </c>
      <c r="I163" s="185">
        <v>0.85</v>
      </c>
      <c r="J163" s="185">
        <v>0.85</v>
      </c>
      <c r="K163" s="185">
        <v>0.85</v>
      </c>
      <c r="L163" s="185">
        <v>0.85</v>
      </c>
      <c r="M163" s="185">
        <v>0.85</v>
      </c>
      <c r="N163" s="185">
        <v>0.85</v>
      </c>
      <c r="O163" s="185">
        <v>0.85</v>
      </c>
      <c r="P163" s="185">
        <v>0.85</v>
      </c>
      <c r="Q163" s="185">
        <v>0.85</v>
      </c>
      <c r="R163" s="185">
        <v>0.85</v>
      </c>
      <c r="S163" s="185">
        <v>0.85</v>
      </c>
      <c r="T163" s="185">
        <v>0.85</v>
      </c>
      <c r="U163" s="185">
        <v>0.85</v>
      </c>
      <c r="V163" s="185">
        <v>0.85</v>
      </c>
      <c r="W163" s="185">
        <v>0.85</v>
      </c>
      <c r="X163" s="185">
        <v>0.85</v>
      </c>
      <c r="Y163" s="185">
        <v>0.85</v>
      </c>
      <c r="Z163" s="185">
        <v>0.85</v>
      </c>
      <c r="AA163" s="185">
        <v>0.85</v>
      </c>
      <c r="AB163" s="185">
        <v>0.85</v>
      </c>
      <c r="AC163" s="185">
        <v>0.85</v>
      </c>
      <c r="AD163" s="185">
        <v>0.85</v>
      </c>
      <c r="AE163" s="185">
        <v>0.85</v>
      </c>
      <c r="AF163" s="185">
        <v>0.85</v>
      </c>
      <c r="AG163" s="186">
        <v>0.85</v>
      </c>
    </row>
    <row r="164" spans="1:33" hidden="1" outlineLevel="1" x14ac:dyDescent="0.25">
      <c r="A164" s="102">
        <v>0.25</v>
      </c>
      <c r="B164" s="128">
        <v>0.27083333333333331</v>
      </c>
      <c r="C164" s="184">
        <v>0.85</v>
      </c>
      <c r="D164" s="185">
        <v>0.85</v>
      </c>
      <c r="E164" s="185">
        <v>0.85</v>
      </c>
      <c r="F164" s="185">
        <v>0.85</v>
      </c>
      <c r="G164" s="185">
        <v>0.85</v>
      </c>
      <c r="H164" s="185">
        <v>0.85</v>
      </c>
      <c r="I164" s="185">
        <v>0.85</v>
      </c>
      <c r="J164" s="185">
        <v>0.85</v>
      </c>
      <c r="K164" s="185">
        <v>0.85</v>
      </c>
      <c r="L164" s="185">
        <v>0.85</v>
      </c>
      <c r="M164" s="185">
        <v>0.85</v>
      </c>
      <c r="N164" s="185">
        <v>0.85</v>
      </c>
      <c r="O164" s="185">
        <v>0.85</v>
      </c>
      <c r="P164" s="185">
        <v>0.85</v>
      </c>
      <c r="Q164" s="185">
        <v>0.85</v>
      </c>
      <c r="R164" s="185">
        <v>0.85</v>
      </c>
      <c r="S164" s="185">
        <v>0.85</v>
      </c>
      <c r="T164" s="185">
        <v>0.85</v>
      </c>
      <c r="U164" s="185">
        <v>0.85</v>
      </c>
      <c r="V164" s="185">
        <v>0.85</v>
      </c>
      <c r="W164" s="185">
        <v>0.85</v>
      </c>
      <c r="X164" s="185">
        <v>0.85</v>
      </c>
      <c r="Y164" s="185">
        <v>0.85</v>
      </c>
      <c r="Z164" s="185">
        <v>0.85</v>
      </c>
      <c r="AA164" s="185">
        <v>0.85</v>
      </c>
      <c r="AB164" s="185">
        <v>0.85</v>
      </c>
      <c r="AC164" s="185">
        <v>0.85</v>
      </c>
      <c r="AD164" s="185">
        <v>0.85</v>
      </c>
      <c r="AE164" s="185">
        <v>0.85</v>
      </c>
      <c r="AF164" s="185">
        <v>0.85</v>
      </c>
      <c r="AG164" s="186">
        <v>0.85</v>
      </c>
    </row>
    <row r="165" spans="1:33" ht="15.75" hidden="1" outlineLevel="1" thickBot="1" x14ac:dyDescent="0.3">
      <c r="A165" s="104">
        <v>0.27083333333333331</v>
      </c>
      <c r="B165" s="131">
        <v>0.29166666666666669</v>
      </c>
      <c r="C165" s="187">
        <v>0.85</v>
      </c>
      <c r="D165" s="188">
        <v>0.85</v>
      </c>
      <c r="E165" s="188">
        <v>0.85</v>
      </c>
      <c r="F165" s="188">
        <v>0.85</v>
      </c>
      <c r="G165" s="188">
        <v>0.85</v>
      </c>
      <c r="H165" s="188">
        <v>0.85</v>
      </c>
      <c r="I165" s="188">
        <v>0.85</v>
      </c>
      <c r="J165" s="188">
        <v>0.85</v>
      </c>
      <c r="K165" s="188">
        <v>0.85</v>
      </c>
      <c r="L165" s="188">
        <v>0.85</v>
      </c>
      <c r="M165" s="188">
        <v>0.85</v>
      </c>
      <c r="N165" s="188">
        <v>0.85</v>
      </c>
      <c r="O165" s="188">
        <v>0.85</v>
      </c>
      <c r="P165" s="188">
        <v>0.85</v>
      </c>
      <c r="Q165" s="188">
        <v>0.85</v>
      </c>
      <c r="R165" s="188">
        <v>0.85</v>
      </c>
      <c r="S165" s="188">
        <v>0.85</v>
      </c>
      <c r="T165" s="188">
        <v>0.85</v>
      </c>
      <c r="U165" s="188">
        <v>0.85</v>
      </c>
      <c r="V165" s="188">
        <v>0.85</v>
      </c>
      <c r="W165" s="188">
        <v>0.85</v>
      </c>
      <c r="X165" s="188">
        <v>0.85</v>
      </c>
      <c r="Y165" s="188">
        <v>0.85</v>
      </c>
      <c r="Z165" s="188">
        <v>0.85</v>
      </c>
      <c r="AA165" s="188">
        <v>0.85</v>
      </c>
      <c r="AB165" s="188">
        <v>0.85</v>
      </c>
      <c r="AC165" s="188">
        <v>0.85</v>
      </c>
      <c r="AD165" s="188">
        <v>0.85</v>
      </c>
      <c r="AE165" s="188">
        <v>0.85</v>
      </c>
      <c r="AF165" s="188">
        <v>0.85</v>
      </c>
      <c r="AG165" s="189">
        <v>0.85</v>
      </c>
    </row>
    <row r="166" spans="1:33" hidden="1" outlineLevel="1" x14ac:dyDescent="0.25">
      <c r="A166" s="106">
        <v>0.29166666666666669</v>
      </c>
      <c r="B166" s="124">
        <v>0.3125</v>
      </c>
      <c r="C166" s="175">
        <v>0.85</v>
      </c>
      <c r="D166" s="174">
        <v>0.85</v>
      </c>
      <c r="E166" s="174">
        <v>0.85</v>
      </c>
      <c r="F166" s="174">
        <v>0.85</v>
      </c>
      <c r="G166" s="174">
        <v>0.85</v>
      </c>
      <c r="H166" s="174">
        <v>0.85</v>
      </c>
      <c r="I166" s="174">
        <v>0.85</v>
      </c>
      <c r="J166" s="174">
        <v>0.85</v>
      </c>
      <c r="K166" s="174">
        <v>0.85</v>
      </c>
      <c r="L166" s="174">
        <v>0.85</v>
      </c>
      <c r="M166" s="174">
        <v>0.85</v>
      </c>
      <c r="N166" s="174">
        <v>0.85</v>
      </c>
      <c r="O166" s="174">
        <v>0.85</v>
      </c>
      <c r="P166" s="174">
        <v>0.85</v>
      </c>
      <c r="Q166" s="174">
        <v>0.85</v>
      </c>
      <c r="R166" s="174">
        <v>0.85</v>
      </c>
      <c r="S166" s="174">
        <v>0.85</v>
      </c>
      <c r="T166" s="174">
        <v>0.85</v>
      </c>
      <c r="U166" s="174">
        <v>0.85</v>
      </c>
      <c r="V166" s="174">
        <v>0.85</v>
      </c>
      <c r="W166" s="174">
        <v>0.85</v>
      </c>
      <c r="X166" s="174">
        <v>0.85</v>
      </c>
      <c r="Y166" s="174">
        <v>0.85</v>
      </c>
      <c r="Z166" s="174">
        <v>0.85</v>
      </c>
      <c r="AA166" s="174">
        <v>0.85</v>
      </c>
      <c r="AB166" s="174">
        <v>0.85</v>
      </c>
      <c r="AC166" s="174">
        <v>0.85</v>
      </c>
      <c r="AD166" s="174">
        <v>0.85</v>
      </c>
      <c r="AE166" s="174">
        <v>0.85</v>
      </c>
      <c r="AF166" s="174">
        <v>0.85</v>
      </c>
      <c r="AG166" s="190">
        <v>0.85</v>
      </c>
    </row>
    <row r="167" spans="1:33" hidden="1" outlineLevel="1" x14ac:dyDescent="0.25">
      <c r="A167" s="103">
        <v>0.3125</v>
      </c>
      <c r="B167" s="123">
        <v>0.33333333333333331</v>
      </c>
      <c r="C167" s="176">
        <v>0.85</v>
      </c>
      <c r="D167" s="6">
        <v>0.85</v>
      </c>
      <c r="E167" s="6">
        <v>0.85</v>
      </c>
      <c r="F167" s="6">
        <v>0.85</v>
      </c>
      <c r="G167" s="6">
        <v>0.85</v>
      </c>
      <c r="H167" s="6">
        <v>0.85</v>
      </c>
      <c r="I167" s="6">
        <v>0.85</v>
      </c>
      <c r="J167" s="6">
        <v>0.85</v>
      </c>
      <c r="K167" s="6">
        <v>0.85</v>
      </c>
      <c r="L167" s="6">
        <v>0.85</v>
      </c>
      <c r="M167" s="6">
        <v>0.85</v>
      </c>
      <c r="N167" s="6">
        <v>0.85</v>
      </c>
      <c r="O167" s="6">
        <v>0.85</v>
      </c>
      <c r="P167" s="6">
        <v>0.85</v>
      </c>
      <c r="Q167" s="6">
        <v>0.85</v>
      </c>
      <c r="R167" s="6">
        <v>0.85</v>
      </c>
      <c r="S167" s="6">
        <v>0.85</v>
      </c>
      <c r="T167" s="6">
        <v>0.85</v>
      </c>
      <c r="U167" s="6">
        <v>0.85</v>
      </c>
      <c r="V167" s="6">
        <v>0.85</v>
      </c>
      <c r="W167" s="6">
        <v>0.85</v>
      </c>
      <c r="X167" s="6">
        <v>0.85</v>
      </c>
      <c r="Y167" s="6">
        <v>0.85</v>
      </c>
      <c r="Z167" s="6">
        <v>0.85</v>
      </c>
      <c r="AA167" s="6">
        <v>0.85</v>
      </c>
      <c r="AB167" s="6">
        <v>0.85</v>
      </c>
      <c r="AC167" s="6">
        <v>0.85</v>
      </c>
      <c r="AD167" s="6">
        <v>0.85</v>
      </c>
      <c r="AE167" s="6">
        <v>0.85</v>
      </c>
      <c r="AF167" s="6">
        <v>0.85</v>
      </c>
      <c r="AG167" s="177">
        <v>0.85</v>
      </c>
    </row>
    <row r="168" spans="1:33" hidden="1" outlineLevel="1" x14ac:dyDescent="0.25">
      <c r="A168" s="103">
        <v>0.33333333333333331</v>
      </c>
      <c r="B168" s="123">
        <v>0.35416666666666669</v>
      </c>
      <c r="C168" s="176">
        <v>0.85</v>
      </c>
      <c r="D168" s="6">
        <v>0.85</v>
      </c>
      <c r="E168" s="6">
        <v>0.85</v>
      </c>
      <c r="F168" s="6">
        <v>0.85</v>
      </c>
      <c r="G168" s="6">
        <v>0.85</v>
      </c>
      <c r="H168" s="6">
        <v>0.85</v>
      </c>
      <c r="I168" s="6">
        <v>0.85</v>
      </c>
      <c r="J168" s="6">
        <v>0.85</v>
      </c>
      <c r="K168" s="6">
        <v>0.85</v>
      </c>
      <c r="L168" s="6">
        <v>0.85</v>
      </c>
      <c r="M168" s="6">
        <v>0.85</v>
      </c>
      <c r="N168" s="6">
        <v>0.85</v>
      </c>
      <c r="O168" s="6">
        <v>0.85</v>
      </c>
      <c r="P168" s="6">
        <v>0.85</v>
      </c>
      <c r="Q168" s="6">
        <v>0.85</v>
      </c>
      <c r="R168" s="6">
        <v>0.85</v>
      </c>
      <c r="S168" s="6">
        <v>0.85</v>
      </c>
      <c r="T168" s="6">
        <v>0.85</v>
      </c>
      <c r="U168" s="6">
        <v>0.85</v>
      </c>
      <c r="V168" s="6">
        <v>0.85</v>
      </c>
      <c r="W168" s="6">
        <v>0.85</v>
      </c>
      <c r="X168" s="6">
        <v>0.85</v>
      </c>
      <c r="Y168" s="6">
        <v>0.85</v>
      </c>
      <c r="Z168" s="6">
        <v>0.85</v>
      </c>
      <c r="AA168" s="6">
        <v>0.85</v>
      </c>
      <c r="AB168" s="6">
        <v>0.85</v>
      </c>
      <c r="AC168" s="6">
        <v>0.85</v>
      </c>
      <c r="AD168" s="6">
        <v>0.85</v>
      </c>
      <c r="AE168" s="6">
        <v>0.85</v>
      </c>
      <c r="AF168" s="6">
        <v>0.85</v>
      </c>
      <c r="AG168" s="177">
        <v>0.85</v>
      </c>
    </row>
    <row r="169" spans="1:33" hidden="1" outlineLevel="1" x14ac:dyDescent="0.25">
      <c r="A169" s="103">
        <v>0.35416666666666669</v>
      </c>
      <c r="B169" s="123">
        <v>0.375</v>
      </c>
      <c r="C169" s="176">
        <v>0.85</v>
      </c>
      <c r="D169" s="6">
        <v>0.85</v>
      </c>
      <c r="E169" s="6">
        <v>0.85</v>
      </c>
      <c r="F169" s="6">
        <v>0.85</v>
      </c>
      <c r="G169" s="6">
        <v>0.85</v>
      </c>
      <c r="H169" s="6">
        <v>0.85</v>
      </c>
      <c r="I169" s="6">
        <v>0.85</v>
      </c>
      <c r="J169" s="6">
        <v>0.85</v>
      </c>
      <c r="K169" s="6">
        <v>0.85</v>
      </c>
      <c r="L169" s="6">
        <v>0.85</v>
      </c>
      <c r="M169" s="6">
        <v>0.85</v>
      </c>
      <c r="N169" s="6">
        <v>0.85</v>
      </c>
      <c r="O169" s="6">
        <v>0.85</v>
      </c>
      <c r="P169" s="6">
        <v>0.85</v>
      </c>
      <c r="Q169" s="6">
        <v>0.85</v>
      </c>
      <c r="R169" s="6">
        <v>0.85</v>
      </c>
      <c r="S169" s="6">
        <v>0.85</v>
      </c>
      <c r="T169" s="6">
        <v>0.85</v>
      </c>
      <c r="U169" s="6">
        <v>0.85</v>
      </c>
      <c r="V169" s="6">
        <v>0.85</v>
      </c>
      <c r="W169" s="6">
        <v>0.85</v>
      </c>
      <c r="X169" s="6">
        <v>0.85</v>
      </c>
      <c r="Y169" s="6">
        <v>0.85</v>
      </c>
      <c r="Z169" s="6">
        <v>0.85</v>
      </c>
      <c r="AA169" s="6">
        <v>0.85</v>
      </c>
      <c r="AB169" s="6">
        <v>0.85</v>
      </c>
      <c r="AC169" s="6">
        <v>0.85</v>
      </c>
      <c r="AD169" s="6">
        <v>0.85</v>
      </c>
      <c r="AE169" s="6">
        <v>0.85</v>
      </c>
      <c r="AF169" s="6">
        <v>0.85</v>
      </c>
      <c r="AG169" s="177">
        <v>0.85</v>
      </c>
    </row>
    <row r="170" spans="1:33" hidden="1" outlineLevel="1" x14ac:dyDescent="0.25">
      <c r="A170" s="103">
        <v>0.375</v>
      </c>
      <c r="B170" s="123">
        <v>0.39583333333333331</v>
      </c>
      <c r="C170" s="176">
        <v>0.85</v>
      </c>
      <c r="D170" s="6">
        <v>0.85</v>
      </c>
      <c r="E170" s="6">
        <v>0.85</v>
      </c>
      <c r="F170" s="6">
        <v>0.85</v>
      </c>
      <c r="G170" s="6">
        <v>0.85</v>
      </c>
      <c r="H170" s="6">
        <v>0.85</v>
      </c>
      <c r="I170" s="6">
        <v>0.85</v>
      </c>
      <c r="J170" s="6">
        <v>0.85</v>
      </c>
      <c r="K170" s="6">
        <v>0.85</v>
      </c>
      <c r="L170" s="6">
        <v>0.85</v>
      </c>
      <c r="M170" s="6">
        <v>0.85</v>
      </c>
      <c r="N170" s="6">
        <v>0.85</v>
      </c>
      <c r="O170" s="6">
        <v>0.85</v>
      </c>
      <c r="P170" s="6">
        <v>0.85</v>
      </c>
      <c r="Q170" s="6">
        <v>0.85</v>
      </c>
      <c r="R170" s="6">
        <v>0.85</v>
      </c>
      <c r="S170" s="6">
        <v>0.85</v>
      </c>
      <c r="T170" s="6">
        <v>0.85</v>
      </c>
      <c r="U170" s="6">
        <v>0.85</v>
      </c>
      <c r="V170" s="6">
        <v>0.85</v>
      </c>
      <c r="W170" s="6">
        <v>0.85</v>
      </c>
      <c r="X170" s="6">
        <v>0.85</v>
      </c>
      <c r="Y170" s="6">
        <v>0.85</v>
      </c>
      <c r="Z170" s="6">
        <v>0.85</v>
      </c>
      <c r="AA170" s="6">
        <v>0.85</v>
      </c>
      <c r="AB170" s="6">
        <v>0.85</v>
      </c>
      <c r="AC170" s="6">
        <v>0.85</v>
      </c>
      <c r="AD170" s="6">
        <v>0.85</v>
      </c>
      <c r="AE170" s="6">
        <v>0.85</v>
      </c>
      <c r="AF170" s="6">
        <v>0.85</v>
      </c>
      <c r="AG170" s="177">
        <v>0.85</v>
      </c>
    </row>
    <row r="171" spans="1:33" hidden="1" outlineLevel="1" x14ac:dyDescent="0.25">
      <c r="A171" s="103">
        <v>0.39583333333333331</v>
      </c>
      <c r="B171" s="123">
        <v>0.41666666666666669</v>
      </c>
      <c r="C171" s="176">
        <v>0.85</v>
      </c>
      <c r="D171" s="6">
        <v>0.85</v>
      </c>
      <c r="E171" s="6">
        <v>0.85</v>
      </c>
      <c r="F171" s="6">
        <v>0.85</v>
      </c>
      <c r="G171" s="6">
        <v>0.85</v>
      </c>
      <c r="H171" s="6">
        <v>0.85</v>
      </c>
      <c r="I171" s="6">
        <v>0.85</v>
      </c>
      <c r="J171" s="6">
        <v>0.85</v>
      </c>
      <c r="K171" s="6">
        <v>0.85</v>
      </c>
      <c r="L171" s="6">
        <v>0.85</v>
      </c>
      <c r="M171" s="6">
        <v>0.85</v>
      </c>
      <c r="N171" s="6">
        <v>0.85</v>
      </c>
      <c r="O171" s="6">
        <v>0.85</v>
      </c>
      <c r="P171" s="6">
        <v>0.85</v>
      </c>
      <c r="Q171" s="6">
        <v>0.85</v>
      </c>
      <c r="R171" s="6">
        <v>0.85</v>
      </c>
      <c r="S171" s="6">
        <v>0.85</v>
      </c>
      <c r="T171" s="6">
        <v>0.85</v>
      </c>
      <c r="U171" s="6">
        <v>0.85</v>
      </c>
      <c r="V171" s="6">
        <v>0.85</v>
      </c>
      <c r="W171" s="6">
        <v>0.85</v>
      </c>
      <c r="X171" s="6">
        <v>0.85</v>
      </c>
      <c r="Y171" s="6">
        <v>0.85</v>
      </c>
      <c r="Z171" s="6">
        <v>0.85</v>
      </c>
      <c r="AA171" s="6">
        <v>0.85</v>
      </c>
      <c r="AB171" s="6">
        <v>0.85</v>
      </c>
      <c r="AC171" s="6">
        <v>0.85</v>
      </c>
      <c r="AD171" s="6">
        <v>0.85</v>
      </c>
      <c r="AE171" s="6">
        <v>0.85</v>
      </c>
      <c r="AF171" s="6">
        <v>0.85</v>
      </c>
      <c r="AG171" s="177">
        <v>0.85</v>
      </c>
    </row>
    <row r="172" spans="1:33" hidden="1" outlineLevel="1" x14ac:dyDescent="0.25">
      <c r="A172" s="103">
        <v>0.41666666666666669</v>
      </c>
      <c r="B172" s="123">
        <v>0.4375</v>
      </c>
      <c r="C172" s="176">
        <v>0.85</v>
      </c>
      <c r="D172" s="6">
        <v>0.85</v>
      </c>
      <c r="E172" s="6">
        <v>0.85</v>
      </c>
      <c r="F172" s="6">
        <v>0.85</v>
      </c>
      <c r="G172" s="6">
        <v>0.85</v>
      </c>
      <c r="H172" s="6">
        <v>0.85</v>
      </c>
      <c r="I172" s="6">
        <v>0.85</v>
      </c>
      <c r="J172" s="6">
        <v>0.85</v>
      </c>
      <c r="K172" s="6">
        <v>0.85</v>
      </c>
      <c r="L172" s="6">
        <v>0.85</v>
      </c>
      <c r="M172" s="6">
        <v>0.85</v>
      </c>
      <c r="N172" s="6">
        <v>0.85</v>
      </c>
      <c r="O172" s="6">
        <v>0.85</v>
      </c>
      <c r="P172" s="6">
        <v>0.85</v>
      </c>
      <c r="Q172" s="6">
        <v>0.85</v>
      </c>
      <c r="R172" s="6">
        <v>0.85</v>
      </c>
      <c r="S172" s="6">
        <v>0.85</v>
      </c>
      <c r="T172" s="6">
        <v>0.85</v>
      </c>
      <c r="U172" s="6">
        <v>0.85</v>
      </c>
      <c r="V172" s="6">
        <v>0.85</v>
      </c>
      <c r="W172" s="6">
        <v>0.85</v>
      </c>
      <c r="X172" s="6">
        <v>0.85</v>
      </c>
      <c r="Y172" s="6">
        <v>0.85</v>
      </c>
      <c r="Z172" s="6">
        <v>0.85</v>
      </c>
      <c r="AA172" s="6">
        <v>0.85</v>
      </c>
      <c r="AB172" s="6">
        <v>0.85</v>
      </c>
      <c r="AC172" s="6">
        <v>0.85</v>
      </c>
      <c r="AD172" s="6">
        <v>0.85</v>
      </c>
      <c r="AE172" s="6">
        <v>0.85</v>
      </c>
      <c r="AF172" s="6">
        <v>0.85</v>
      </c>
      <c r="AG172" s="177">
        <v>0.85</v>
      </c>
    </row>
    <row r="173" spans="1:33" hidden="1" outlineLevel="1" x14ac:dyDescent="0.25">
      <c r="A173" s="103">
        <v>0.4375</v>
      </c>
      <c r="B173" s="123">
        <v>0.45833333333333331</v>
      </c>
      <c r="C173" s="176">
        <v>0.85</v>
      </c>
      <c r="D173" s="6">
        <v>0.85</v>
      </c>
      <c r="E173" s="6">
        <v>0.85</v>
      </c>
      <c r="F173" s="6">
        <v>0.85</v>
      </c>
      <c r="G173" s="6">
        <v>0.85</v>
      </c>
      <c r="H173" s="6">
        <v>0.85</v>
      </c>
      <c r="I173" s="6">
        <v>0.85</v>
      </c>
      <c r="J173" s="6">
        <v>0.85</v>
      </c>
      <c r="K173" s="6">
        <v>0.85</v>
      </c>
      <c r="L173" s="6">
        <v>0.85</v>
      </c>
      <c r="M173" s="6">
        <v>0.85</v>
      </c>
      <c r="N173" s="6">
        <v>0.85</v>
      </c>
      <c r="O173" s="6">
        <v>0.85</v>
      </c>
      <c r="P173" s="6">
        <v>0.85</v>
      </c>
      <c r="Q173" s="6">
        <v>0.85</v>
      </c>
      <c r="R173" s="6">
        <v>0.85</v>
      </c>
      <c r="S173" s="6">
        <v>0.85</v>
      </c>
      <c r="T173" s="6">
        <v>0.85</v>
      </c>
      <c r="U173" s="6">
        <v>0.85</v>
      </c>
      <c r="V173" s="6">
        <v>0.85</v>
      </c>
      <c r="W173" s="6">
        <v>0.85</v>
      </c>
      <c r="X173" s="6">
        <v>0.85</v>
      </c>
      <c r="Y173" s="6">
        <v>0.85</v>
      </c>
      <c r="Z173" s="6">
        <v>0.85</v>
      </c>
      <c r="AA173" s="6">
        <v>0.85</v>
      </c>
      <c r="AB173" s="6">
        <v>0.85</v>
      </c>
      <c r="AC173" s="6">
        <v>0.85</v>
      </c>
      <c r="AD173" s="6">
        <v>0.85</v>
      </c>
      <c r="AE173" s="6">
        <v>0.85</v>
      </c>
      <c r="AF173" s="6">
        <v>0.85</v>
      </c>
      <c r="AG173" s="177">
        <v>0.85</v>
      </c>
    </row>
    <row r="174" spans="1:33" hidden="1" outlineLevel="1" x14ac:dyDescent="0.25">
      <c r="A174" s="103">
        <v>0.45833333333333331</v>
      </c>
      <c r="B174" s="123">
        <v>0.47916666666666669</v>
      </c>
      <c r="C174" s="176">
        <v>0.85</v>
      </c>
      <c r="D174" s="6">
        <v>0.85</v>
      </c>
      <c r="E174" s="6">
        <v>0.85</v>
      </c>
      <c r="F174" s="6">
        <v>0.85</v>
      </c>
      <c r="G174" s="6">
        <v>0.85</v>
      </c>
      <c r="H174" s="6">
        <v>0.85</v>
      </c>
      <c r="I174" s="6">
        <v>0.85</v>
      </c>
      <c r="J174" s="6">
        <v>0.85</v>
      </c>
      <c r="K174" s="6">
        <v>0.85</v>
      </c>
      <c r="L174" s="6">
        <v>0.85</v>
      </c>
      <c r="M174" s="6">
        <v>0.85</v>
      </c>
      <c r="N174" s="6">
        <v>0.85</v>
      </c>
      <c r="O174" s="6">
        <v>0.85</v>
      </c>
      <c r="P174" s="6">
        <v>0.85</v>
      </c>
      <c r="Q174" s="6">
        <v>0.85</v>
      </c>
      <c r="R174" s="6">
        <v>0.85</v>
      </c>
      <c r="S174" s="6">
        <v>0.85</v>
      </c>
      <c r="T174" s="6">
        <v>0.85</v>
      </c>
      <c r="U174" s="6">
        <v>0.85</v>
      </c>
      <c r="V174" s="6">
        <v>0.85</v>
      </c>
      <c r="W174" s="6">
        <v>0.85</v>
      </c>
      <c r="X174" s="6">
        <v>0.85</v>
      </c>
      <c r="Y174" s="6">
        <v>0.85</v>
      </c>
      <c r="Z174" s="6">
        <v>0.85</v>
      </c>
      <c r="AA174" s="6">
        <v>0.85</v>
      </c>
      <c r="AB174" s="6">
        <v>0.85</v>
      </c>
      <c r="AC174" s="6">
        <v>0.85</v>
      </c>
      <c r="AD174" s="6">
        <v>0.85</v>
      </c>
      <c r="AE174" s="6">
        <v>0.85</v>
      </c>
      <c r="AF174" s="6">
        <v>0.85</v>
      </c>
      <c r="AG174" s="177">
        <v>0.85</v>
      </c>
    </row>
    <row r="175" spans="1:33" hidden="1" outlineLevel="1" x14ac:dyDescent="0.25">
      <c r="A175" s="103">
        <v>0.47916666666666669</v>
      </c>
      <c r="B175" s="123">
        <v>0.5</v>
      </c>
      <c r="C175" s="176">
        <v>0.85</v>
      </c>
      <c r="D175" s="6">
        <v>0.85</v>
      </c>
      <c r="E175" s="6">
        <v>0.85</v>
      </c>
      <c r="F175" s="6">
        <v>0.85</v>
      </c>
      <c r="G175" s="6">
        <v>0.85</v>
      </c>
      <c r="H175" s="6">
        <v>0.85</v>
      </c>
      <c r="I175" s="6">
        <v>0.85</v>
      </c>
      <c r="J175" s="6">
        <v>0.85</v>
      </c>
      <c r="K175" s="6">
        <v>0.85</v>
      </c>
      <c r="L175" s="6">
        <v>0.85</v>
      </c>
      <c r="M175" s="6">
        <v>0.85</v>
      </c>
      <c r="N175" s="6">
        <v>0.85</v>
      </c>
      <c r="O175" s="6">
        <v>0.85</v>
      </c>
      <c r="P175" s="6">
        <v>0.85</v>
      </c>
      <c r="Q175" s="6">
        <v>0.85</v>
      </c>
      <c r="R175" s="6">
        <v>0.85</v>
      </c>
      <c r="S175" s="6">
        <v>0.85</v>
      </c>
      <c r="T175" s="6">
        <v>0.85</v>
      </c>
      <c r="U175" s="6">
        <v>0.85</v>
      </c>
      <c r="V175" s="6">
        <v>0.85</v>
      </c>
      <c r="W175" s="6">
        <v>0.85</v>
      </c>
      <c r="X175" s="6">
        <v>0.85</v>
      </c>
      <c r="Y175" s="6">
        <v>0.85</v>
      </c>
      <c r="Z175" s="6">
        <v>0.85</v>
      </c>
      <c r="AA175" s="6">
        <v>0.85</v>
      </c>
      <c r="AB175" s="6">
        <v>0.85</v>
      </c>
      <c r="AC175" s="6">
        <v>0.85</v>
      </c>
      <c r="AD175" s="6">
        <v>0.85</v>
      </c>
      <c r="AE175" s="6">
        <v>0.85</v>
      </c>
      <c r="AF175" s="6">
        <v>0.85</v>
      </c>
      <c r="AG175" s="177">
        <v>0.85</v>
      </c>
    </row>
    <row r="176" spans="1:33" hidden="1" outlineLevel="1" x14ac:dyDescent="0.25">
      <c r="A176" s="103">
        <v>0.5</v>
      </c>
      <c r="B176" s="123">
        <v>0.52083333333333337</v>
      </c>
      <c r="C176" s="176">
        <v>0.85</v>
      </c>
      <c r="D176" s="6">
        <v>0.85</v>
      </c>
      <c r="E176" s="6">
        <v>0.85</v>
      </c>
      <c r="F176" s="6">
        <v>0.85</v>
      </c>
      <c r="G176" s="6">
        <v>0.85</v>
      </c>
      <c r="H176" s="6">
        <v>0.85</v>
      </c>
      <c r="I176" s="6">
        <v>0.85</v>
      </c>
      <c r="J176" s="6">
        <v>0.85</v>
      </c>
      <c r="K176" s="6">
        <v>0.85</v>
      </c>
      <c r="L176" s="6">
        <v>0.85</v>
      </c>
      <c r="M176" s="6">
        <v>0.85</v>
      </c>
      <c r="N176" s="6">
        <v>0.85</v>
      </c>
      <c r="O176" s="6">
        <v>0.85</v>
      </c>
      <c r="P176" s="6">
        <v>0.85</v>
      </c>
      <c r="Q176" s="6">
        <v>0.85</v>
      </c>
      <c r="R176" s="6">
        <v>0.85</v>
      </c>
      <c r="S176" s="6">
        <v>0.85</v>
      </c>
      <c r="T176" s="6">
        <v>0.85</v>
      </c>
      <c r="U176" s="6">
        <v>0.85</v>
      </c>
      <c r="V176" s="6">
        <v>0.85</v>
      </c>
      <c r="W176" s="6">
        <v>0.85</v>
      </c>
      <c r="X176" s="6">
        <v>0.85</v>
      </c>
      <c r="Y176" s="6">
        <v>0.85</v>
      </c>
      <c r="Z176" s="6">
        <v>0.85</v>
      </c>
      <c r="AA176" s="6">
        <v>0.85</v>
      </c>
      <c r="AB176" s="6">
        <v>0.85</v>
      </c>
      <c r="AC176" s="6">
        <v>0.85</v>
      </c>
      <c r="AD176" s="6">
        <v>0.85</v>
      </c>
      <c r="AE176" s="6">
        <v>0.85</v>
      </c>
      <c r="AF176" s="6">
        <v>0.85</v>
      </c>
      <c r="AG176" s="177">
        <v>0.85</v>
      </c>
    </row>
    <row r="177" spans="1:33" hidden="1" outlineLevel="1" x14ac:dyDescent="0.25">
      <c r="A177" s="103">
        <v>0.52083333333333337</v>
      </c>
      <c r="B177" s="123">
        <v>0.54166666666666663</v>
      </c>
      <c r="C177" s="176">
        <v>0.85</v>
      </c>
      <c r="D177" s="6">
        <v>0.85</v>
      </c>
      <c r="E177" s="6">
        <v>0.85</v>
      </c>
      <c r="F177" s="6">
        <v>0.85</v>
      </c>
      <c r="G177" s="6">
        <v>0.85</v>
      </c>
      <c r="H177" s="6">
        <v>0.85</v>
      </c>
      <c r="I177" s="6">
        <v>0.85</v>
      </c>
      <c r="J177" s="6">
        <v>0.85</v>
      </c>
      <c r="K177" s="6">
        <v>0.85</v>
      </c>
      <c r="L177" s="6">
        <v>0.85</v>
      </c>
      <c r="M177" s="6">
        <v>0.85</v>
      </c>
      <c r="N177" s="6">
        <v>0.85</v>
      </c>
      <c r="O177" s="6">
        <v>0.85</v>
      </c>
      <c r="P177" s="6">
        <v>0.85</v>
      </c>
      <c r="Q177" s="6">
        <v>0.85</v>
      </c>
      <c r="R177" s="6">
        <v>0.85</v>
      </c>
      <c r="S177" s="6">
        <v>0.85</v>
      </c>
      <c r="T177" s="6">
        <v>0.85</v>
      </c>
      <c r="U177" s="6">
        <v>0.85</v>
      </c>
      <c r="V177" s="6">
        <v>0.85</v>
      </c>
      <c r="W177" s="6">
        <v>0.85</v>
      </c>
      <c r="X177" s="6">
        <v>0.85</v>
      </c>
      <c r="Y177" s="6">
        <v>0.85</v>
      </c>
      <c r="Z177" s="6">
        <v>0.85</v>
      </c>
      <c r="AA177" s="6">
        <v>0.85</v>
      </c>
      <c r="AB177" s="6">
        <v>0.85</v>
      </c>
      <c r="AC177" s="6">
        <v>0.85</v>
      </c>
      <c r="AD177" s="6">
        <v>0.85</v>
      </c>
      <c r="AE177" s="6">
        <v>0.85</v>
      </c>
      <c r="AF177" s="6">
        <v>0.85</v>
      </c>
      <c r="AG177" s="177">
        <v>0.85</v>
      </c>
    </row>
    <row r="178" spans="1:33" hidden="1" outlineLevel="1" x14ac:dyDescent="0.25">
      <c r="A178" s="103">
        <v>0.54166666666666663</v>
      </c>
      <c r="B178" s="123">
        <v>0.5625</v>
      </c>
      <c r="C178" s="176">
        <v>0.85</v>
      </c>
      <c r="D178" s="6">
        <v>0.85</v>
      </c>
      <c r="E178" s="6">
        <v>0.85</v>
      </c>
      <c r="F178" s="6">
        <v>0.85</v>
      </c>
      <c r="G178" s="6">
        <v>0.85</v>
      </c>
      <c r="H178" s="6">
        <v>0.85</v>
      </c>
      <c r="I178" s="6">
        <v>0.85</v>
      </c>
      <c r="J178" s="6">
        <v>0.85</v>
      </c>
      <c r="K178" s="6">
        <v>0.85</v>
      </c>
      <c r="L178" s="6">
        <v>0.85</v>
      </c>
      <c r="M178" s="6">
        <v>0.85</v>
      </c>
      <c r="N178" s="6">
        <v>0.85</v>
      </c>
      <c r="O178" s="6">
        <v>0.85</v>
      </c>
      <c r="P178" s="6">
        <v>0.85</v>
      </c>
      <c r="Q178" s="6">
        <v>0.85</v>
      </c>
      <c r="R178" s="6">
        <v>0.85</v>
      </c>
      <c r="S178" s="6">
        <v>0.85</v>
      </c>
      <c r="T178" s="6">
        <v>0.85</v>
      </c>
      <c r="U178" s="6">
        <v>0.85</v>
      </c>
      <c r="V178" s="6">
        <v>0.85</v>
      </c>
      <c r="W178" s="6">
        <v>0.85</v>
      </c>
      <c r="X178" s="6">
        <v>0.85</v>
      </c>
      <c r="Y178" s="6">
        <v>0.85</v>
      </c>
      <c r="Z178" s="6">
        <v>0.85</v>
      </c>
      <c r="AA178" s="6">
        <v>0.85</v>
      </c>
      <c r="AB178" s="6">
        <v>0.85</v>
      </c>
      <c r="AC178" s="6">
        <v>0.85</v>
      </c>
      <c r="AD178" s="6">
        <v>0.85</v>
      </c>
      <c r="AE178" s="6">
        <v>0.85</v>
      </c>
      <c r="AF178" s="6">
        <v>0.85</v>
      </c>
      <c r="AG178" s="177">
        <v>0.85</v>
      </c>
    </row>
    <row r="179" spans="1:33" hidden="1" outlineLevel="1" x14ac:dyDescent="0.25">
      <c r="A179" s="103">
        <v>0.5625</v>
      </c>
      <c r="B179" s="123">
        <v>0.58333333333333337</v>
      </c>
      <c r="C179" s="176">
        <v>0.85</v>
      </c>
      <c r="D179" s="6">
        <v>0.85</v>
      </c>
      <c r="E179" s="6">
        <v>0.85</v>
      </c>
      <c r="F179" s="6">
        <v>0.85</v>
      </c>
      <c r="G179" s="6">
        <v>0.85</v>
      </c>
      <c r="H179" s="6">
        <v>0.85</v>
      </c>
      <c r="I179" s="6">
        <v>0.85</v>
      </c>
      <c r="J179" s="6">
        <v>0.85</v>
      </c>
      <c r="K179" s="6">
        <v>0.85</v>
      </c>
      <c r="L179" s="6">
        <v>0.85</v>
      </c>
      <c r="M179" s="6">
        <v>0.85</v>
      </c>
      <c r="N179" s="6">
        <v>0.85</v>
      </c>
      <c r="O179" s="6">
        <v>0.85</v>
      </c>
      <c r="P179" s="6">
        <v>0.85</v>
      </c>
      <c r="Q179" s="6">
        <v>0.85</v>
      </c>
      <c r="R179" s="6">
        <v>0.85</v>
      </c>
      <c r="S179" s="6">
        <v>0.85</v>
      </c>
      <c r="T179" s="6">
        <v>0.85</v>
      </c>
      <c r="U179" s="6">
        <v>0.85</v>
      </c>
      <c r="V179" s="6">
        <v>0.85</v>
      </c>
      <c r="W179" s="6">
        <v>0.85</v>
      </c>
      <c r="X179" s="6">
        <v>0.85</v>
      </c>
      <c r="Y179" s="6">
        <v>0.85</v>
      </c>
      <c r="Z179" s="6">
        <v>0.85</v>
      </c>
      <c r="AA179" s="6">
        <v>0.85</v>
      </c>
      <c r="AB179" s="6">
        <v>0.85</v>
      </c>
      <c r="AC179" s="6">
        <v>0.85</v>
      </c>
      <c r="AD179" s="6">
        <v>0.85</v>
      </c>
      <c r="AE179" s="6">
        <v>0.85</v>
      </c>
      <c r="AF179" s="6">
        <v>0.85</v>
      </c>
      <c r="AG179" s="177">
        <v>0.85</v>
      </c>
    </row>
    <row r="180" spans="1:33" hidden="1" outlineLevel="1" x14ac:dyDescent="0.25">
      <c r="A180" s="103">
        <v>0.58333333333333337</v>
      </c>
      <c r="B180" s="123">
        <v>0.60416666666666663</v>
      </c>
      <c r="C180" s="176">
        <v>0.85</v>
      </c>
      <c r="D180" s="6">
        <v>0.85</v>
      </c>
      <c r="E180" s="6">
        <v>0.85</v>
      </c>
      <c r="F180" s="6">
        <v>0.85</v>
      </c>
      <c r="G180" s="6">
        <v>0.85</v>
      </c>
      <c r="H180" s="6">
        <v>0.85</v>
      </c>
      <c r="I180" s="6">
        <v>0.85</v>
      </c>
      <c r="J180" s="6">
        <v>0.85</v>
      </c>
      <c r="K180" s="6">
        <v>0.85</v>
      </c>
      <c r="L180" s="6">
        <v>0.85</v>
      </c>
      <c r="M180" s="6">
        <v>0.85</v>
      </c>
      <c r="N180" s="6">
        <v>0.85</v>
      </c>
      <c r="O180" s="6">
        <v>0.85</v>
      </c>
      <c r="P180" s="6">
        <v>0.85</v>
      </c>
      <c r="Q180" s="6">
        <v>0.85</v>
      </c>
      <c r="R180" s="6">
        <v>0.85</v>
      </c>
      <c r="S180" s="6">
        <v>0.85</v>
      </c>
      <c r="T180" s="6">
        <v>0.85</v>
      </c>
      <c r="U180" s="6">
        <v>0.85</v>
      </c>
      <c r="V180" s="6">
        <v>0.85</v>
      </c>
      <c r="W180" s="6">
        <v>0.85</v>
      </c>
      <c r="X180" s="6">
        <v>0.85</v>
      </c>
      <c r="Y180" s="6">
        <v>0.85</v>
      </c>
      <c r="Z180" s="6">
        <v>0.85</v>
      </c>
      <c r="AA180" s="6">
        <v>0.85</v>
      </c>
      <c r="AB180" s="6">
        <v>0.85</v>
      </c>
      <c r="AC180" s="6">
        <v>0.85</v>
      </c>
      <c r="AD180" s="6">
        <v>0.85</v>
      </c>
      <c r="AE180" s="6">
        <v>0.85</v>
      </c>
      <c r="AF180" s="6">
        <v>0.85</v>
      </c>
      <c r="AG180" s="177">
        <v>0.85</v>
      </c>
    </row>
    <row r="181" spans="1:33" hidden="1" outlineLevel="1" x14ac:dyDescent="0.25">
      <c r="A181" s="103">
        <v>0.60416666666666663</v>
      </c>
      <c r="B181" s="123">
        <v>0.625</v>
      </c>
      <c r="C181" s="176">
        <v>0.85</v>
      </c>
      <c r="D181" s="6">
        <v>0.85</v>
      </c>
      <c r="E181" s="6">
        <v>0.85</v>
      </c>
      <c r="F181" s="6">
        <v>0.85</v>
      </c>
      <c r="G181" s="6">
        <v>0.85</v>
      </c>
      <c r="H181" s="6">
        <v>0.85</v>
      </c>
      <c r="I181" s="6">
        <v>0.85</v>
      </c>
      <c r="J181" s="6">
        <v>0.85</v>
      </c>
      <c r="K181" s="6">
        <v>0.85</v>
      </c>
      <c r="L181" s="6">
        <v>0.85</v>
      </c>
      <c r="M181" s="6">
        <v>0.85</v>
      </c>
      <c r="N181" s="6">
        <v>0.85</v>
      </c>
      <c r="O181" s="6">
        <v>0.85</v>
      </c>
      <c r="P181" s="6">
        <v>0.85</v>
      </c>
      <c r="Q181" s="6">
        <v>0.85</v>
      </c>
      <c r="R181" s="6">
        <v>0.85</v>
      </c>
      <c r="S181" s="6">
        <v>0.85</v>
      </c>
      <c r="T181" s="6">
        <v>0.85</v>
      </c>
      <c r="U181" s="6">
        <v>0.85</v>
      </c>
      <c r="V181" s="6">
        <v>0.85</v>
      </c>
      <c r="W181" s="6">
        <v>0.85</v>
      </c>
      <c r="X181" s="6">
        <v>0.85</v>
      </c>
      <c r="Y181" s="6">
        <v>0.85</v>
      </c>
      <c r="Z181" s="6">
        <v>0.85</v>
      </c>
      <c r="AA181" s="6">
        <v>0.85</v>
      </c>
      <c r="AB181" s="6">
        <v>0.85</v>
      </c>
      <c r="AC181" s="6">
        <v>0.85</v>
      </c>
      <c r="AD181" s="6">
        <v>0.85</v>
      </c>
      <c r="AE181" s="6">
        <v>0.85</v>
      </c>
      <c r="AF181" s="6">
        <v>0.85</v>
      </c>
      <c r="AG181" s="177">
        <v>0.85</v>
      </c>
    </row>
    <row r="182" spans="1:33" hidden="1" outlineLevel="1" x14ac:dyDescent="0.25">
      <c r="A182" s="103">
        <v>0.625</v>
      </c>
      <c r="B182" s="123">
        <v>0.64583333333333337</v>
      </c>
      <c r="C182" s="176">
        <v>0.85</v>
      </c>
      <c r="D182" s="6">
        <v>0.85</v>
      </c>
      <c r="E182" s="6">
        <v>0.85</v>
      </c>
      <c r="F182" s="6">
        <v>0.85</v>
      </c>
      <c r="G182" s="6">
        <v>0.85</v>
      </c>
      <c r="H182" s="6">
        <v>0.85</v>
      </c>
      <c r="I182" s="6">
        <v>0.85</v>
      </c>
      <c r="J182" s="6">
        <v>0.85</v>
      </c>
      <c r="K182" s="6">
        <v>0.85</v>
      </c>
      <c r="L182" s="6">
        <v>0.85</v>
      </c>
      <c r="M182" s="6">
        <v>0.85</v>
      </c>
      <c r="N182" s="6">
        <v>0.85</v>
      </c>
      <c r="O182" s="6">
        <v>0.85</v>
      </c>
      <c r="P182" s="6">
        <v>0.85</v>
      </c>
      <c r="Q182" s="6">
        <v>0.85</v>
      </c>
      <c r="R182" s="6">
        <v>0.85</v>
      </c>
      <c r="S182" s="6">
        <v>0.85</v>
      </c>
      <c r="T182" s="6">
        <v>0.85</v>
      </c>
      <c r="U182" s="6">
        <v>0.85</v>
      </c>
      <c r="V182" s="6">
        <v>0.85</v>
      </c>
      <c r="W182" s="6">
        <v>0.85</v>
      </c>
      <c r="X182" s="6">
        <v>0.85</v>
      </c>
      <c r="Y182" s="6">
        <v>0.85</v>
      </c>
      <c r="Z182" s="6">
        <v>0.85</v>
      </c>
      <c r="AA182" s="6">
        <v>0.85</v>
      </c>
      <c r="AB182" s="6">
        <v>0.85</v>
      </c>
      <c r="AC182" s="6">
        <v>0.85</v>
      </c>
      <c r="AD182" s="6">
        <v>0.85</v>
      </c>
      <c r="AE182" s="6">
        <v>0.85</v>
      </c>
      <c r="AF182" s="6">
        <v>0.85</v>
      </c>
      <c r="AG182" s="177">
        <v>0.85</v>
      </c>
    </row>
    <row r="183" spans="1:33" hidden="1" outlineLevel="1" x14ac:dyDescent="0.25">
      <c r="A183" s="103">
        <v>0.64583333333333337</v>
      </c>
      <c r="B183" s="123">
        <v>0.66666666666666663</v>
      </c>
      <c r="C183" s="176">
        <v>0.85</v>
      </c>
      <c r="D183" s="6">
        <v>0.85</v>
      </c>
      <c r="E183" s="6">
        <v>0.85</v>
      </c>
      <c r="F183" s="6">
        <v>0.85</v>
      </c>
      <c r="G183" s="6">
        <v>0.85</v>
      </c>
      <c r="H183" s="6">
        <v>0.85</v>
      </c>
      <c r="I183" s="6">
        <v>0.85</v>
      </c>
      <c r="J183" s="6">
        <v>0.85</v>
      </c>
      <c r="K183" s="6">
        <v>0.85</v>
      </c>
      <c r="L183" s="6">
        <v>0.85</v>
      </c>
      <c r="M183" s="6">
        <v>0.85</v>
      </c>
      <c r="N183" s="6">
        <v>0.85</v>
      </c>
      <c r="O183" s="6">
        <v>0.85</v>
      </c>
      <c r="P183" s="6">
        <v>0.85</v>
      </c>
      <c r="Q183" s="6">
        <v>0.85</v>
      </c>
      <c r="R183" s="6">
        <v>0.85</v>
      </c>
      <c r="S183" s="6">
        <v>0.85</v>
      </c>
      <c r="T183" s="6">
        <v>0.85</v>
      </c>
      <c r="U183" s="6">
        <v>0.85</v>
      </c>
      <c r="V183" s="6">
        <v>0.85</v>
      </c>
      <c r="W183" s="6">
        <v>0.85</v>
      </c>
      <c r="X183" s="6">
        <v>0.85</v>
      </c>
      <c r="Y183" s="6">
        <v>0.85</v>
      </c>
      <c r="Z183" s="6">
        <v>0.85</v>
      </c>
      <c r="AA183" s="6">
        <v>0.85</v>
      </c>
      <c r="AB183" s="6">
        <v>0.85</v>
      </c>
      <c r="AC183" s="6">
        <v>0.85</v>
      </c>
      <c r="AD183" s="6">
        <v>0.85</v>
      </c>
      <c r="AE183" s="6">
        <v>0.85</v>
      </c>
      <c r="AF183" s="6">
        <v>0.85</v>
      </c>
      <c r="AG183" s="177">
        <v>0.85</v>
      </c>
    </row>
    <row r="184" spans="1:33" hidden="1" outlineLevel="1" x14ac:dyDescent="0.25">
      <c r="A184" s="103">
        <v>0.66666666666666663</v>
      </c>
      <c r="B184" s="123">
        <v>0.6875</v>
      </c>
      <c r="C184" s="176">
        <v>0.85</v>
      </c>
      <c r="D184" s="6">
        <v>0.85</v>
      </c>
      <c r="E184" s="6">
        <v>0.85</v>
      </c>
      <c r="F184" s="6">
        <v>0.85</v>
      </c>
      <c r="G184" s="6">
        <v>0.85</v>
      </c>
      <c r="H184" s="6">
        <v>0.85</v>
      </c>
      <c r="I184" s="6">
        <v>0.85</v>
      </c>
      <c r="J184" s="6">
        <v>0.85</v>
      </c>
      <c r="K184" s="6">
        <v>0.85</v>
      </c>
      <c r="L184" s="6">
        <v>0.85</v>
      </c>
      <c r="M184" s="6">
        <v>0.85</v>
      </c>
      <c r="N184" s="6">
        <v>0.85</v>
      </c>
      <c r="O184" s="6">
        <v>0.85</v>
      </c>
      <c r="P184" s="6">
        <v>0.85</v>
      </c>
      <c r="Q184" s="6">
        <v>0.85</v>
      </c>
      <c r="R184" s="6">
        <v>0.85</v>
      </c>
      <c r="S184" s="6">
        <v>0.85</v>
      </c>
      <c r="T184" s="6">
        <v>0.85</v>
      </c>
      <c r="U184" s="6">
        <v>0.85</v>
      </c>
      <c r="V184" s="6">
        <v>0.85</v>
      </c>
      <c r="W184" s="6">
        <v>0.85</v>
      </c>
      <c r="X184" s="6">
        <v>0.85</v>
      </c>
      <c r="Y184" s="6">
        <v>0.85</v>
      </c>
      <c r="Z184" s="6">
        <v>0.85</v>
      </c>
      <c r="AA184" s="6">
        <v>0.85</v>
      </c>
      <c r="AB184" s="6">
        <v>0.85</v>
      </c>
      <c r="AC184" s="6">
        <v>0.85</v>
      </c>
      <c r="AD184" s="6">
        <v>0.85</v>
      </c>
      <c r="AE184" s="6">
        <v>0.85</v>
      </c>
      <c r="AF184" s="6">
        <v>0.85</v>
      </c>
      <c r="AG184" s="177">
        <v>0.85</v>
      </c>
    </row>
    <row r="185" spans="1:33" hidden="1" outlineLevel="1" x14ac:dyDescent="0.25">
      <c r="A185" s="103">
        <v>0.6875</v>
      </c>
      <c r="B185" s="123">
        <v>0.70833333333333337</v>
      </c>
      <c r="C185" s="176">
        <v>0.85</v>
      </c>
      <c r="D185" s="6">
        <v>0.85</v>
      </c>
      <c r="E185" s="6">
        <v>0.85</v>
      </c>
      <c r="F185" s="6">
        <v>0.85</v>
      </c>
      <c r="G185" s="6">
        <v>0.85</v>
      </c>
      <c r="H185" s="6">
        <v>0.85</v>
      </c>
      <c r="I185" s="6">
        <v>0.85</v>
      </c>
      <c r="J185" s="6">
        <v>0.85</v>
      </c>
      <c r="K185" s="6">
        <v>0.85</v>
      </c>
      <c r="L185" s="6">
        <v>0.85</v>
      </c>
      <c r="M185" s="6">
        <v>0.85</v>
      </c>
      <c r="N185" s="6">
        <v>0.85</v>
      </c>
      <c r="O185" s="6">
        <v>0.85</v>
      </c>
      <c r="P185" s="6">
        <v>0.85</v>
      </c>
      <c r="Q185" s="6">
        <v>0.85</v>
      </c>
      <c r="R185" s="6">
        <v>0.85</v>
      </c>
      <c r="S185" s="6">
        <v>0.85</v>
      </c>
      <c r="T185" s="6">
        <v>0.85</v>
      </c>
      <c r="U185" s="6">
        <v>0.85</v>
      </c>
      <c r="V185" s="6">
        <v>0.85</v>
      </c>
      <c r="W185" s="6">
        <v>0.85</v>
      </c>
      <c r="X185" s="6">
        <v>0.85</v>
      </c>
      <c r="Y185" s="6">
        <v>0.85</v>
      </c>
      <c r="Z185" s="6">
        <v>0.85</v>
      </c>
      <c r="AA185" s="6">
        <v>0.85</v>
      </c>
      <c r="AB185" s="6">
        <v>0.85</v>
      </c>
      <c r="AC185" s="6">
        <v>0.85</v>
      </c>
      <c r="AD185" s="6">
        <v>0.85</v>
      </c>
      <c r="AE185" s="6">
        <v>0.85</v>
      </c>
      <c r="AF185" s="6">
        <v>0.85</v>
      </c>
      <c r="AG185" s="177">
        <v>0.85</v>
      </c>
    </row>
    <row r="186" spans="1:33" hidden="1" outlineLevel="1" x14ac:dyDescent="0.25">
      <c r="A186" s="103">
        <v>0.70833333333333337</v>
      </c>
      <c r="B186" s="123">
        <v>0.72916666666666663</v>
      </c>
      <c r="C186" s="176">
        <v>0.85</v>
      </c>
      <c r="D186" s="6">
        <v>0.85</v>
      </c>
      <c r="E186" s="6">
        <v>0.85</v>
      </c>
      <c r="F186" s="6">
        <v>0.85</v>
      </c>
      <c r="G186" s="6">
        <v>0.85</v>
      </c>
      <c r="H186" s="6">
        <v>0.85</v>
      </c>
      <c r="I186" s="6">
        <v>0.85</v>
      </c>
      <c r="J186" s="6">
        <v>0.85</v>
      </c>
      <c r="K186" s="6">
        <v>0.85</v>
      </c>
      <c r="L186" s="6">
        <v>0.85</v>
      </c>
      <c r="M186" s="6">
        <v>0.85</v>
      </c>
      <c r="N186" s="6">
        <v>0.85</v>
      </c>
      <c r="O186" s="6">
        <v>0.85</v>
      </c>
      <c r="P186" s="6">
        <v>0.85</v>
      </c>
      <c r="Q186" s="6">
        <v>0.85</v>
      </c>
      <c r="R186" s="6">
        <v>0.85</v>
      </c>
      <c r="S186" s="6">
        <v>0.85</v>
      </c>
      <c r="T186" s="6">
        <v>0.85</v>
      </c>
      <c r="U186" s="6">
        <v>0.85</v>
      </c>
      <c r="V186" s="6">
        <v>0.85</v>
      </c>
      <c r="W186" s="6">
        <v>0.85</v>
      </c>
      <c r="X186" s="6">
        <v>0.85</v>
      </c>
      <c r="Y186" s="6">
        <v>0.85</v>
      </c>
      <c r="Z186" s="6">
        <v>0.85</v>
      </c>
      <c r="AA186" s="6">
        <v>0.85</v>
      </c>
      <c r="AB186" s="6">
        <v>0.85</v>
      </c>
      <c r="AC186" s="6">
        <v>0.85</v>
      </c>
      <c r="AD186" s="6">
        <v>0.85</v>
      </c>
      <c r="AE186" s="6">
        <v>0.85</v>
      </c>
      <c r="AF186" s="6">
        <v>0.85</v>
      </c>
      <c r="AG186" s="177">
        <v>0.85</v>
      </c>
    </row>
    <row r="187" spans="1:33" hidden="1" outlineLevel="1" x14ac:dyDescent="0.25">
      <c r="A187" s="103">
        <v>0.72916666666666663</v>
      </c>
      <c r="B187" s="123">
        <v>0.75</v>
      </c>
      <c r="C187" s="176">
        <v>0.85</v>
      </c>
      <c r="D187" s="6">
        <v>0.85</v>
      </c>
      <c r="E187" s="6">
        <v>0.85</v>
      </c>
      <c r="F187" s="6">
        <v>0.85</v>
      </c>
      <c r="G187" s="6">
        <v>0.85</v>
      </c>
      <c r="H187" s="6">
        <v>0.85</v>
      </c>
      <c r="I187" s="6">
        <v>0.85</v>
      </c>
      <c r="J187" s="6">
        <v>0.85</v>
      </c>
      <c r="K187" s="6">
        <v>0.85</v>
      </c>
      <c r="L187" s="6">
        <v>0.85</v>
      </c>
      <c r="M187" s="6">
        <v>0.85</v>
      </c>
      <c r="N187" s="6">
        <v>0.85</v>
      </c>
      <c r="O187" s="6">
        <v>0.85</v>
      </c>
      <c r="P187" s="6">
        <v>0.85</v>
      </c>
      <c r="Q187" s="6">
        <v>0.85</v>
      </c>
      <c r="R187" s="6">
        <v>0.85</v>
      </c>
      <c r="S187" s="6">
        <v>0.85</v>
      </c>
      <c r="T187" s="6">
        <v>0.85</v>
      </c>
      <c r="U187" s="6">
        <v>0.85</v>
      </c>
      <c r="V187" s="6">
        <v>0.85</v>
      </c>
      <c r="W187" s="6">
        <v>0.85</v>
      </c>
      <c r="X187" s="6">
        <v>0.85</v>
      </c>
      <c r="Y187" s="6">
        <v>0.85</v>
      </c>
      <c r="Z187" s="6">
        <v>0.85</v>
      </c>
      <c r="AA187" s="6">
        <v>0.85</v>
      </c>
      <c r="AB187" s="6">
        <v>0.85</v>
      </c>
      <c r="AC187" s="6">
        <v>0.85</v>
      </c>
      <c r="AD187" s="6">
        <v>0.85</v>
      </c>
      <c r="AE187" s="6">
        <v>0.85</v>
      </c>
      <c r="AF187" s="6">
        <v>0.85</v>
      </c>
      <c r="AG187" s="177">
        <v>0.85</v>
      </c>
    </row>
    <row r="188" spans="1:33" hidden="1" outlineLevel="1" x14ac:dyDescent="0.25">
      <c r="A188" s="103">
        <v>0.75</v>
      </c>
      <c r="B188" s="123">
        <v>0.77083333333333337</v>
      </c>
      <c r="C188" s="176">
        <v>0.85</v>
      </c>
      <c r="D188" s="6">
        <v>0.85</v>
      </c>
      <c r="E188" s="6">
        <v>0.85</v>
      </c>
      <c r="F188" s="6">
        <v>0.85</v>
      </c>
      <c r="G188" s="6">
        <v>0.85</v>
      </c>
      <c r="H188" s="6">
        <v>0.85</v>
      </c>
      <c r="I188" s="6">
        <v>0.85</v>
      </c>
      <c r="J188" s="6">
        <v>0.85</v>
      </c>
      <c r="K188" s="6">
        <v>0.85</v>
      </c>
      <c r="L188" s="6">
        <v>0.85</v>
      </c>
      <c r="M188" s="6">
        <v>0.85</v>
      </c>
      <c r="N188" s="6">
        <v>0.85</v>
      </c>
      <c r="O188" s="6">
        <v>0.85</v>
      </c>
      <c r="P188" s="6">
        <v>0.85</v>
      </c>
      <c r="Q188" s="6">
        <v>0.85</v>
      </c>
      <c r="R188" s="6">
        <v>0.85</v>
      </c>
      <c r="S188" s="6">
        <v>0.85</v>
      </c>
      <c r="T188" s="6">
        <v>0.85</v>
      </c>
      <c r="U188" s="6">
        <v>0.85</v>
      </c>
      <c r="V188" s="6">
        <v>0.85</v>
      </c>
      <c r="W188" s="6">
        <v>0.85</v>
      </c>
      <c r="X188" s="6">
        <v>0.85</v>
      </c>
      <c r="Y188" s="6">
        <v>0.85</v>
      </c>
      <c r="Z188" s="6">
        <v>0.85</v>
      </c>
      <c r="AA188" s="6">
        <v>0.85</v>
      </c>
      <c r="AB188" s="6">
        <v>0.85</v>
      </c>
      <c r="AC188" s="6">
        <v>0.85</v>
      </c>
      <c r="AD188" s="6">
        <v>0.85</v>
      </c>
      <c r="AE188" s="6">
        <v>0.85</v>
      </c>
      <c r="AF188" s="6">
        <v>0.85</v>
      </c>
      <c r="AG188" s="177">
        <v>0.85</v>
      </c>
    </row>
    <row r="189" spans="1:33" hidden="1" outlineLevel="1" x14ac:dyDescent="0.25">
      <c r="A189" s="103">
        <v>0.77083333333333337</v>
      </c>
      <c r="B189" s="123">
        <v>0.79166666666666663</v>
      </c>
      <c r="C189" s="176">
        <v>0.85</v>
      </c>
      <c r="D189" s="6">
        <v>0.85</v>
      </c>
      <c r="E189" s="6">
        <v>0.85</v>
      </c>
      <c r="F189" s="6">
        <v>0.85</v>
      </c>
      <c r="G189" s="6">
        <v>0.85</v>
      </c>
      <c r="H189" s="6">
        <v>0.85</v>
      </c>
      <c r="I189" s="6">
        <v>0.85</v>
      </c>
      <c r="J189" s="6">
        <v>0.85</v>
      </c>
      <c r="K189" s="6">
        <v>0.85</v>
      </c>
      <c r="L189" s="6">
        <v>0.85</v>
      </c>
      <c r="M189" s="6">
        <v>0.85</v>
      </c>
      <c r="N189" s="6">
        <v>0.85</v>
      </c>
      <c r="O189" s="6">
        <v>0.85</v>
      </c>
      <c r="P189" s="6">
        <v>0.85</v>
      </c>
      <c r="Q189" s="6">
        <v>0.85</v>
      </c>
      <c r="R189" s="6">
        <v>0.85</v>
      </c>
      <c r="S189" s="6">
        <v>0.85</v>
      </c>
      <c r="T189" s="6">
        <v>0.85</v>
      </c>
      <c r="U189" s="6">
        <v>0.85</v>
      </c>
      <c r="V189" s="6">
        <v>0.85</v>
      </c>
      <c r="W189" s="6">
        <v>0.85</v>
      </c>
      <c r="X189" s="6">
        <v>0.85</v>
      </c>
      <c r="Y189" s="6">
        <v>0.85</v>
      </c>
      <c r="Z189" s="6">
        <v>0.85</v>
      </c>
      <c r="AA189" s="6">
        <v>0.85</v>
      </c>
      <c r="AB189" s="6">
        <v>0.85</v>
      </c>
      <c r="AC189" s="6">
        <v>0.85</v>
      </c>
      <c r="AD189" s="6">
        <v>0.85</v>
      </c>
      <c r="AE189" s="6">
        <v>0.85</v>
      </c>
      <c r="AF189" s="6">
        <v>0.85</v>
      </c>
      <c r="AG189" s="177">
        <v>0.85</v>
      </c>
    </row>
    <row r="190" spans="1:33" hidden="1" outlineLevel="1" x14ac:dyDescent="0.25">
      <c r="A190" s="103">
        <v>0.79166666666666663</v>
      </c>
      <c r="B190" s="123">
        <v>0.8125</v>
      </c>
      <c r="C190" s="176">
        <v>0.85</v>
      </c>
      <c r="D190" s="6">
        <v>0.85</v>
      </c>
      <c r="E190" s="6">
        <v>0.85</v>
      </c>
      <c r="F190" s="6">
        <v>0.85</v>
      </c>
      <c r="G190" s="6">
        <v>0.85</v>
      </c>
      <c r="H190" s="6">
        <v>0.85</v>
      </c>
      <c r="I190" s="6">
        <v>0.85</v>
      </c>
      <c r="J190" s="6">
        <v>0.85</v>
      </c>
      <c r="K190" s="6">
        <v>0.85</v>
      </c>
      <c r="L190" s="6">
        <v>0.85</v>
      </c>
      <c r="M190" s="6">
        <v>0.85</v>
      </c>
      <c r="N190" s="6">
        <v>0.85</v>
      </c>
      <c r="O190" s="6">
        <v>0.85</v>
      </c>
      <c r="P190" s="6">
        <v>0.85</v>
      </c>
      <c r="Q190" s="6">
        <v>0.85</v>
      </c>
      <c r="R190" s="6">
        <v>0.85</v>
      </c>
      <c r="S190" s="6">
        <v>0.85</v>
      </c>
      <c r="T190" s="6">
        <v>0.85</v>
      </c>
      <c r="U190" s="6">
        <v>0.85</v>
      </c>
      <c r="V190" s="6">
        <v>0.85</v>
      </c>
      <c r="W190" s="6">
        <v>0.85</v>
      </c>
      <c r="X190" s="6">
        <v>0.85</v>
      </c>
      <c r="Y190" s="6">
        <v>0.85</v>
      </c>
      <c r="Z190" s="6">
        <v>0.85</v>
      </c>
      <c r="AA190" s="6">
        <v>0.85</v>
      </c>
      <c r="AB190" s="6">
        <v>0.85</v>
      </c>
      <c r="AC190" s="6">
        <v>0.85</v>
      </c>
      <c r="AD190" s="6">
        <v>0.85</v>
      </c>
      <c r="AE190" s="6">
        <v>0.85</v>
      </c>
      <c r="AF190" s="6">
        <v>0.85</v>
      </c>
      <c r="AG190" s="177">
        <v>0.85</v>
      </c>
    </row>
    <row r="191" spans="1:33" hidden="1" outlineLevel="1" x14ac:dyDescent="0.25">
      <c r="A191" s="103">
        <v>0.8125</v>
      </c>
      <c r="B191" s="123">
        <v>0.83333333333333337</v>
      </c>
      <c r="C191" s="176">
        <v>0.85</v>
      </c>
      <c r="D191" s="6">
        <v>0.85</v>
      </c>
      <c r="E191" s="6">
        <v>0.85</v>
      </c>
      <c r="F191" s="6">
        <v>0.85</v>
      </c>
      <c r="G191" s="6">
        <v>0.85</v>
      </c>
      <c r="H191" s="6">
        <v>0.85</v>
      </c>
      <c r="I191" s="6">
        <v>0.85</v>
      </c>
      <c r="J191" s="6">
        <v>0.85</v>
      </c>
      <c r="K191" s="6">
        <v>0.85</v>
      </c>
      <c r="L191" s="6">
        <v>0.85</v>
      </c>
      <c r="M191" s="6">
        <v>0.85</v>
      </c>
      <c r="N191" s="6">
        <v>0.85</v>
      </c>
      <c r="O191" s="6">
        <v>0.85</v>
      </c>
      <c r="P191" s="6">
        <v>0.85</v>
      </c>
      <c r="Q191" s="6">
        <v>0.85</v>
      </c>
      <c r="R191" s="6">
        <v>0.85</v>
      </c>
      <c r="S191" s="6">
        <v>0.85</v>
      </c>
      <c r="T191" s="6">
        <v>0.85</v>
      </c>
      <c r="U191" s="6">
        <v>0.85</v>
      </c>
      <c r="V191" s="6">
        <v>0.85</v>
      </c>
      <c r="W191" s="6">
        <v>0.85</v>
      </c>
      <c r="X191" s="6">
        <v>0.85</v>
      </c>
      <c r="Y191" s="6">
        <v>0.85</v>
      </c>
      <c r="Z191" s="6">
        <v>0.85</v>
      </c>
      <c r="AA191" s="6">
        <v>0.85</v>
      </c>
      <c r="AB191" s="6">
        <v>0.85</v>
      </c>
      <c r="AC191" s="6">
        <v>0.85</v>
      </c>
      <c r="AD191" s="6">
        <v>0.85</v>
      </c>
      <c r="AE191" s="6">
        <v>0.85</v>
      </c>
      <c r="AF191" s="6">
        <v>0.85</v>
      </c>
      <c r="AG191" s="177">
        <v>0.85</v>
      </c>
    </row>
    <row r="192" spans="1:33" hidden="1" outlineLevel="1" x14ac:dyDescent="0.25">
      <c r="A192" s="103">
        <v>0.83333333333333337</v>
      </c>
      <c r="B192" s="123">
        <v>0.85416666666666663</v>
      </c>
      <c r="C192" s="176">
        <v>0.85</v>
      </c>
      <c r="D192" s="6">
        <v>0.85</v>
      </c>
      <c r="E192" s="6">
        <v>0.85</v>
      </c>
      <c r="F192" s="6">
        <v>0.85</v>
      </c>
      <c r="G192" s="6">
        <v>0.85</v>
      </c>
      <c r="H192" s="6">
        <v>0.85</v>
      </c>
      <c r="I192" s="6">
        <v>0.85</v>
      </c>
      <c r="J192" s="6">
        <v>0.85</v>
      </c>
      <c r="K192" s="6">
        <v>0.85</v>
      </c>
      <c r="L192" s="6">
        <v>0.85</v>
      </c>
      <c r="M192" s="6">
        <v>0.85</v>
      </c>
      <c r="N192" s="6">
        <v>0.85</v>
      </c>
      <c r="O192" s="6">
        <v>0.85</v>
      </c>
      <c r="P192" s="6">
        <v>0.85</v>
      </c>
      <c r="Q192" s="6">
        <v>0.85</v>
      </c>
      <c r="R192" s="6">
        <v>0.85</v>
      </c>
      <c r="S192" s="6">
        <v>0.85</v>
      </c>
      <c r="T192" s="6">
        <v>0.85</v>
      </c>
      <c r="U192" s="6">
        <v>0.85</v>
      </c>
      <c r="V192" s="6">
        <v>0.85</v>
      </c>
      <c r="W192" s="6">
        <v>0.85</v>
      </c>
      <c r="X192" s="6">
        <v>0.85</v>
      </c>
      <c r="Y192" s="6">
        <v>0.85</v>
      </c>
      <c r="Z192" s="6">
        <v>0.85</v>
      </c>
      <c r="AA192" s="6">
        <v>0.85</v>
      </c>
      <c r="AB192" s="6">
        <v>0.85</v>
      </c>
      <c r="AC192" s="6">
        <v>0.85</v>
      </c>
      <c r="AD192" s="6">
        <v>0.85</v>
      </c>
      <c r="AE192" s="6">
        <v>0.85</v>
      </c>
      <c r="AF192" s="6">
        <v>0.85</v>
      </c>
      <c r="AG192" s="177">
        <v>0.85</v>
      </c>
    </row>
    <row r="193" spans="1:75" hidden="1" outlineLevel="1" x14ac:dyDescent="0.25">
      <c r="A193" s="103">
        <v>0.85416666666666663</v>
      </c>
      <c r="B193" s="123">
        <v>0.875</v>
      </c>
      <c r="C193" s="176">
        <v>0.85</v>
      </c>
      <c r="D193" s="6">
        <v>0.85</v>
      </c>
      <c r="E193" s="6">
        <v>0.85</v>
      </c>
      <c r="F193" s="6">
        <v>0.85</v>
      </c>
      <c r="G193" s="6">
        <v>0.85</v>
      </c>
      <c r="H193" s="6">
        <v>0.85</v>
      </c>
      <c r="I193" s="6">
        <v>0.85</v>
      </c>
      <c r="J193" s="6">
        <v>0.85</v>
      </c>
      <c r="K193" s="6">
        <v>0.85</v>
      </c>
      <c r="L193" s="6">
        <v>0.85</v>
      </c>
      <c r="M193" s="6">
        <v>0.85</v>
      </c>
      <c r="N193" s="6">
        <v>0.85</v>
      </c>
      <c r="O193" s="6">
        <v>0.85</v>
      </c>
      <c r="P193" s="6">
        <v>0.85</v>
      </c>
      <c r="Q193" s="6">
        <v>0.85</v>
      </c>
      <c r="R193" s="6">
        <v>0.85</v>
      </c>
      <c r="S193" s="6">
        <v>0.85</v>
      </c>
      <c r="T193" s="6">
        <v>0.85</v>
      </c>
      <c r="U193" s="6">
        <v>0.85</v>
      </c>
      <c r="V193" s="6">
        <v>0.85</v>
      </c>
      <c r="W193" s="6">
        <v>0.85</v>
      </c>
      <c r="X193" s="6">
        <v>0.85</v>
      </c>
      <c r="Y193" s="6">
        <v>0.85</v>
      </c>
      <c r="Z193" s="6">
        <v>0.85</v>
      </c>
      <c r="AA193" s="6">
        <v>0.85</v>
      </c>
      <c r="AB193" s="6">
        <v>0.85</v>
      </c>
      <c r="AC193" s="6">
        <v>0.85</v>
      </c>
      <c r="AD193" s="6">
        <v>0.85</v>
      </c>
      <c r="AE193" s="6">
        <v>0.85</v>
      </c>
      <c r="AF193" s="6">
        <v>0.85</v>
      </c>
      <c r="AG193" s="177">
        <v>0.85</v>
      </c>
    </row>
    <row r="194" spans="1:75" hidden="1" outlineLevel="1" x14ac:dyDescent="0.25">
      <c r="A194" s="103">
        <v>0.875</v>
      </c>
      <c r="B194" s="123">
        <v>0.89583333333333337</v>
      </c>
      <c r="C194" s="176">
        <v>0.85</v>
      </c>
      <c r="D194" s="6">
        <v>0.85</v>
      </c>
      <c r="E194" s="6">
        <v>0.85</v>
      </c>
      <c r="F194" s="6">
        <v>0.85</v>
      </c>
      <c r="G194" s="6">
        <v>0.85</v>
      </c>
      <c r="H194" s="6">
        <v>0.85</v>
      </c>
      <c r="I194" s="6">
        <v>0.85</v>
      </c>
      <c r="J194" s="6">
        <v>0.85</v>
      </c>
      <c r="K194" s="6">
        <v>0.85</v>
      </c>
      <c r="L194" s="6">
        <v>0.85</v>
      </c>
      <c r="M194" s="6">
        <v>0.85</v>
      </c>
      <c r="N194" s="6">
        <v>0.85</v>
      </c>
      <c r="O194" s="6">
        <v>0.85</v>
      </c>
      <c r="P194" s="6">
        <v>0.85</v>
      </c>
      <c r="Q194" s="6">
        <v>0.85</v>
      </c>
      <c r="R194" s="6">
        <v>0.85</v>
      </c>
      <c r="S194" s="6">
        <v>0.85</v>
      </c>
      <c r="T194" s="6">
        <v>0.85</v>
      </c>
      <c r="U194" s="6">
        <v>0.85</v>
      </c>
      <c r="V194" s="6">
        <v>0.85</v>
      </c>
      <c r="W194" s="6">
        <v>0.85</v>
      </c>
      <c r="X194" s="6">
        <v>0.85</v>
      </c>
      <c r="Y194" s="6">
        <v>0.85</v>
      </c>
      <c r="Z194" s="6">
        <v>0.85</v>
      </c>
      <c r="AA194" s="6">
        <v>0.85</v>
      </c>
      <c r="AB194" s="6">
        <v>0.85</v>
      </c>
      <c r="AC194" s="6">
        <v>0.85</v>
      </c>
      <c r="AD194" s="6">
        <v>0.85</v>
      </c>
      <c r="AE194" s="6">
        <v>0.85</v>
      </c>
      <c r="AF194" s="6">
        <v>0.85</v>
      </c>
      <c r="AG194" s="177">
        <v>0.85</v>
      </c>
    </row>
    <row r="195" spans="1:75" ht="15.75" hidden="1" outlineLevel="1" thickBot="1" x14ac:dyDescent="0.3">
      <c r="A195" s="113">
        <v>0.89583333333333337</v>
      </c>
      <c r="B195" s="134">
        <v>0.91666666666666663</v>
      </c>
      <c r="C195" s="178">
        <v>0.85</v>
      </c>
      <c r="D195" s="179">
        <v>0.85</v>
      </c>
      <c r="E195" s="179">
        <v>0.85</v>
      </c>
      <c r="F195" s="179">
        <v>0.85</v>
      </c>
      <c r="G195" s="179">
        <v>0.85</v>
      </c>
      <c r="H195" s="179">
        <v>0.85</v>
      </c>
      <c r="I195" s="179">
        <v>0.85</v>
      </c>
      <c r="J195" s="179">
        <v>0.85</v>
      </c>
      <c r="K195" s="179">
        <v>0.85</v>
      </c>
      <c r="L195" s="179">
        <v>0.85</v>
      </c>
      <c r="M195" s="179">
        <v>0.85</v>
      </c>
      <c r="N195" s="179">
        <v>0.85</v>
      </c>
      <c r="O195" s="179">
        <v>0.85</v>
      </c>
      <c r="P195" s="179">
        <v>0.85</v>
      </c>
      <c r="Q195" s="179">
        <v>0.85</v>
      </c>
      <c r="R195" s="179">
        <v>0.85</v>
      </c>
      <c r="S195" s="179">
        <v>0.85</v>
      </c>
      <c r="T195" s="179">
        <v>0.85</v>
      </c>
      <c r="U195" s="179">
        <v>0.85</v>
      </c>
      <c r="V195" s="179">
        <v>0.85</v>
      </c>
      <c r="W195" s="179">
        <v>0.85</v>
      </c>
      <c r="X195" s="179">
        <v>0.85</v>
      </c>
      <c r="Y195" s="179">
        <v>0.85</v>
      </c>
      <c r="Z195" s="179">
        <v>0.85</v>
      </c>
      <c r="AA195" s="179">
        <v>0.85</v>
      </c>
      <c r="AB195" s="179">
        <v>0.85</v>
      </c>
      <c r="AC195" s="179">
        <v>0.85</v>
      </c>
      <c r="AD195" s="179">
        <v>0.85</v>
      </c>
      <c r="AE195" s="179">
        <v>0.85</v>
      </c>
      <c r="AF195" s="179">
        <v>0.85</v>
      </c>
      <c r="AG195" s="180">
        <v>0.85</v>
      </c>
    </row>
    <row r="196" spans="1:75" hidden="1" outlineLevel="1" x14ac:dyDescent="0.25">
      <c r="A196" s="108">
        <v>0.91666666666666663</v>
      </c>
      <c r="B196" s="125">
        <v>0.9375</v>
      </c>
      <c r="C196" s="181">
        <v>0.85</v>
      </c>
      <c r="D196" s="182">
        <v>0.85</v>
      </c>
      <c r="E196" s="182">
        <v>0.85</v>
      </c>
      <c r="F196" s="182">
        <v>0.85</v>
      </c>
      <c r="G196" s="182">
        <v>0.85</v>
      </c>
      <c r="H196" s="182">
        <v>0.85</v>
      </c>
      <c r="I196" s="182">
        <v>0.85</v>
      </c>
      <c r="J196" s="182">
        <v>0.85</v>
      </c>
      <c r="K196" s="182">
        <v>0.85</v>
      </c>
      <c r="L196" s="182">
        <v>0.85</v>
      </c>
      <c r="M196" s="182">
        <v>0.85</v>
      </c>
      <c r="N196" s="182">
        <v>0.85</v>
      </c>
      <c r="O196" s="182">
        <v>0.85</v>
      </c>
      <c r="P196" s="182">
        <v>0.85</v>
      </c>
      <c r="Q196" s="182">
        <v>0.85</v>
      </c>
      <c r="R196" s="182">
        <v>0.85</v>
      </c>
      <c r="S196" s="182">
        <v>0.85</v>
      </c>
      <c r="T196" s="182">
        <v>0.85</v>
      </c>
      <c r="U196" s="182">
        <v>0.85</v>
      </c>
      <c r="V196" s="182">
        <v>0.85</v>
      </c>
      <c r="W196" s="182">
        <v>0.85</v>
      </c>
      <c r="X196" s="182">
        <v>0.85</v>
      </c>
      <c r="Y196" s="182">
        <v>0.85</v>
      </c>
      <c r="Z196" s="182">
        <v>0.85</v>
      </c>
      <c r="AA196" s="182">
        <v>0.85</v>
      </c>
      <c r="AB196" s="182">
        <v>0.85</v>
      </c>
      <c r="AC196" s="182">
        <v>0.85</v>
      </c>
      <c r="AD196" s="182">
        <v>0.85</v>
      </c>
      <c r="AE196" s="182">
        <v>0.85</v>
      </c>
      <c r="AF196" s="182">
        <v>0.85</v>
      </c>
      <c r="AG196" s="183">
        <v>0.85</v>
      </c>
    </row>
    <row r="197" spans="1:75" hidden="1" outlineLevel="1" x14ac:dyDescent="0.25">
      <c r="A197" s="102">
        <v>0.9375</v>
      </c>
      <c r="B197" s="128">
        <v>0.95833333333333337</v>
      </c>
      <c r="C197" s="184">
        <v>0.85</v>
      </c>
      <c r="D197" s="185">
        <v>0.85</v>
      </c>
      <c r="E197" s="185">
        <v>0.85</v>
      </c>
      <c r="F197" s="185">
        <v>0.85</v>
      </c>
      <c r="G197" s="185">
        <v>0.85</v>
      </c>
      <c r="H197" s="185">
        <v>0.85</v>
      </c>
      <c r="I197" s="185">
        <v>0.85</v>
      </c>
      <c r="J197" s="185">
        <v>0.85</v>
      </c>
      <c r="K197" s="185">
        <v>0.85</v>
      </c>
      <c r="L197" s="185">
        <v>0.85</v>
      </c>
      <c r="M197" s="185">
        <v>0.85</v>
      </c>
      <c r="N197" s="185">
        <v>0.85</v>
      </c>
      <c r="O197" s="185">
        <v>0.85</v>
      </c>
      <c r="P197" s="185">
        <v>0.85</v>
      </c>
      <c r="Q197" s="185">
        <v>0.85</v>
      </c>
      <c r="R197" s="185">
        <v>0.85</v>
      </c>
      <c r="S197" s="185">
        <v>0.85</v>
      </c>
      <c r="T197" s="185">
        <v>0.85</v>
      </c>
      <c r="U197" s="185">
        <v>0.85</v>
      </c>
      <c r="V197" s="185">
        <v>0.85</v>
      </c>
      <c r="W197" s="185">
        <v>0.85</v>
      </c>
      <c r="X197" s="185">
        <v>0.85</v>
      </c>
      <c r="Y197" s="185">
        <v>0.85</v>
      </c>
      <c r="Z197" s="185">
        <v>0.85</v>
      </c>
      <c r="AA197" s="185">
        <v>0.85</v>
      </c>
      <c r="AB197" s="185">
        <v>0.85</v>
      </c>
      <c r="AC197" s="185">
        <v>0.85</v>
      </c>
      <c r="AD197" s="185">
        <v>0.85</v>
      </c>
      <c r="AE197" s="185">
        <v>0.85</v>
      </c>
      <c r="AF197" s="185">
        <v>0.85</v>
      </c>
      <c r="AG197" s="186">
        <v>0.85</v>
      </c>
    </row>
    <row r="198" spans="1:75" hidden="1" outlineLevel="1" x14ac:dyDescent="0.25">
      <c r="A198" s="102">
        <v>0.95833333333333337</v>
      </c>
      <c r="B198" s="128">
        <v>0.97916666666666663</v>
      </c>
      <c r="C198" s="184">
        <v>0.85</v>
      </c>
      <c r="D198" s="185">
        <v>0.85</v>
      </c>
      <c r="E198" s="185">
        <v>0.85</v>
      </c>
      <c r="F198" s="185">
        <v>0.85</v>
      </c>
      <c r="G198" s="185">
        <v>0.85</v>
      </c>
      <c r="H198" s="185">
        <v>0.85</v>
      </c>
      <c r="I198" s="185">
        <v>0.85</v>
      </c>
      <c r="J198" s="185">
        <v>0.85</v>
      </c>
      <c r="K198" s="185">
        <v>0.85</v>
      </c>
      <c r="L198" s="185">
        <v>0.85</v>
      </c>
      <c r="M198" s="185">
        <v>0.85</v>
      </c>
      <c r="N198" s="185">
        <v>0.85</v>
      </c>
      <c r="O198" s="185">
        <v>0.85</v>
      </c>
      <c r="P198" s="185">
        <v>0.85</v>
      </c>
      <c r="Q198" s="185">
        <v>0.85</v>
      </c>
      <c r="R198" s="185">
        <v>0.85</v>
      </c>
      <c r="S198" s="185">
        <v>0.85</v>
      </c>
      <c r="T198" s="185">
        <v>0.85</v>
      </c>
      <c r="U198" s="185">
        <v>0.85</v>
      </c>
      <c r="V198" s="185">
        <v>0.85</v>
      </c>
      <c r="W198" s="185">
        <v>0.85</v>
      </c>
      <c r="X198" s="185">
        <v>0.85</v>
      </c>
      <c r="Y198" s="185">
        <v>0.85</v>
      </c>
      <c r="Z198" s="185">
        <v>0.85</v>
      </c>
      <c r="AA198" s="185">
        <v>0.85</v>
      </c>
      <c r="AB198" s="185">
        <v>0.85</v>
      </c>
      <c r="AC198" s="185">
        <v>0.85</v>
      </c>
      <c r="AD198" s="185">
        <v>0.85</v>
      </c>
      <c r="AE198" s="185">
        <v>0.85</v>
      </c>
      <c r="AF198" s="185">
        <v>0.85</v>
      </c>
      <c r="AG198" s="186">
        <v>0.85</v>
      </c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</row>
    <row r="199" spans="1:75" ht="15.75" hidden="1" outlineLevel="1" thickBot="1" x14ac:dyDescent="0.3">
      <c r="A199" s="104">
        <v>0.97916666666666663</v>
      </c>
      <c r="B199" s="131">
        <v>0</v>
      </c>
      <c r="C199" s="187">
        <v>0.85</v>
      </c>
      <c r="D199" s="188">
        <v>0.85</v>
      </c>
      <c r="E199" s="188">
        <v>0.85</v>
      </c>
      <c r="F199" s="188">
        <v>0.85</v>
      </c>
      <c r="G199" s="188">
        <v>0.85</v>
      </c>
      <c r="H199" s="188">
        <v>0.85</v>
      </c>
      <c r="I199" s="188">
        <v>0.85</v>
      </c>
      <c r="J199" s="188">
        <v>0.85</v>
      </c>
      <c r="K199" s="188">
        <v>0.85</v>
      </c>
      <c r="L199" s="188">
        <v>0.85</v>
      </c>
      <c r="M199" s="188">
        <v>0.85</v>
      </c>
      <c r="N199" s="188">
        <v>0.85</v>
      </c>
      <c r="O199" s="188">
        <v>0.85</v>
      </c>
      <c r="P199" s="188">
        <v>0.85</v>
      </c>
      <c r="Q199" s="188">
        <v>0.85</v>
      </c>
      <c r="R199" s="188">
        <v>0.85</v>
      </c>
      <c r="S199" s="188">
        <v>0.85</v>
      </c>
      <c r="T199" s="188">
        <v>0.85</v>
      </c>
      <c r="U199" s="188">
        <v>0.85</v>
      </c>
      <c r="V199" s="188">
        <v>0.85</v>
      </c>
      <c r="W199" s="188">
        <v>0.85</v>
      </c>
      <c r="X199" s="188">
        <v>0.85</v>
      </c>
      <c r="Y199" s="188">
        <v>0.85</v>
      </c>
      <c r="Z199" s="188">
        <v>0.85</v>
      </c>
      <c r="AA199" s="188">
        <v>0.85</v>
      </c>
      <c r="AB199" s="188">
        <v>0.85</v>
      </c>
      <c r="AC199" s="188">
        <v>0.85</v>
      </c>
      <c r="AD199" s="188">
        <v>0.85</v>
      </c>
      <c r="AE199" s="188">
        <v>0.85</v>
      </c>
      <c r="AF199" s="188">
        <v>0.85</v>
      </c>
      <c r="AG199" s="189">
        <v>0.85</v>
      </c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</row>
    <row r="200" spans="1:75" ht="15.75" thickBot="1" x14ac:dyDescent="0.3">
      <c r="A200" s="331" t="s">
        <v>69</v>
      </c>
      <c r="B200" s="332"/>
      <c r="C200" s="340" t="s">
        <v>14</v>
      </c>
      <c r="D200" s="341"/>
      <c r="E200" s="341"/>
      <c r="F200" s="341"/>
      <c r="G200" s="341"/>
      <c r="H200" s="341"/>
      <c r="I200" s="341"/>
      <c r="J200" s="341"/>
      <c r="K200" s="341"/>
      <c r="L200" s="341"/>
      <c r="M200" s="341"/>
      <c r="N200" s="341"/>
      <c r="O200" s="341"/>
      <c r="P200" s="341"/>
      <c r="Q200" s="341"/>
      <c r="R200" s="341"/>
      <c r="S200" s="341"/>
      <c r="T200" s="341"/>
      <c r="U200" s="341"/>
      <c r="V200" s="341"/>
      <c r="W200" s="341"/>
      <c r="X200" s="341"/>
      <c r="Y200" s="341"/>
      <c r="Z200" s="341"/>
      <c r="AA200" s="341"/>
      <c r="AB200" s="341"/>
      <c r="AC200" s="341"/>
      <c r="AD200" s="341"/>
      <c r="AE200" s="341"/>
      <c r="AF200" s="341"/>
      <c r="AG200" s="342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</row>
    <row r="201" spans="1:75" outlineLevel="1" x14ac:dyDescent="0.25">
      <c r="A201" s="108">
        <v>0</v>
      </c>
      <c r="B201" s="125">
        <v>2.0833333333333332E-2</v>
      </c>
      <c r="C201" s="146">
        <f>IFERROR((((Agents($AH$2,$AI$2,C4,C54)/30)*22.5)/0.85)/C152,2)</f>
        <v>0</v>
      </c>
      <c r="D201" s="147">
        <f>IFERROR((((Agents($AH$2,$AI$2,D4,D54)/30)*22.5)/0.85)/D152,2)</f>
        <v>0</v>
      </c>
      <c r="E201" s="147">
        <f>IFERROR((((Agents($AH$2,$AI$2,E4,E54)/30)*22.5)/0.85)/E152,2)</f>
        <v>0</v>
      </c>
      <c r="F201" s="147">
        <f>IFERROR((((Agents($AH$2,$AI$2,F4,F54)/30)*22.5)/0.85)/F152,2)</f>
        <v>0</v>
      </c>
      <c r="G201" s="147">
        <f>IFERROR((((Agents($AH$2,$AI$2,G4,G54)/30)*22.5)/0.85)/G152,2)</f>
        <v>0</v>
      </c>
      <c r="H201" s="147">
        <f>IFERROR((((Agents($AH$2,$AI$2,H4,H54)/30)*22.5)/0.85)/H152,2)</f>
        <v>0</v>
      </c>
      <c r="I201" s="147">
        <f>IFERROR((((Agents($AH$2,$AI$2,I4,I54)/30)*22.5)/0.85)/I152,2)</f>
        <v>0</v>
      </c>
      <c r="J201" s="147">
        <f>IFERROR((((Agents($AH$2,$AI$2,J4,J54)/30)*22.5)/0.85)/J152,2)</f>
        <v>0</v>
      </c>
      <c r="K201" s="147">
        <f>IFERROR((((Agents($AH$2,$AI$2,K4,K54)/30)*22.5)/0.85)/K152,2)</f>
        <v>0</v>
      </c>
      <c r="L201" s="147">
        <f>IFERROR((((Agents($AH$2,$AI$2,L4,L54)/30)*22.5)/0.85)/L152,2)</f>
        <v>0</v>
      </c>
      <c r="M201" s="147">
        <f>IFERROR((((Agents($AH$2,$AI$2,M4,M54)/30)*22.5)/0.85)/M152,2)</f>
        <v>0</v>
      </c>
      <c r="N201" s="147">
        <f>IFERROR((((Agents($AH$2,$AI$2,N4,N54)/30)*22.5)/0.85)/N152,2)</f>
        <v>0</v>
      </c>
      <c r="O201" s="147">
        <f>IFERROR((((Agents($AH$2,$AI$2,O4,O54)/30)*22.5)/0.85)/O152,2)</f>
        <v>0</v>
      </c>
      <c r="P201" s="147">
        <f>IFERROR((((Agents($AH$2,$AI$2,P4,P54)/30)*22.5)/0.85)/P152,2)</f>
        <v>0</v>
      </c>
      <c r="Q201" s="147">
        <f>IFERROR((((Agents($AH$2,$AI$2,Q4,Q54)/30)*22.5)/0.85)/Q152,2)</f>
        <v>0</v>
      </c>
      <c r="R201" s="147">
        <f>IFERROR((((Agents($AH$2,$AI$2,R4,R54)/30)*22.5)/0.85)/R152,2)</f>
        <v>0</v>
      </c>
      <c r="S201" s="147">
        <f>IFERROR((((Agents($AH$2,$AI$2,S4,S54)/30)*22.5)/0.85)/S152,2)</f>
        <v>0</v>
      </c>
      <c r="T201" s="147">
        <f>IFERROR((((Agents($AH$2,$AI$2,T4,T54)/30)*22.5)/0.85)/T152,2)</f>
        <v>0</v>
      </c>
      <c r="U201" s="147">
        <f>IFERROR((((Agents($AH$2,$AI$2,U4,U54)/30)*22.5)/0.85)/U152,2)</f>
        <v>0</v>
      </c>
      <c r="V201" s="147">
        <f>IFERROR((((Agents($AH$2,$AI$2,V4,V54)/30)*22.5)/0.85)/V152,2)</f>
        <v>0</v>
      </c>
      <c r="W201" s="147">
        <f>IFERROR((((Agents($AH$2,$AI$2,W4,W54)/30)*22.5)/0.85)/W152,2)</f>
        <v>0</v>
      </c>
      <c r="X201" s="147">
        <f>IFERROR((((Agents($AH$2,$AI$2,X4,X54)/30)*22.5)/0.85)/X152,2)</f>
        <v>0</v>
      </c>
      <c r="Y201" s="147">
        <f>IFERROR((((Agents($AH$2,$AI$2,Y4,Y54)/30)*22.5)/0.85)/Y152,2)</f>
        <v>0</v>
      </c>
      <c r="Z201" s="147">
        <f>IFERROR((((Agents($AH$2,$AI$2,Z4,Z54)/30)*22.5)/0.85)/Z152,2)</f>
        <v>0</v>
      </c>
      <c r="AA201" s="147">
        <f>IFERROR((((Agents($AH$2,$AI$2,AA4,AA54)/30)*22.5)/0.85)/AA152,2)</f>
        <v>0</v>
      </c>
      <c r="AB201" s="147">
        <f>IFERROR((((Agents($AH$2,$AI$2,AB4,AB54)/30)*22.5)/0.85)/AB152,2)</f>
        <v>0</v>
      </c>
      <c r="AC201" s="147">
        <f>IFERROR((((Agents($AH$2,$AI$2,AC4,AC54)/30)*22.5)/0.85)/AC152,2)</f>
        <v>0</v>
      </c>
      <c r="AD201" s="147">
        <f>IFERROR((((Agents($AH$2,$AI$2,AD4,AD54)/30)*22.5)/0.85)/AD152,2)</f>
        <v>0</v>
      </c>
      <c r="AE201" s="147">
        <f>IFERROR((((Agents($AH$2,$AI$2,AE4,AE54)/30)*22.5)/0.85)/AE152,2)</f>
        <v>0</v>
      </c>
      <c r="AF201" s="147">
        <f>IFERROR((((Agents($AH$2,$AI$2,AF4,AF54)/30)*22.5)/0.85)/AF152,2)</f>
        <v>0</v>
      </c>
      <c r="AG201" s="148">
        <f>IFERROR((((Agents($AH$2,$AI$2,AG4,AG54)/30)*22.5)/0.85)/AG152,2)</f>
        <v>0</v>
      </c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</row>
    <row r="202" spans="1:75" outlineLevel="1" x14ac:dyDescent="0.25">
      <c r="A202" s="102">
        <v>2.0833333333333332E-2</v>
      </c>
      <c r="B202" s="128">
        <v>4.1666666666666664E-2</v>
      </c>
      <c r="C202" s="149">
        <f>IFERROR((((Agents($AH$2,$AI$2,C5,C55)/30)*22.5)/0.85)/C153,2)</f>
        <v>0</v>
      </c>
      <c r="D202" s="150">
        <f>IFERROR((((Agents($AH$2,$AI$2,D5,D55)/30)*22.5)/0.85)/D153,2)</f>
        <v>0</v>
      </c>
      <c r="E202" s="150">
        <f>IFERROR((((Agents($AH$2,$AI$2,E5,E55)/30)*22.5)/0.85)/E153,2)</f>
        <v>0</v>
      </c>
      <c r="F202" s="150">
        <f>IFERROR((((Agents($AH$2,$AI$2,F5,F55)/30)*22.5)/0.85)/F153,2)</f>
        <v>0</v>
      </c>
      <c r="G202" s="150">
        <f>IFERROR((((Agents($AH$2,$AI$2,G5,G55)/30)*22.5)/0.85)/G153,2)</f>
        <v>0</v>
      </c>
      <c r="H202" s="150">
        <f>IFERROR((((Agents($AH$2,$AI$2,H5,H55)/30)*22.5)/0.85)/H153,2)</f>
        <v>0</v>
      </c>
      <c r="I202" s="150">
        <f>IFERROR((((Agents($AH$2,$AI$2,I5,I55)/30)*22.5)/0.85)/I153,2)</f>
        <v>0</v>
      </c>
      <c r="J202" s="150">
        <f>IFERROR((((Agents($AH$2,$AI$2,J5,J55)/30)*22.5)/0.85)/J153,2)</f>
        <v>0</v>
      </c>
      <c r="K202" s="150">
        <f>IFERROR((((Agents($AH$2,$AI$2,K5,K55)/30)*22.5)/0.85)/K153,2)</f>
        <v>0</v>
      </c>
      <c r="L202" s="150">
        <f>IFERROR((((Agents($AH$2,$AI$2,L5,L55)/30)*22.5)/0.85)/L153,2)</f>
        <v>0</v>
      </c>
      <c r="M202" s="150">
        <f>IFERROR((((Agents($AH$2,$AI$2,M5,M55)/30)*22.5)/0.85)/M153,2)</f>
        <v>0</v>
      </c>
      <c r="N202" s="150">
        <f>IFERROR((((Agents($AH$2,$AI$2,N5,N55)/30)*22.5)/0.85)/N153,2)</f>
        <v>0</v>
      </c>
      <c r="O202" s="150">
        <f>IFERROR((((Agents($AH$2,$AI$2,O5,O55)/30)*22.5)/0.85)/O153,2)</f>
        <v>0</v>
      </c>
      <c r="P202" s="150">
        <f>IFERROR((((Agents($AH$2,$AI$2,P5,P55)/30)*22.5)/0.85)/P153,2)</f>
        <v>0</v>
      </c>
      <c r="Q202" s="150">
        <f>IFERROR((((Agents($AH$2,$AI$2,Q5,Q55)/30)*22.5)/0.85)/Q153,2)</f>
        <v>0</v>
      </c>
      <c r="R202" s="150">
        <f>IFERROR((((Agents($AH$2,$AI$2,R5,R55)/30)*22.5)/0.85)/R153,2)</f>
        <v>0</v>
      </c>
      <c r="S202" s="150">
        <f>IFERROR((((Agents($AH$2,$AI$2,S5,S55)/30)*22.5)/0.85)/S153,2)</f>
        <v>0</v>
      </c>
      <c r="T202" s="150">
        <f>IFERROR((((Agents($AH$2,$AI$2,T5,T55)/30)*22.5)/0.85)/T153,2)</f>
        <v>0</v>
      </c>
      <c r="U202" s="150">
        <f>IFERROR((((Agents($AH$2,$AI$2,U5,U55)/30)*22.5)/0.85)/U153,2)</f>
        <v>0</v>
      </c>
      <c r="V202" s="150">
        <f>IFERROR((((Agents($AH$2,$AI$2,V5,V55)/30)*22.5)/0.85)/V153,2)</f>
        <v>0</v>
      </c>
      <c r="W202" s="150">
        <f>IFERROR((((Agents($AH$2,$AI$2,W5,W55)/30)*22.5)/0.85)/W153,2)</f>
        <v>0</v>
      </c>
      <c r="X202" s="150">
        <f>IFERROR((((Agents($AH$2,$AI$2,X5,X55)/30)*22.5)/0.85)/X153,2)</f>
        <v>0</v>
      </c>
      <c r="Y202" s="150">
        <f>IFERROR((((Agents($AH$2,$AI$2,Y5,Y55)/30)*22.5)/0.85)/Y153,2)</f>
        <v>0</v>
      </c>
      <c r="Z202" s="150">
        <f>IFERROR((((Agents($AH$2,$AI$2,Z5,Z55)/30)*22.5)/0.85)/Z153,2)</f>
        <v>0</v>
      </c>
      <c r="AA202" s="150">
        <f>IFERROR((((Agents($AH$2,$AI$2,AA5,AA55)/30)*22.5)/0.85)/AA153,2)</f>
        <v>0</v>
      </c>
      <c r="AB202" s="150">
        <f>IFERROR((((Agents($AH$2,$AI$2,AB5,AB55)/30)*22.5)/0.85)/AB153,2)</f>
        <v>0</v>
      </c>
      <c r="AC202" s="150">
        <f>IFERROR((((Agents($AH$2,$AI$2,AC5,AC55)/30)*22.5)/0.85)/AC153,2)</f>
        <v>0</v>
      </c>
      <c r="AD202" s="150">
        <f>IFERROR((((Agents($AH$2,$AI$2,AD5,AD55)/30)*22.5)/0.85)/AD153,2)</f>
        <v>0</v>
      </c>
      <c r="AE202" s="150">
        <f>IFERROR((((Agents($AH$2,$AI$2,AE5,AE55)/30)*22.5)/0.85)/AE153,2)</f>
        <v>0</v>
      </c>
      <c r="AF202" s="150">
        <f>IFERROR((((Agents($AH$2,$AI$2,AF5,AF55)/30)*22.5)/0.85)/AF153,2)</f>
        <v>0</v>
      </c>
      <c r="AG202" s="151">
        <f>IFERROR((((Agents($AH$2,$AI$2,AG5,AG55)/30)*22.5)/0.85)/AG153,2)</f>
        <v>0</v>
      </c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</row>
    <row r="203" spans="1:75" outlineLevel="1" x14ac:dyDescent="0.25">
      <c r="A203" s="102">
        <v>4.1666666666666664E-2</v>
      </c>
      <c r="B203" s="128">
        <v>6.25E-2</v>
      </c>
      <c r="C203" s="149">
        <f>IFERROR((((Agents($AH$2,$AI$2,C6,C56)/30)*22.5)/0.85)/C154,2)</f>
        <v>0</v>
      </c>
      <c r="D203" s="150">
        <f>IFERROR((((Agents($AH$2,$AI$2,D6,D56)/30)*22.5)/0.85)/D154,2)</f>
        <v>0</v>
      </c>
      <c r="E203" s="150">
        <f>IFERROR((((Agents($AH$2,$AI$2,E6,E56)/30)*22.5)/0.85)/E154,2)</f>
        <v>0</v>
      </c>
      <c r="F203" s="150">
        <f>IFERROR((((Agents($AH$2,$AI$2,F6,F56)/30)*22.5)/0.85)/F154,2)</f>
        <v>0</v>
      </c>
      <c r="G203" s="150">
        <f>IFERROR((((Agents($AH$2,$AI$2,G6,G56)/30)*22.5)/0.85)/G154,2)</f>
        <v>0</v>
      </c>
      <c r="H203" s="150">
        <f>IFERROR((((Agents($AH$2,$AI$2,H6,H56)/30)*22.5)/0.85)/H154,2)</f>
        <v>0</v>
      </c>
      <c r="I203" s="150">
        <f>IFERROR((((Agents($AH$2,$AI$2,I6,I56)/30)*22.5)/0.85)/I154,2)</f>
        <v>0</v>
      </c>
      <c r="J203" s="150">
        <f>IFERROR((((Agents($AH$2,$AI$2,J6,J56)/30)*22.5)/0.85)/J154,2)</f>
        <v>0</v>
      </c>
      <c r="K203" s="150">
        <f>IFERROR((((Agents($AH$2,$AI$2,K6,K56)/30)*22.5)/0.85)/K154,2)</f>
        <v>0</v>
      </c>
      <c r="L203" s="150">
        <f>IFERROR((((Agents($AH$2,$AI$2,L6,L56)/30)*22.5)/0.85)/L154,2)</f>
        <v>0</v>
      </c>
      <c r="M203" s="150">
        <f>IFERROR((((Agents($AH$2,$AI$2,M6,M56)/30)*22.5)/0.85)/M154,2)</f>
        <v>0</v>
      </c>
      <c r="N203" s="150">
        <f>IFERROR((((Agents($AH$2,$AI$2,N6,N56)/30)*22.5)/0.85)/N154,2)</f>
        <v>0</v>
      </c>
      <c r="O203" s="150">
        <f>IFERROR((((Agents($AH$2,$AI$2,O6,O56)/30)*22.5)/0.85)/O154,2)</f>
        <v>0</v>
      </c>
      <c r="P203" s="150">
        <f>IFERROR((((Agents($AH$2,$AI$2,P6,P56)/30)*22.5)/0.85)/P154,2)</f>
        <v>0</v>
      </c>
      <c r="Q203" s="150">
        <f>IFERROR((((Agents($AH$2,$AI$2,Q6,Q56)/30)*22.5)/0.85)/Q154,2)</f>
        <v>0</v>
      </c>
      <c r="R203" s="150">
        <f>IFERROR((((Agents($AH$2,$AI$2,R6,R56)/30)*22.5)/0.85)/R154,2)</f>
        <v>0</v>
      </c>
      <c r="S203" s="150">
        <f>IFERROR((((Agents($AH$2,$AI$2,S6,S56)/30)*22.5)/0.85)/S154,2)</f>
        <v>0</v>
      </c>
      <c r="T203" s="150">
        <f>IFERROR((((Agents($AH$2,$AI$2,T6,T56)/30)*22.5)/0.85)/T154,2)</f>
        <v>0</v>
      </c>
      <c r="U203" s="150">
        <f>IFERROR((((Agents($AH$2,$AI$2,U6,U56)/30)*22.5)/0.85)/U154,2)</f>
        <v>0</v>
      </c>
      <c r="V203" s="150">
        <f>IFERROR((((Agents($AH$2,$AI$2,V6,V56)/30)*22.5)/0.85)/V154,2)</f>
        <v>0</v>
      </c>
      <c r="W203" s="150">
        <f>IFERROR((((Agents($AH$2,$AI$2,W6,W56)/30)*22.5)/0.85)/W154,2)</f>
        <v>0</v>
      </c>
      <c r="X203" s="150">
        <f>IFERROR((((Agents($AH$2,$AI$2,X6,X56)/30)*22.5)/0.85)/X154,2)</f>
        <v>0</v>
      </c>
      <c r="Y203" s="150">
        <f>IFERROR((((Agents($AH$2,$AI$2,Y6,Y56)/30)*22.5)/0.85)/Y154,2)</f>
        <v>0</v>
      </c>
      <c r="Z203" s="150">
        <f>IFERROR((((Agents($AH$2,$AI$2,Z6,Z56)/30)*22.5)/0.85)/Z154,2)</f>
        <v>0</v>
      </c>
      <c r="AA203" s="150">
        <f>IFERROR((((Agents($AH$2,$AI$2,AA6,AA56)/30)*22.5)/0.85)/AA154,2)</f>
        <v>0</v>
      </c>
      <c r="AB203" s="150">
        <f>IFERROR((((Agents($AH$2,$AI$2,AB6,AB56)/30)*22.5)/0.85)/AB154,2)</f>
        <v>0</v>
      </c>
      <c r="AC203" s="150">
        <f>IFERROR((((Agents($AH$2,$AI$2,AC6,AC56)/30)*22.5)/0.85)/AC154,2)</f>
        <v>0</v>
      </c>
      <c r="AD203" s="150">
        <f>IFERROR((((Agents($AH$2,$AI$2,AD6,AD56)/30)*22.5)/0.85)/AD154,2)</f>
        <v>0</v>
      </c>
      <c r="AE203" s="150">
        <f>IFERROR((((Agents($AH$2,$AI$2,AE6,AE56)/30)*22.5)/0.85)/AE154,2)</f>
        <v>0</v>
      </c>
      <c r="AF203" s="150">
        <f>IFERROR((((Agents($AH$2,$AI$2,AF6,AF56)/30)*22.5)/0.85)/AF154,2)</f>
        <v>0</v>
      </c>
      <c r="AG203" s="151">
        <f>IFERROR((((Agents($AH$2,$AI$2,AG6,AG56)/30)*22.5)/0.85)/AG154,2)</f>
        <v>0</v>
      </c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</row>
    <row r="204" spans="1:75" outlineLevel="1" x14ac:dyDescent="0.25">
      <c r="A204" s="102">
        <v>6.25E-2</v>
      </c>
      <c r="B204" s="128">
        <v>8.3333333333333329E-2</v>
      </c>
      <c r="C204" s="149">
        <f>IFERROR((((Agents($AH$2,$AI$2,C7,C57)/30)*22.5)/0.85)/C155,2)</f>
        <v>0</v>
      </c>
      <c r="D204" s="150">
        <f>IFERROR((((Agents($AH$2,$AI$2,D7,D57)/30)*22.5)/0.85)/D155,2)</f>
        <v>0</v>
      </c>
      <c r="E204" s="150">
        <f>IFERROR((((Agents($AH$2,$AI$2,E7,E57)/30)*22.5)/0.85)/E155,2)</f>
        <v>0</v>
      </c>
      <c r="F204" s="150">
        <f>IFERROR((((Agents($AH$2,$AI$2,F7,F57)/30)*22.5)/0.85)/F155,2)</f>
        <v>0</v>
      </c>
      <c r="G204" s="150">
        <f>IFERROR((((Agents($AH$2,$AI$2,G7,G57)/30)*22.5)/0.85)/G155,2)</f>
        <v>0</v>
      </c>
      <c r="H204" s="150">
        <f>IFERROR((((Agents($AH$2,$AI$2,H7,H57)/30)*22.5)/0.85)/H155,2)</f>
        <v>0</v>
      </c>
      <c r="I204" s="150">
        <f>IFERROR((((Agents($AH$2,$AI$2,I7,I57)/30)*22.5)/0.85)/I155,2)</f>
        <v>0</v>
      </c>
      <c r="J204" s="150">
        <f>IFERROR((((Agents($AH$2,$AI$2,J7,J57)/30)*22.5)/0.85)/J155,2)</f>
        <v>0</v>
      </c>
      <c r="K204" s="150">
        <f>IFERROR((((Agents($AH$2,$AI$2,K7,K57)/30)*22.5)/0.85)/K155,2)</f>
        <v>0</v>
      </c>
      <c r="L204" s="150">
        <f>IFERROR((((Agents($AH$2,$AI$2,L7,L57)/30)*22.5)/0.85)/L155,2)</f>
        <v>0</v>
      </c>
      <c r="M204" s="150">
        <f>IFERROR((((Agents($AH$2,$AI$2,M7,M57)/30)*22.5)/0.85)/M155,2)</f>
        <v>0</v>
      </c>
      <c r="N204" s="150">
        <f>IFERROR((((Agents($AH$2,$AI$2,N7,N57)/30)*22.5)/0.85)/N155,2)</f>
        <v>0</v>
      </c>
      <c r="O204" s="150">
        <f>IFERROR((((Agents($AH$2,$AI$2,O7,O57)/30)*22.5)/0.85)/O155,2)</f>
        <v>0</v>
      </c>
      <c r="P204" s="150">
        <f>IFERROR((((Agents($AH$2,$AI$2,P7,P57)/30)*22.5)/0.85)/P155,2)</f>
        <v>0</v>
      </c>
      <c r="Q204" s="150">
        <f>IFERROR((((Agents($AH$2,$AI$2,Q7,Q57)/30)*22.5)/0.85)/Q155,2)</f>
        <v>0</v>
      </c>
      <c r="R204" s="150">
        <f>IFERROR((((Agents($AH$2,$AI$2,R7,R57)/30)*22.5)/0.85)/R155,2)</f>
        <v>0</v>
      </c>
      <c r="S204" s="150">
        <f>IFERROR((((Agents($AH$2,$AI$2,S7,S57)/30)*22.5)/0.85)/S155,2)</f>
        <v>0</v>
      </c>
      <c r="T204" s="150">
        <f>IFERROR((((Agents($AH$2,$AI$2,T7,T57)/30)*22.5)/0.85)/T155,2)</f>
        <v>0</v>
      </c>
      <c r="U204" s="150">
        <f>IFERROR((((Agents($AH$2,$AI$2,U7,U57)/30)*22.5)/0.85)/U155,2)</f>
        <v>0</v>
      </c>
      <c r="V204" s="150">
        <f>IFERROR((((Agents($AH$2,$AI$2,V7,V57)/30)*22.5)/0.85)/V155,2)</f>
        <v>0</v>
      </c>
      <c r="W204" s="150">
        <f>IFERROR((((Agents($AH$2,$AI$2,W7,W57)/30)*22.5)/0.85)/W155,2)</f>
        <v>0</v>
      </c>
      <c r="X204" s="150">
        <f>IFERROR((((Agents($AH$2,$AI$2,X7,X57)/30)*22.5)/0.85)/X155,2)</f>
        <v>0</v>
      </c>
      <c r="Y204" s="150">
        <f>IFERROR((((Agents($AH$2,$AI$2,Y7,Y57)/30)*22.5)/0.85)/Y155,2)</f>
        <v>0</v>
      </c>
      <c r="Z204" s="150">
        <f>IFERROR((((Agents($AH$2,$AI$2,Z7,Z57)/30)*22.5)/0.85)/Z155,2)</f>
        <v>0</v>
      </c>
      <c r="AA204" s="150">
        <f>IFERROR((((Agents($AH$2,$AI$2,AA7,AA57)/30)*22.5)/0.85)/AA155,2)</f>
        <v>0</v>
      </c>
      <c r="AB204" s="150">
        <f>IFERROR((((Agents($AH$2,$AI$2,AB7,AB57)/30)*22.5)/0.85)/AB155,2)</f>
        <v>0</v>
      </c>
      <c r="AC204" s="150">
        <f>IFERROR((((Agents($AH$2,$AI$2,AC7,AC57)/30)*22.5)/0.85)/AC155,2)</f>
        <v>0</v>
      </c>
      <c r="AD204" s="150">
        <f>IFERROR((((Agents($AH$2,$AI$2,AD7,AD57)/30)*22.5)/0.85)/AD155,2)</f>
        <v>0</v>
      </c>
      <c r="AE204" s="150">
        <f>IFERROR((((Agents($AH$2,$AI$2,AE7,AE57)/30)*22.5)/0.85)/AE155,2)</f>
        <v>0</v>
      </c>
      <c r="AF204" s="150">
        <f>IFERROR((((Agents($AH$2,$AI$2,AF7,AF57)/30)*22.5)/0.85)/AF155,2)</f>
        <v>0</v>
      </c>
      <c r="AG204" s="151">
        <f>IFERROR((((Agents($AH$2,$AI$2,AG7,AG57)/30)*22.5)/0.85)/AG155,2)</f>
        <v>0</v>
      </c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</row>
    <row r="205" spans="1:75" outlineLevel="1" x14ac:dyDescent="0.25">
      <c r="A205" s="102">
        <v>8.3333333333333329E-2</v>
      </c>
      <c r="B205" s="128">
        <v>0.10416666666666667</v>
      </c>
      <c r="C205" s="149">
        <f>IFERROR((((Agents($AH$2,$AI$2,C8,C58)/30)*22.5)/0.85)/C156,2)</f>
        <v>0</v>
      </c>
      <c r="D205" s="150">
        <f>IFERROR((((Agents($AH$2,$AI$2,D8,D58)/30)*22.5)/0.85)/D156,2)</f>
        <v>0</v>
      </c>
      <c r="E205" s="150">
        <f>IFERROR((((Agents($AH$2,$AI$2,E8,E58)/30)*22.5)/0.85)/E156,2)</f>
        <v>0</v>
      </c>
      <c r="F205" s="150">
        <f>IFERROR((((Agents($AH$2,$AI$2,F8,F58)/30)*22.5)/0.85)/F156,2)</f>
        <v>0</v>
      </c>
      <c r="G205" s="150">
        <f>IFERROR((((Agents($AH$2,$AI$2,G8,G58)/30)*22.5)/0.85)/G156,2)</f>
        <v>0</v>
      </c>
      <c r="H205" s="150">
        <f>IFERROR((((Agents($AH$2,$AI$2,H8,H58)/30)*22.5)/0.85)/H156,2)</f>
        <v>0</v>
      </c>
      <c r="I205" s="150">
        <f>IFERROR((((Agents($AH$2,$AI$2,I8,I58)/30)*22.5)/0.85)/I156,2)</f>
        <v>0</v>
      </c>
      <c r="J205" s="150">
        <f>IFERROR((((Agents($AH$2,$AI$2,J8,J58)/30)*22.5)/0.85)/J156,2)</f>
        <v>0</v>
      </c>
      <c r="K205" s="150">
        <f>IFERROR((((Agents($AH$2,$AI$2,K8,K58)/30)*22.5)/0.85)/K156,2)</f>
        <v>0</v>
      </c>
      <c r="L205" s="150">
        <f>IFERROR((((Agents($AH$2,$AI$2,L8,L58)/30)*22.5)/0.85)/L156,2)</f>
        <v>0</v>
      </c>
      <c r="M205" s="150">
        <f>IFERROR((((Agents($AH$2,$AI$2,M8,M58)/30)*22.5)/0.85)/M156,2)</f>
        <v>0</v>
      </c>
      <c r="N205" s="150">
        <f>IFERROR((((Agents($AH$2,$AI$2,N8,N58)/30)*22.5)/0.85)/N156,2)</f>
        <v>0</v>
      </c>
      <c r="O205" s="150">
        <f>IFERROR((((Agents($AH$2,$AI$2,O8,O58)/30)*22.5)/0.85)/O156,2)</f>
        <v>0</v>
      </c>
      <c r="P205" s="150">
        <f>IFERROR((((Agents($AH$2,$AI$2,P8,P58)/30)*22.5)/0.85)/P156,2)</f>
        <v>0</v>
      </c>
      <c r="Q205" s="150">
        <f>IFERROR((((Agents($AH$2,$AI$2,Q8,Q58)/30)*22.5)/0.85)/Q156,2)</f>
        <v>0</v>
      </c>
      <c r="R205" s="150">
        <f>IFERROR((((Agents($AH$2,$AI$2,R8,R58)/30)*22.5)/0.85)/R156,2)</f>
        <v>0</v>
      </c>
      <c r="S205" s="150">
        <f>IFERROR((((Agents($AH$2,$AI$2,S8,S58)/30)*22.5)/0.85)/S156,2)</f>
        <v>0</v>
      </c>
      <c r="T205" s="150">
        <f>IFERROR((((Agents($AH$2,$AI$2,T8,T58)/30)*22.5)/0.85)/T156,2)</f>
        <v>0</v>
      </c>
      <c r="U205" s="150">
        <f>IFERROR((((Agents($AH$2,$AI$2,U8,U58)/30)*22.5)/0.85)/U156,2)</f>
        <v>0</v>
      </c>
      <c r="V205" s="150">
        <f>IFERROR((((Agents($AH$2,$AI$2,V8,V58)/30)*22.5)/0.85)/V156,2)</f>
        <v>0</v>
      </c>
      <c r="W205" s="150">
        <f>IFERROR((((Agents($AH$2,$AI$2,W8,W58)/30)*22.5)/0.85)/W156,2)</f>
        <v>0</v>
      </c>
      <c r="X205" s="150">
        <f>IFERROR((((Agents($AH$2,$AI$2,X8,X58)/30)*22.5)/0.85)/X156,2)</f>
        <v>0</v>
      </c>
      <c r="Y205" s="150">
        <f>IFERROR((((Agents($AH$2,$AI$2,Y8,Y58)/30)*22.5)/0.85)/Y156,2)</f>
        <v>0</v>
      </c>
      <c r="Z205" s="150">
        <f>IFERROR((((Agents($AH$2,$AI$2,Z8,Z58)/30)*22.5)/0.85)/Z156,2)</f>
        <v>0</v>
      </c>
      <c r="AA205" s="150">
        <f>IFERROR((((Agents($AH$2,$AI$2,AA8,AA58)/30)*22.5)/0.85)/AA156,2)</f>
        <v>0</v>
      </c>
      <c r="AB205" s="150">
        <f>IFERROR((((Agents($AH$2,$AI$2,AB8,AB58)/30)*22.5)/0.85)/AB156,2)</f>
        <v>0</v>
      </c>
      <c r="AC205" s="150">
        <f>IFERROR((((Agents($AH$2,$AI$2,AC8,AC58)/30)*22.5)/0.85)/AC156,2)</f>
        <v>0</v>
      </c>
      <c r="AD205" s="150">
        <f>IFERROR((((Agents($AH$2,$AI$2,AD8,AD58)/30)*22.5)/0.85)/AD156,2)</f>
        <v>0</v>
      </c>
      <c r="AE205" s="150">
        <f>IFERROR((((Agents($AH$2,$AI$2,AE8,AE58)/30)*22.5)/0.85)/AE156,2)</f>
        <v>0</v>
      </c>
      <c r="AF205" s="150">
        <f>IFERROR((((Agents($AH$2,$AI$2,AF8,AF58)/30)*22.5)/0.85)/AF156,2)</f>
        <v>0</v>
      </c>
      <c r="AG205" s="151">
        <f>IFERROR((((Agents($AH$2,$AI$2,AG8,AG58)/30)*22.5)/0.85)/AG156,2)</f>
        <v>0</v>
      </c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</row>
    <row r="206" spans="1:75" outlineLevel="1" x14ac:dyDescent="0.25">
      <c r="A206" s="102">
        <v>0.10416666666666667</v>
      </c>
      <c r="B206" s="128">
        <v>0.125</v>
      </c>
      <c r="C206" s="149">
        <f>IFERROR((((Agents($AH$2,$AI$2,C9,C59)/30)*22.5)/0.85)/C157,2)</f>
        <v>0</v>
      </c>
      <c r="D206" s="150">
        <f>IFERROR((((Agents($AH$2,$AI$2,D9,D59)/30)*22.5)/0.85)/D157,2)</f>
        <v>0</v>
      </c>
      <c r="E206" s="150">
        <f>IFERROR((((Agents($AH$2,$AI$2,E9,E59)/30)*22.5)/0.85)/E157,2)</f>
        <v>0</v>
      </c>
      <c r="F206" s="150">
        <f>IFERROR((((Agents($AH$2,$AI$2,F9,F59)/30)*22.5)/0.85)/F157,2)</f>
        <v>0</v>
      </c>
      <c r="G206" s="150">
        <f>IFERROR((((Agents($AH$2,$AI$2,G9,G59)/30)*22.5)/0.85)/G157,2)</f>
        <v>0</v>
      </c>
      <c r="H206" s="150">
        <f>IFERROR((((Agents($AH$2,$AI$2,H9,H59)/30)*22.5)/0.85)/H157,2)</f>
        <v>0</v>
      </c>
      <c r="I206" s="150">
        <f>IFERROR((((Agents($AH$2,$AI$2,I9,I59)/30)*22.5)/0.85)/I157,2)</f>
        <v>0</v>
      </c>
      <c r="J206" s="150">
        <f>IFERROR((((Agents($AH$2,$AI$2,J9,J59)/30)*22.5)/0.85)/J157,2)</f>
        <v>0</v>
      </c>
      <c r="K206" s="150">
        <f>IFERROR((((Agents($AH$2,$AI$2,K9,K59)/30)*22.5)/0.85)/K157,2)</f>
        <v>0</v>
      </c>
      <c r="L206" s="150">
        <f>IFERROR((((Agents($AH$2,$AI$2,L9,L59)/30)*22.5)/0.85)/L157,2)</f>
        <v>0</v>
      </c>
      <c r="M206" s="150">
        <f>IFERROR((((Agents($AH$2,$AI$2,M9,M59)/30)*22.5)/0.85)/M157,2)</f>
        <v>0</v>
      </c>
      <c r="N206" s="150">
        <f>IFERROR((((Agents($AH$2,$AI$2,N9,N59)/30)*22.5)/0.85)/N157,2)</f>
        <v>0</v>
      </c>
      <c r="O206" s="150">
        <f>IFERROR((((Agents($AH$2,$AI$2,O9,O59)/30)*22.5)/0.85)/O157,2)</f>
        <v>0</v>
      </c>
      <c r="P206" s="150">
        <f>IFERROR((((Agents($AH$2,$AI$2,P9,P59)/30)*22.5)/0.85)/P157,2)</f>
        <v>0</v>
      </c>
      <c r="Q206" s="150">
        <f>IFERROR((((Agents($AH$2,$AI$2,Q9,Q59)/30)*22.5)/0.85)/Q157,2)</f>
        <v>0</v>
      </c>
      <c r="R206" s="150">
        <f>IFERROR((((Agents($AH$2,$AI$2,R9,R59)/30)*22.5)/0.85)/R157,2)</f>
        <v>0</v>
      </c>
      <c r="S206" s="150">
        <f>IFERROR((((Agents($AH$2,$AI$2,S9,S59)/30)*22.5)/0.85)/S157,2)</f>
        <v>0</v>
      </c>
      <c r="T206" s="150">
        <f>IFERROR((((Agents($AH$2,$AI$2,T9,T59)/30)*22.5)/0.85)/T157,2)</f>
        <v>0</v>
      </c>
      <c r="U206" s="150">
        <f>IFERROR((((Agents($AH$2,$AI$2,U9,U59)/30)*22.5)/0.85)/U157,2)</f>
        <v>0</v>
      </c>
      <c r="V206" s="150">
        <f>IFERROR((((Agents($AH$2,$AI$2,V9,V59)/30)*22.5)/0.85)/V157,2)</f>
        <v>0</v>
      </c>
      <c r="W206" s="150">
        <f>IFERROR((((Agents($AH$2,$AI$2,W9,W59)/30)*22.5)/0.85)/W157,2)</f>
        <v>0</v>
      </c>
      <c r="X206" s="150">
        <f>IFERROR((((Agents($AH$2,$AI$2,X9,X59)/30)*22.5)/0.85)/X157,2)</f>
        <v>0</v>
      </c>
      <c r="Y206" s="150">
        <f>IFERROR((((Agents($AH$2,$AI$2,Y9,Y59)/30)*22.5)/0.85)/Y157,2)</f>
        <v>0</v>
      </c>
      <c r="Z206" s="150">
        <f>IFERROR((((Agents($AH$2,$AI$2,Z9,Z59)/30)*22.5)/0.85)/Z157,2)</f>
        <v>0</v>
      </c>
      <c r="AA206" s="150">
        <f>IFERROR((((Agents($AH$2,$AI$2,AA9,AA59)/30)*22.5)/0.85)/AA157,2)</f>
        <v>0</v>
      </c>
      <c r="AB206" s="150">
        <f>IFERROR((((Agents($AH$2,$AI$2,AB9,AB59)/30)*22.5)/0.85)/AB157,2)</f>
        <v>0</v>
      </c>
      <c r="AC206" s="150">
        <f>IFERROR((((Agents($AH$2,$AI$2,AC9,AC59)/30)*22.5)/0.85)/AC157,2)</f>
        <v>0</v>
      </c>
      <c r="AD206" s="150">
        <f>IFERROR((((Agents($AH$2,$AI$2,AD9,AD59)/30)*22.5)/0.85)/AD157,2)</f>
        <v>0</v>
      </c>
      <c r="AE206" s="150">
        <f>IFERROR((((Agents($AH$2,$AI$2,AE9,AE59)/30)*22.5)/0.85)/AE157,2)</f>
        <v>0</v>
      </c>
      <c r="AF206" s="150">
        <f>IFERROR((((Agents($AH$2,$AI$2,AF9,AF59)/30)*22.5)/0.85)/AF157,2)</f>
        <v>0</v>
      </c>
      <c r="AG206" s="151">
        <f>IFERROR((((Agents($AH$2,$AI$2,AG9,AG59)/30)*22.5)/0.85)/AG157,2)</f>
        <v>0</v>
      </c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</row>
    <row r="207" spans="1:75" outlineLevel="1" x14ac:dyDescent="0.25">
      <c r="A207" s="102">
        <v>0.125</v>
      </c>
      <c r="B207" s="128">
        <v>0.14583333333333334</v>
      </c>
      <c r="C207" s="149">
        <f>IFERROR((((Agents($AH$2,$AI$2,C10,C60)/30)*22.5)/0.85)/C158,2)</f>
        <v>0</v>
      </c>
      <c r="D207" s="150">
        <f>IFERROR((((Agents($AH$2,$AI$2,D10,D60)/30)*22.5)/0.85)/D158,2)</f>
        <v>0</v>
      </c>
      <c r="E207" s="150">
        <f>IFERROR((((Agents($AH$2,$AI$2,E10,E60)/30)*22.5)/0.85)/E158,2)</f>
        <v>0</v>
      </c>
      <c r="F207" s="150">
        <f>IFERROR((((Agents($AH$2,$AI$2,F10,F60)/30)*22.5)/0.85)/F158,2)</f>
        <v>0</v>
      </c>
      <c r="G207" s="150">
        <f>IFERROR((((Agents($AH$2,$AI$2,G10,G60)/30)*22.5)/0.85)/G158,2)</f>
        <v>0</v>
      </c>
      <c r="H207" s="150">
        <f>IFERROR((((Agents($AH$2,$AI$2,H10,H60)/30)*22.5)/0.85)/H158,2)</f>
        <v>0</v>
      </c>
      <c r="I207" s="150">
        <f>IFERROR((((Agents($AH$2,$AI$2,I10,I60)/30)*22.5)/0.85)/I158,2)</f>
        <v>0</v>
      </c>
      <c r="J207" s="150">
        <f>IFERROR((((Agents($AH$2,$AI$2,J10,J60)/30)*22.5)/0.85)/J158,2)</f>
        <v>0</v>
      </c>
      <c r="K207" s="150">
        <f>IFERROR((((Agents($AH$2,$AI$2,K10,K60)/30)*22.5)/0.85)/K158,2)</f>
        <v>0</v>
      </c>
      <c r="L207" s="150">
        <f>IFERROR((((Agents($AH$2,$AI$2,L10,L60)/30)*22.5)/0.85)/L158,2)</f>
        <v>0</v>
      </c>
      <c r="M207" s="150">
        <f>IFERROR((((Agents($AH$2,$AI$2,M10,M60)/30)*22.5)/0.85)/M158,2)</f>
        <v>0</v>
      </c>
      <c r="N207" s="150">
        <f>IFERROR((((Agents($AH$2,$AI$2,N10,N60)/30)*22.5)/0.85)/N158,2)</f>
        <v>0</v>
      </c>
      <c r="O207" s="150">
        <f>IFERROR((((Agents($AH$2,$AI$2,O10,O60)/30)*22.5)/0.85)/O158,2)</f>
        <v>0</v>
      </c>
      <c r="P207" s="150">
        <f>IFERROR((((Agents($AH$2,$AI$2,P10,P60)/30)*22.5)/0.85)/P158,2)</f>
        <v>0</v>
      </c>
      <c r="Q207" s="150">
        <f>IFERROR((((Agents($AH$2,$AI$2,Q10,Q60)/30)*22.5)/0.85)/Q158,2)</f>
        <v>0</v>
      </c>
      <c r="R207" s="150">
        <f>IFERROR((((Agents($AH$2,$AI$2,R10,R60)/30)*22.5)/0.85)/R158,2)</f>
        <v>0</v>
      </c>
      <c r="S207" s="150">
        <f>IFERROR((((Agents($AH$2,$AI$2,S10,S60)/30)*22.5)/0.85)/S158,2)</f>
        <v>0</v>
      </c>
      <c r="T207" s="150">
        <f>IFERROR((((Agents($AH$2,$AI$2,T10,T60)/30)*22.5)/0.85)/T158,2)</f>
        <v>0</v>
      </c>
      <c r="U207" s="150">
        <f>IFERROR((((Agents($AH$2,$AI$2,U10,U60)/30)*22.5)/0.85)/U158,2)</f>
        <v>0</v>
      </c>
      <c r="V207" s="150">
        <f>IFERROR((((Agents($AH$2,$AI$2,V10,V60)/30)*22.5)/0.85)/V158,2)</f>
        <v>0</v>
      </c>
      <c r="W207" s="150">
        <f>IFERROR((((Agents($AH$2,$AI$2,W10,W60)/30)*22.5)/0.85)/W158,2)</f>
        <v>0</v>
      </c>
      <c r="X207" s="150">
        <f>IFERROR((((Agents($AH$2,$AI$2,X10,X60)/30)*22.5)/0.85)/X158,2)</f>
        <v>0</v>
      </c>
      <c r="Y207" s="150">
        <f>IFERROR((((Agents($AH$2,$AI$2,Y10,Y60)/30)*22.5)/0.85)/Y158,2)</f>
        <v>0</v>
      </c>
      <c r="Z207" s="150">
        <f>IFERROR((((Agents($AH$2,$AI$2,Z10,Z60)/30)*22.5)/0.85)/Z158,2)</f>
        <v>0</v>
      </c>
      <c r="AA207" s="150">
        <f>IFERROR((((Agents($AH$2,$AI$2,AA10,AA60)/30)*22.5)/0.85)/AA158,2)</f>
        <v>0</v>
      </c>
      <c r="AB207" s="150">
        <f>IFERROR((((Agents($AH$2,$AI$2,AB10,AB60)/30)*22.5)/0.85)/AB158,2)</f>
        <v>0</v>
      </c>
      <c r="AC207" s="150">
        <f>IFERROR((((Agents($AH$2,$AI$2,AC10,AC60)/30)*22.5)/0.85)/AC158,2)</f>
        <v>0</v>
      </c>
      <c r="AD207" s="150">
        <f>IFERROR((((Agents($AH$2,$AI$2,AD10,AD60)/30)*22.5)/0.85)/AD158,2)</f>
        <v>0</v>
      </c>
      <c r="AE207" s="150">
        <f>IFERROR((((Agents($AH$2,$AI$2,AE10,AE60)/30)*22.5)/0.85)/AE158,2)</f>
        <v>0</v>
      </c>
      <c r="AF207" s="150">
        <f>IFERROR((((Agents($AH$2,$AI$2,AF10,AF60)/30)*22.5)/0.85)/AF158,2)</f>
        <v>0</v>
      </c>
      <c r="AG207" s="151">
        <f>IFERROR((((Agents($AH$2,$AI$2,AG10,AG60)/30)*22.5)/0.85)/AG158,2)</f>
        <v>0</v>
      </c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</row>
    <row r="208" spans="1:75" outlineLevel="1" x14ac:dyDescent="0.25">
      <c r="A208" s="102">
        <v>0.14583333333333334</v>
      </c>
      <c r="B208" s="128">
        <v>0.16666666666666666</v>
      </c>
      <c r="C208" s="149">
        <f>IFERROR((((Agents($AH$2,$AI$2,C11,C61)/30)*22.5)/0.85)/C159,2)</f>
        <v>0</v>
      </c>
      <c r="D208" s="150">
        <f>IFERROR((((Agents($AH$2,$AI$2,D11,D61)/30)*22.5)/0.85)/D159,2)</f>
        <v>0</v>
      </c>
      <c r="E208" s="150">
        <f>IFERROR((((Agents($AH$2,$AI$2,E11,E61)/30)*22.5)/0.85)/E159,2)</f>
        <v>0</v>
      </c>
      <c r="F208" s="150">
        <f>IFERROR((((Agents($AH$2,$AI$2,F11,F61)/30)*22.5)/0.85)/F159,2)</f>
        <v>0</v>
      </c>
      <c r="G208" s="150">
        <f>IFERROR((((Agents($AH$2,$AI$2,G11,G61)/30)*22.5)/0.85)/G159,2)</f>
        <v>0</v>
      </c>
      <c r="H208" s="150">
        <f>IFERROR((((Agents($AH$2,$AI$2,H11,H61)/30)*22.5)/0.85)/H159,2)</f>
        <v>0</v>
      </c>
      <c r="I208" s="150">
        <f>IFERROR((((Agents($AH$2,$AI$2,I11,I61)/30)*22.5)/0.85)/I159,2)</f>
        <v>0</v>
      </c>
      <c r="J208" s="150">
        <f>IFERROR((((Agents($AH$2,$AI$2,J11,J61)/30)*22.5)/0.85)/J159,2)</f>
        <v>0</v>
      </c>
      <c r="K208" s="150">
        <f>IFERROR((((Agents($AH$2,$AI$2,K11,K61)/30)*22.5)/0.85)/K159,2)</f>
        <v>0</v>
      </c>
      <c r="L208" s="150">
        <f>IFERROR((((Agents($AH$2,$AI$2,L11,L61)/30)*22.5)/0.85)/L159,2)</f>
        <v>0</v>
      </c>
      <c r="M208" s="150">
        <f>IFERROR((((Agents($AH$2,$AI$2,M11,M61)/30)*22.5)/0.85)/M159,2)</f>
        <v>0</v>
      </c>
      <c r="N208" s="150">
        <f>IFERROR((((Agents($AH$2,$AI$2,N11,N61)/30)*22.5)/0.85)/N159,2)</f>
        <v>0</v>
      </c>
      <c r="O208" s="150">
        <f>IFERROR((((Agents($AH$2,$AI$2,O11,O61)/30)*22.5)/0.85)/O159,2)</f>
        <v>0</v>
      </c>
      <c r="P208" s="150">
        <f>IFERROR((((Agents($AH$2,$AI$2,P11,P61)/30)*22.5)/0.85)/P159,2)</f>
        <v>0</v>
      </c>
      <c r="Q208" s="150">
        <f>IFERROR((((Agents($AH$2,$AI$2,Q11,Q61)/30)*22.5)/0.85)/Q159,2)</f>
        <v>0</v>
      </c>
      <c r="R208" s="150">
        <f>IFERROR((((Agents($AH$2,$AI$2,R11,R61)/30)*22.5)/0.85)/R159,2)</f>
        <v>0</v>
      </c>
      <c r="S208" s="150">
        <f>IFERROR((((Agents($AH$2,$AI$2,S11,S61)/30)*22.5)/0.85)/S159,2)</f>
        <v>0</v>
      </c>
      <c r="T208" s="150">
        <f>IFERROR((((Agents($AH$2,$AI$2,T11,T61)/30)*22.5)/0.85)/T159,2)</f>
        <v>0</v>
      </c>
      <c r="U208" s="150">
        <f>IFERROR((((Agents($AH$2,$AI$2,U11,U61)/30)*22.5)/0.85)/U159,2)</f>
        <v>0</v>
      </c>
      <c r="V208" s="150">
        <f>IFERROR((((Agents($AH$2,$AI$2,V11,V61)/30)*22.5)/0.85)/V159,2)</f>
        <v>0</v>
      </c>
      <c r="W208" s="150">
        <f>IFERROR((((Agents($AH$2,$AI$2,W11,W61)/30)*22.5)/0.85)/W159,2)</f>
        <v>0</v>
      </c>
      <c r="X208" s="150">
        <f>IFERROR((((Agents($AH$2,$AI$2,X11,X61)/30)*22.5)/0.85)/X159,2)</f>
        <v>0</v>
      </c>
      <c r="Y208" s="150">
        <f>IFERROR((((Agents($AH$2,$AI$2,Y11,Y61)/30)*22.5)/0.85)/Y159,2)</f>
        <v>0</v>
      </c>
      <c r="Z208" s="150">
        <f>IFERROR((((Agents($AH$2,$AI$2,Z11,Z61)/30)*22.5)/0.85)/Z159,2)</f>
        <v>0</v>
      </c>
      <c r="AA208" s="150">
        <f>IFERROR((((Agents($AH$2,$AI$2,AA11,AA61)/30)*22.5)/0.85)/AA159,2)</f>
        <v>0</v>
      </c>
      <c r="AB208" s="150">
        <f>IFERROR((((Agents($AH$2,$AI$2,AB11,AB61)/30)*22.5)/0.85)/AB159,2)</f>
        <v>0</v>
      </c>
      <c r="AC208" s="150">
        <f>IFERROR((((Agents($AH$2,$AI$2,AC11,AC61)/30)*22.5)/0.85)/AC159,2)</f>
        <v>0</v>
      </c>
      <c r="AD208" s="150">
        <f>IFERROR((((Agents($AH$2,$AI$2,AD11,AD61)/30)*22.5)/0.85)/AD159,2)</f>
        <v>0</v>
      </c>
      <c r="AE208" s="150">
        <f>IFERROR((((Agents($AH$2,$AI$2,AE11,AE61)/30)*22.5)/0.85)/AE159,2)</f>
        <v>0</v>
      </c>
      <c r="AF208" s="150">
        <f>IFERROR((((Agents($AH$2,$AI$2,AF11,AF61)/30)*22.5)/0.85)/AF159,2)</f>
        <v>0</v>
      </c>
      <c r="AG208" s="151">
        <f>IFERROR((((Agents($AH$2,$AI$2,AG11,AG61)/30)*22.5)/0.85)/AG159,2)</f>
        <v>0</v>
      </c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</row>
    <row r="209" spans="1:75" outlineLevel="1" x14ac:dyDescent="0.25">
      <c r="A209" s="102">
        <v>0.16666666666666666</v>
      </c>
      <c r="B209" s="128">
        <v>0.1875</v>
      </c>
      <c r="C209" s="149">
        <f>IFERROR((((Agents($AH$2,$AI$2,C12,C62)/30)*22.5)/0.85)/C160,2)</f>
        <v>0</v>
      </c>
      <c r="D209" s="150">
        <f>IFERROR((((Agents($AH$2,$AI$2,D12,D62)/30)*22.5)/0.85)/D160,2)</f>
        <v>0</v>
      </c>
      <c r="E209" s="150">
        <f>IFERROR((((Agents($AH$2,$AI$2,E12,E62)/30)*22.5)/0.85)/E160,2)</f>
        <v>0</v>
      </c>
      <c r="F209" s="150">
        <f>IFERROR((((Agents($AH$2,$AI$2,F12,F62)/30)*22.5)/0.85)/F160,2)</f>
        <v>0</v>
      </c>
      <c r="G209" s="150">
        <f>IFERROR((((Agents($AH$2,$AI$2,G12,G62)/30)*22.5)/0.85)/G160,2)</f>
        <v>0</v>
      </c>
      <c r="H209" s="150">
        <f>IFERROR((((Agents($AH$2,$AI$2,H12,H62)/30)*22.5)/0.85)/H160,2)</f>
        <v>0</v>
      </c>
      <c r="I209" s="150">
        <f>IFERROR((((Agents($AH$2,$AI$2,I12,I62)/30)*22.5)/0.85)/I160,2)</f>
        <v>0</v>
      </c>
      <c r="J209" s="150">
        <f>IFERROR((((Agents($AH$2,$AI$2,J12,J62)/30)*22.5)/0.85)/J160,2)</f>
        <v>0</v>
      </c>
      <c r="K209" s="150">
        <f>IFERROR((((Agents($AH$2,$AI$2,K12,K62)/30)*22.5)/0.85)/K160,2)</f>
        <v>0</v>
      </c>
      <c r="L209" s="150">
        <f>IFERROR((((Agents($AH$2,$AI$2,L12,L62)/30)*22.5)/0.85)/L160,2)</f>
        <v>0</v>
      </c>
      <c r="M209" s="150">
        <f>IFERROR((((Agents($AH$2,$AI$2,M12,M62)/30)*22.5)/0.85)/M160,2)</f>
        <v>0</v>
      </c>
      <c r="N209" s="150">
        <f>IFERROR((((Agents($AH$2,$AI$2,N12,N62)/30)*22.5)/0.85)/N160,2)</f>
        <v>0</v>
      </c>
      <c r="O209" s="150">
        <f>IFERROR((((Agents($AH$2,$AI$2,O12,O62)/30)*22.5)/0.85)/O160,2)</f>
        <v>0</v>
      </c>
      <c r="P209" s="150">
        <f>IFERROR((((Agents($AH$2,$AI$2,P12,P62)/30)*22.5)/0.85)/P160,2)</f>
        <v>0</v>
      </c>
      <c r="Q209" s="150">
        <f>IFERROR((((Agents($AH$2,$AI$2,Q12,Q62)/30)*22.5)/0.85)/Q160,2)</f>
        <v>0</v>
      </c>
      <c r="R209" s="150">
        <f>IFERROR((((Agents($AH$2,$AI$2,R12,R62)/30)*22.5)/0.85)/R160,2)</f>
        <v>0</v>
      </c>
      <c r="S209" s="150">
        <f>IFERROR((((Agents($AH$2,$AI$2,S12,S62)/30)*22.5)/0.85)/S160,2)</f>
        <v>0</v>
      </c>
      <c r="T209" s="150">
        <f>IFERROR((((Agents($AH$2,$AI$2,T12,T62)/30)*22.5)/0.85)/T160,2)</f>
        <v>0</v>
      </c>
      <c r="U209" s="150">
        <f>IFERROR((((Agents($AH$2,$AI$2,U12,U62)/30)*22.5)/0.85)/U160,2)</f>
        <v>0</v>
      </c>
      <c r="V209" s="150">
        <f>IFERROR((((Agents($AH$2,$AI$2,V12,V62)/30)*22.5)/0.85)/V160,2)</f>
        <v>0</v>
      </c>
      <c r="W209" s="150">
        <f>IFERROR((((Agents($AH$2,$AI$2,W12,W62)/30)*22.5)/0.85)/W160,2)</f>
        <v>0</v>
      </c>
      <c r="X209" s="150">
        <f>IFERROR((((Agents($AH$2,$AI$2,X12,X62)/30)*22.5)/0.85)/X160,2)</f>
        <v>0</v>
      </c>
      <c r="Y209" s="150">
        <f>IFERROR((((Agents($AH$2,$AI$2,Y12,Y62)/30)*22.5)/0.85)/Y160,2)</f>
        <v>0</v>
      </c>
      <c r="Z209" s="150">
        <f>IFERROR((((Agents($AH$2,$AI$2,Z12,Z62)/30)*22.5)/0.85)/Z160,2)</f>
        <v>0</v>
      </c>
      <c r="AA209" s="150">
        <f>IFERROR((((Agents($AH$2,$AI$2,AA12,AA62)/30)*22.5)/0.85)/AA160,2)</f>
        <v>0</v>
      </c>
      <c r="AB209" s="150">
        <f>IFERROR((((Agents($AH$2,$AI$2,AB12,AB62)/30)*22.5)/0.85)/AB160,2)</f>
        <v>0</v>
      </c>
      <c r="AC209" s="150">
        <f>IFERROR((((Agents($AH$2,$AI$2,AC12,AC62)/30)*22.5)/0.85)/AC160,2)</f>
        <v>0</v>
      </c>
      <c r="AD209" s="150">
        <f>IFERROR((((Agents($AH$2,$AI$2,AD12,AD62)/30)*22.5)/0.85)/AD160,2)</f>
        <v>0</v>
      </c>
      <c r="AE209" s="150">
        <f>IFERROR((((Agents($AH$2,$AI$2,AE12,AE62)/30)*22.5)/0.85)/AE160,2)</f>
        <v>0</v>
      </c>
      <c r="AF209" s="150">
        <f>IFERROR((((Agents($AH$2,$AI$2,AF12,AF62)/30)*22.5)/0.85)/AF160,2)</f>
        <v>0</v>
      </c>
      <c r="AG209" s="151">
        <f>IFERROR((((Agents($AH$2,$AI$2,AG12,AG62)/30)*22.5)/0.85)/AG160,2)</f>
        <v>0</v>
      </c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</row>
    <row r="210" spans="1:75" outlineLevel="1" x14ac:dyDescent="0.25">
      <c r="A210" s="102">
        <v>0.1875</v>
      </c>
      <c r="B210" s="128">
        <v>0.20833333333333334</v>
      </c>
      <c r="C210" s="149">
        <f>IFERROR((((Agents($AH$2,$AI$2,C13,C63)/30)*22.5)/0.85)/C161,2)</f>
        <v>0</v>
      </c>
      <c r="D210" s="150">
        <f>IFERROR((((Agents($AH$2,$AI$2,D13,D63)/30)*22.5)/0.85)/D161,2)</f>
        <v>0</v>
      </c>
      <c r="E210" s="150">
        <f>IFERROR((((Agents($AH$2,$AI$2,E13,E63)/30)*22.5)/0.85)/E161,2)</f>
        <v>0</v>
      </c>
      <c r="F210" s="150">
        <f>IFERROR((((Agents($AH$2,$AI$2,F13,F63)/30)*22.5)/0.85)/F161,2)</f>
        <v>0</v>
      </c>
      <c r="G210" s="150">
        <f>IFERROR((((Agents($AH$2,$AI$2,G13,G63)/30)*22.5)/0.85)/G161,2)</f>
        <v>0</v>
      </c>
      <c r="H210" s="150">
        <f>IFERROR((((Agents($AH$2,$AI$2,H13,H63)/30)*22.5)/0.85)/H161,2)</f>
        <v>0</v>
      </c>
      <c r="I210" s="150">
        <f>IFERROR((((Agents($AH$2,$AI$2,I13,I63)/30)*22.5)/0.85)/I161,2)</f>
        <v>0</v>
      </c>
      <c r="J210" s="150">
        <f>IFERROR((((Agents($AH$2,$AI$2,J13,J63)/30)*22.5)/0.85)/J161,2)</f>
        <v>0</v>
      </c>
      <c r="K210" s="150">
        <f>IFERROR((((Agents($AH$2,$AI$2,K13,K63)/30)*22.5)/0.85)/K161,2)</f>
        <v>0</v>
      </c>
      <c r="L210" s="150">
        <f>IFERROR((((Agents($AH$2,$AI$2,L13,L63)/30)*22.5)/0.85)/L161,2)</f>
        <v>0</v>
      </c>
      <c r="M210" s="150">
        <f>IFERROR((((Agents($AH$2,$AI$2,M13,M63)/30)*22.5)/0.85)/M161,2)</f>
        <v>0</v>
      </c>
      <c r="N210" s="150">
        <f>IFERROR((((Agents($AH$2,$AI$2,N13,N63)/30)*22.5)/0.85)/N161,2)</f>
        <v>0</v>
      </c>
      <c r="O210" s="150">
        <f>IFERROR((((Agents($AH$2,$AI$2,O13,O63)/30)*22.5)/0.85)/O161,2)</f>
        <v>0</v>
      </c>
      <c r="P210" s="150">
        <f>IFERROR((((Agents($AH$2,$AI$2,P13,P63)/30)*22.5)/0.85)/P161,2)</f>
        <v>0</v>
      </c>
      <c r="Q210" s="150">
        <f>IFERROR((((Agents($AH$2,$AI$2,Q13,Q63)/30)*22.5)/0.85)/Q161,2)</f>
        <v>0</v>
      </c>
      <c r="R210" s="150">
        <f>IFERROR((((Agents($AH$2,$AI$2,R13,R63)/30)*22.5)/0.85)/R161,2)</f>
        <v>0</v>
      </c>
      <c r="S210" s="150">
        <f>IFERROR((((Agents($AH$2,$AI$2,S13,S63)/30)*22.5)/0.85)/S161,2)</f>
        <v>0</v>
      </c>
      <c r="T210" s="150">
        <f>IFERROR((((Agents($AH$2,$AI$2,T13,T63)/30)*22.5)/0.85)/T161,2)</f>
        <v>0</v>
      </c>
      <c r="U210" s="150">
        <f>IFERROR((((Agents($AH$2,$AI$2,U13,U63)/30)*22.5)/0.85)/U161,2)</f>
        <v>0</v>
      </c>
      <c r="V210" s="150">
        <f>IFERROR((((Agents($AH$2,$AI$2,V13,V63)/30)*22.5)/0.85)/V161,2)</f>
        <v>0</v>
      </c>
      <c r="W210" s="150">
        <f>IFERROR((((Agents($AH$2,$AI$2,W13,W63)/30)*22.5)/0.85)/W161,2)</f>
        <v>0</v>
      </c>
      <c r="X210" s="150">
        <f>IFERROR((((Agents($AH$2,$AI$2,X13,X63)/30)*22.5)/0.85)/X161,2)</f>
        <v>0</v>
      </c>
      <c r="Y210" s="150">
        <f>IFERROR((((Agents($AH$2,$AI$2,Y13,Y63)/30)*22.5)/0.85)/Y161,2)</f>
        <v>0</v>
      </c>
      <c r="Z210" s="150">
        <f>IFERROR((((Agents($AH$2,$AI$2,Z13,Z63)/30)*22.5)/0.85)/Z161,2)</f>
        <v>0</v>
      </c>
      <c r="AA210" s="150">
        <f>IFERROR((((Agents($AH$2,$AI$2,AA13,AA63)/30)*22.5)/0.85)/AA161,2)</f>
        <v>0</v>
      </c>
      <c r="AB210" s="150">
        <f>IFERROR((((Agents($AH$2,$AI$2,AB13,AB63)/30)*22.5)/0.85)/AB161,2)</f>
        <v>0</v>
      </c>
      <c r="AC210" s="150">
        <f>IFERROR((((Agents($AH$2,$AI$2,AC13,AC63)/30)*22.5)/0.85)/AC161,2)</f>
        <v>0</v>
      </c>
      <c r="AD210" s="150">
        <f>IFERROR((((Agents($AH$2,$AI$2,AD13,AD63)/30)*22.5)/0.85)/AD161,2)</f>
        <v>0</v>
      </c>
      <c r="AE210" s="150">
        <f>IFERROR((((Agents($AH$2,$AI$2,AE13,AE63)/30)*22.5)/0.85)/AE161,2)</f>
        <v>0</v>
      </c>
      <c r="AF210" s="150">
        <f>IFERROR((((Agents($AH$2,$AI$2,AF13,AF63)/30)*22.5)/0.85)/AF161,2)</f>
        <v>0</v>
      </c>
      <c r="AG210" s="151">
        <f>IFERROR((((Agents($AH$2,$AI$2,AG13,AG63)/30)*22.5)/0.85)/AG161,2)</f>
        <v>0</v>
      </c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</row>
    <row r="211" spans="1:75" outlineLevel="1" x14ac:dyDescent="0.25">
      <c r="A211" s="102">
        <v>0.20833333333333334</v>
      </c>
      <c r="B211" s="128">
        <v>0.22916666666666666</v>
      </c>
      <c r="C211" s="149">
        <f>IFERROR((((Agents($AH$2,$AI$2,C14,C64)/30)*22.5)/0.85)/C162,2)</f>
        <v>0</v>
      </c>
      <c r="D211" s="150">
        <f>IFERROR((((Agents($AH$2,$AI$2,D14,D64)/30)*22.5)/0.85)/D162,2)</f>
        <v>0</v>
      </c>
      <c r="E211" s="150">
        <f>IFERROR((((Agents($AH$2,$AI$2,E14,E64)/30)*22.5)/0.85)/E162,2)</f>
        <v>0</v>
      </c>
      <c r="F211" s="150">
        <f>IFERROR((((Agents($AH$2,$AI$2,F14,F64)/30)*22.5)/0.85)/F162,2)</f>
        <v>0</v>
      </c>
      <c r="G211" s="150">
        <f>IFERROR((((Agents($AH$2,$AI$2,G14,G64)/30)*22.5)/0.85)/G162,2)</f>
        <v>0</v>
      </c>
      <c r="H211" s="150">
        <f>IFERROR((((Agents($AH$2,$AI$2,H14,H64)/30)*22.5)/0.85)/H162,2)</f>
        <v>0</v>
      </c>
      <c r="I211" s="150">
        <f>IFERROR((((Agents($AH$2,$AI$2,I14,I64)/30)*22.5)/0.85)/I162,2)</f>
        <v>0</v>
      </c>
      <c r="J211" s="150">
        <f>IFERROR((((Agents($AH$2,$AI$2,J14,J64)/30)*22.5)/0.85)/J162,2)</f>
        <v>0</v>
      </c>
      <c r="K211" s="150">
        <f>IFERROR((((Agents($AH$2,$AI$2,K14,K64)/30)*22.5)/0.85)/K162,2)</f>
        <v>0</v>
      </c>
      <c r="L211" s="150">
        <f>IFERROR((((Agents($AH$2,$AI$2,L14,L64)/30)*22.5)/0.85)/L162,2)</f>
        <v>0</v>
      </c>
      <c r="M211" s="150">
        <f>IFERROR((((Agents($AH$2,$AI$2,M14,M64)/30)*22.5)/0.85)/M162,2)</f>
        <v>0</v>
      </c>
      <c r="N211" s="150">
        <f>IFERROR((((Agents($AH$2,$AI$2,N14,N64)/30)*22.5)/0.85)/N162,2)</f>
        <v>0</v>
      </c>
      <c r="O211" s="150">
        <f>IFERROR((((Agents($AH$2,$AI$2,O14,O64)/30)*22.5)/0.85)/O162,2)</f>
        <v>0</v>
      </c>
      <c r="P211" s="150">
        <f>IFERROR((((Agents($AH$2,$AI$2,P14,P64)/30)*22.5)/0.85)/P162,2)</f>
        <v>0</v>
      </c>
      <c r="Q211" s="150">
        <f>IFERROR((((Agents($AH$2,$AI$2,Q14,Q64)/30)*22.5)/0.85)/Q162,2)</f>
        <v>0</v>
      </c>
      <c r="R211" s="150">
        <f>IFERROR((((Agents($AH$2,$AI$2,R14,R64)/30)*22.5)/0.85)/R162,2)</f>
        <v>0</v>
      </c>
      <c r="S211" s="150">
        <f>IFERROR((((Agents($AH$2,$AI$2,S14,S64)/30)*22.5)/0.85)/S162,2)</f>
        <v>0</v>
      </c>
      <c r="T211" s="150">
        <f>IFERROR((((Agents($AH$2,$AI$2,T14,T64)/30)*22.5)/0.85)/T162,2)</f>
        <v>0</v>
      </c>
      <c r="U211" s="150">
        <f>IFERROR((((Agents($AH$2,$AI$2,U14,U64)/30)*22.5)/0.85)/U162,2)</f>
        <v>0</v>
      </c>
      <c r="V211" s="150">
        <f>IFERROR((((Agents($AH$2,$AI$2,V14,V64)/30)*22.5)/0.85)/V162,2)</f>
        <v>0</v>
      </c>
      <c r="W211" s="150">
        <f>IFERROR((((Agents($AH$2,$AI$2,W14,W64)/30)*22.5)/0.85)/W162,2)</f>
        <v>0</v>
      </c>
      <c r="X211" s="150">
        <f>IFERROR((((Agents($AH$2,$AI$2,X14,X64)/30)*22.5)/0.85)/X162,2)</f>
        <v>0</v>
      </c>
      <c r="Y211" s="150">
        <f>IFERROR((((Agents($AH$2,$AI$2,Y14,Y64)/30)*22.5)/0.85)/Y162,2)</f>
        <v>0</v>
      </c>
      <c r="Z211" s="150">
        <f>IFERROR((((Agents($AH$2,$AI$2,Z14,Z64)/30)*22.5)/0.85)/Z162,2)</f>
        <v>0</v>
      </c>
      <c r="AA211" s="150">
        <f>IFERROR((((Agents($AH$2,$AI$2,AA14,AA64)/30)*22.5)/0.85)/AA162,2)</f>
        <v>0</v>
      </c>
      <c r="AB211" s="150">
        <f>IFERROR((((Agents($AH$2,$AI$2,AB14,AB64)/30)*22.5)/0.85)/AB162,2)</f>
        <v>0</v>
      </c>
      <c r="AC211" s="150">
        <f>IFERROR((((Agents($AH$2,$AI$2,AC14,AC64)/30)*22.5)/0.85)/AC162,2)</f>
        <v>0</v>
      </c>
      <c r="AD211" s="150">
        <f>IFERROR((((Agents($AH$2,$AI$2,AD14,AD64)/30)*22.5)/0.85)/AD162,2)</f>
        <v>0</v>
      </c>
      <c r="AE211" s="150">
        <f>IFERROR((((Agents($AH$2,$AI$2,AE14,AE64)/30)*22.5)/0.85)/AE162,2)</f>
        <v>0</v>
      </c>
      <c r="AF211" s="150">
        <f>IFERROR((((Agents($AH$2,$AI$2,AF14,AF64)/30)*22.5)/0.85)/AF162,2)</f>
        <v>0</v>
      </c>
      <c r="AG211" s="151">
        <f>IFERROR((((Agents($AH$2,$AI$2,AG14,AG64)/30)*22.5)/0.85)/AG162,2)</f>
        <v>0</v>
      </c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</row>
    <row r="212" spans="1:75" outlineLevel="1" x14ac:dyDescent="0.25">
      <c r="A212" s="102">
        <v>0.22916666666666666</v>
      </c>
      <c r="B212" s="128">
        <v>0.25</v>
      </c>
      <c r="C212" s="149">
        <f>IFERROR((((Agents($AH$2,$AI$2,C15,C65)/30)*22.5)/0.85)/C163,2)</f>
        <v>0</v>
      </c>
      <c r="D212" s="150">
        <f>IFERROR((((Agents($AH$2,$AI$2,D15,D65)/30)*22.5)/0.85)/D163,2)</f>
        <v>0</v>
      </c>
      <c r="E212" s="150">
        <f>IFERROR((((Agents($AH$2,$AI$2,E15,E65)/30)*22.5)/0.85)/E163,2)</f>
        <v>0</v>
      </c>
      <c r="F212" s="150">
        <f>IFERROR((((Agents($AH$2,$AI$2,F15,F65)/30)*22.5)/0.85)/F163,2)</f>
        <v>0</v>
      </c>
      <c r="G212" s="150">
        <f>IFERROR((((Agents($AH$2,$AI$2,G15,G65)/30)*22.5)/0.85)/G163,2)</f>
        <v>0</v>
      </c>
      <c r="H212" s="150">
        <f>IFERROR((((Agents($AH$2,$AI$2,H15,H65)/30)*22.5)/0.85)/H163,2)</f>
        <v>0</v>
      </c>
      <c r="I212" s="150">
        <f>IFERROR((((Agents($AH$2,$AI$2,I15,I65)/30)*22.5)/0.85)/I163,2)</f>
        <v>0</v>
      </c>
      <c r="J212" s="150">
        <f>IFERROR((((Agents($AH$2,$AI$2,J15,J65)/30)*22.5)/0.85)/J163,2)</f>
        <v>0</v>
      </c>
      <c r="K212" s="150">
        <f>IFERROR((((Agents($AH$2,$AI$2,K15,K65)/30)*22.5)/0.85)/K163,2)</f>
        <v>0</v>
      </c>
      <c r="L212" s="150">
        <f>IFERROR((((Agents($AH$2,$AI$2,L15,L65)/30)*22.5)/0.85)/L163,2)</f>
        <v>0</v>
      </c>
      <c r="M212" s="150">
        <f>IFERROR((((Agents($AH$2,$AI$2,M15,M65)/30)*22.5)/0.85)/M163,2)</f>
        <v>0</v>
      </c>
      <c r="N212" s="150">
        <f>IFERROR((((Agents($AH$2,$AI$2,N15,N65)/30)*22.5)/0.85)/N163,2)</f>
        <v>0</v>
      </c>
      <c r="O212" s="150">
        <f>IFERROR((((Agents($AH$2,$AI$2,O15,O65)/30)*22.5)/0.85)/O163,2)</f>
        <v>0</v>
      </c>
      <c r="P212" s="150">
        <f>IFERROR((((Agents($AH$2,$AI$2,P15,P65)/30)*22.5)/0.85)/P163,2)</f>
        <v>0</v>
      </c>
      <c r="Q212" s="150">
        <f>IFERROR((((Agents($AH$2,$AI$2,Q15,Q65)/30)*22.5)/0.85)/Q163,2)</f>
        <v>0</v>
      </c>
      <c r="R212" s="150">
        <f>IFERROR((((Agents($AH$2,$AI$2,R15,R65)/30)*22.5)/0.85)/R163,2)</f>
        <v>0</v>
      </c>
      <c r="S212" s="150">
        <f>IFERROR((((Agents($AH$2,$AI$2,S15,S65)/30)*22.5)/0.85)/S163,2)</f>
        <v>0</v>
      </c>
      <c r="T212" s="150">
        <f>IFERROR((((Agents($AH$2,$AI$2,T15,T65)/30)*22.5)/0.85)/T163,2)</f>
        <v>0</v>
      </c>
      <c r="U212" s="150">
        <f>IFERROR((((Agents($AH$2,$AI$2,U15,U65)/30)*22.5)/0.85)/U163,2)</f>
        <v>0</v>
      </c>
      <c r="V212" s="150">
        <f>IFERROR((((Agents($AH$2,$AI$2,V15,V65)/30)*22.5)/0.85)/V163,2)</f>
        <v>0</v>
      </c>
      <c r="W212" s="150">
        <f>IFERROR((((Agents($AH$2,$AI$2,W15,W65)/30)*22.5)/0.85)/W163,2)</f>
        <v>0</v>
      </c>
      <c r="X212" s="150">
        <f>IFERROR((((Agents($AH$2,$AI$2,X15,X65)/30)*22.5)/0.85)/X163,2)</f>
        <v>0</v>
      </c>
      <c r="Y212" s="150">
        <f>IFERROR((((Agents($AH$2,$AI$2,Y15,Y65)/30)*22.5)/0.85)/Y163,2)</f>
        <v>0</v>
      </c>
      <c r="Z212" s="150">
        <f>IFERROR((((Agents($AH$2,$AI$2,Z15,Z65)/30)*22.5)/0.85)/Z163,2)</f>
        <v>0</v>
      </c>
      <c r="AA212" s="150">
        <f>IFERROR((((Agents($AH$2,$AI$2,AA15,AA65)/30)*22.5)/0.85)/AA163,2)</f>
        <v>0</v>
      </c>
      <c r="AB212" s="150">
        <f>IFERROR((((Agents($AH$2,$AI$2,AB15,AB65)/30)*22.5)/0.85)/AB163,2)</f>
        <v>0</v>
      </c>
      <c r="AC212" s="150">
        <f>IFERROR((((Agents($AH$2,$AI$2,AC15,AC65)/30)*22.5)/0.85)/AC163,2)</f>
        <v>0</v>
      </c>
      <c r="AD212" s="150">
        <f>IFERROR((((Agents($AH$2,$AI$2,AD15,AD65)/30)*22.5)/0.85)/AD163,2)</f>
        <v>0</v>
      </c>
      <c r="AE212" s="150">
        <f>IFERROR((((Agents($AH$2,$AI$2,AE15,AE65)/30)*22.5)/0.85)/AE163,2)</f>
        <v>0</v>
      </c>
      <c r="AF212" s="150">
        <f>IFERROR((((Agents($AH$2,$AI$2,AF15,AF65)/30)*22.5)/0.85)/AF163,2)</f>
        <v>0</v>
      </c>
      <c r="AG212" s="151">
        <f>IFERROR((((Agents($AH$2,$AI$2,AG15,AG65)/30)*22.5)/0.85)/AG163,2)</f>
        <v>0</v>
      </c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</row>
    <row r="213" spans="1:75" outlineLevel="1" x14ac:dyDescent="0.25">
      <c r="A213" s="102">
        <v>0.25</v>
      </c>
      <c r="B213" s="128">
        <v>0.27083333333333331</v>
      </c>
      <c r="C213" s="149">
        <f>IFERROR((((Agents($AH$2,$AI$2,C16,C66)/30)*22.5)/0.85)/C164,2)</f>
        <v>0</v>
      </c>
      <c r="D213" s="150">
        <f>IFERROR((((Agents($AH$2,$AI$2,D16,D66)/30)*22.5)/0.85)/D164,2)</f>
        <v>0</v>
      </c>
      <c r="E213" s="150">
        <f>IFERROR((((Agents($AH$2,$AI$2,E16,E66)/30)*22.5)/0.85)/E164,2)</f>
        <v>0</v>
      </c>
      <c r="F213" s="150">
        <f>IFERROR((((Agents($AH$2,$AI$2,F16,F66)/30)*22.5)/0.85)/F164,2)</f>
        <v>0</v>
      </c>
      <c r="G213" s="150">
        <f>IFERROR((((Agents($AH$2,$AI$2,G16,G66)/30)*22.5)/0.85)/G164,2)</f>
        <v>0</v>
      </c>
      <c r="H213" s="150">
        <f>IFERROR((((Agents($AH$2,$AI$2,H16,H66)/30)*22.5)/0.85)/H164,2)</f>
        <v>0</v>
      </c>
      <c r="I213" s="150">
        <f>IFERROR((((Agents($AH$2,$AI$2,I16,I66)/30)*22.5)/0.85)/I164,2)</f>
        <v>0</v>
      </c>
      <c r="J213" s="150">
        <f>IFERROR((((Agents($AH$2,$AI$2,J16,J66)/30)*22.5)/0.85)/J164,2)</f>
        <v>0</v>
      </c>
      <c r="K213" s="150">
        <f>IFERROR((((Agents($AH$2,$AI$2,K16,K66)/30)*22.5)/0.85)/K164,2)</f>
        <v>0</v>
      </c>
      <c r="L213" s="150">
        <f>IFERROR((((Agents($AH$2,$AI$2,L16,L66)/30)*22.5)/0.85)/L164,2)</f>
        <v>0</v>
      </c>
      <c r="M213" s="150">
        <f>IFERROR((((Agents($AH$2,$AI$2,M16,M66)/30)*22.5)/0.85)/M164,2)</f>
        <v>0</v>
      </c>
      <c r="N213" s="150">
        <f>IFERROR((((Agents($AH$2,$AI$2,N16,N66)/30)*22.5)/0.85)/N164,2)</f>
        <v>0</v>
      </c>
      <c r="O213" s="150">
        <f>IFERROR((((Agents($AH$2,$AI$2,O16,O66)/30)*22.5)/0.85)/O164,2)</f>
        <v>0</v>
      </c>
      <c r="P213" s="150">
        <f>IFERROR((((Agents($AH$2,$AI$2,P16,P66)/30)*22.5)/0.85)/P164,2)</f>
        <v>0</v>
      </c>
      <c r="Q213" s="150">
        <f>IFERROR((((Agents($AH$2,$AI$2,Q16,Q66)/30)*22.5)/0.85)/Q164,2)</f>
        <v>0</v>
      </c>
      <c r="R213" s="150">
        <f>IFERROR((((Agents($AH$2,$AI$2,R16,R66)/30)*22.5)/0.85)/R164,2)</f>
        <v>0</v>
      </c>
      <c r="S213" s="150">
        <f>IFERROR((((Agents($AH$2,$AI$2,S16,S66)/30)*22.5)/0.85)/S164,2)</f>
        <v>0</v>
      </c>
      <c r="T213" s="150">
        <f>IFERROR((((Agents($AH$2,$AI$2,T16,T66)/30)*22.5)/0.85)/T164,2)</f>
        <v>0</v>
      </c>
      <c r="U213" s="150">
        <f>IFERROR((((Agents($AH$2,$AI$2,U16,U66)/30)*22.5)/0.85)/U164,2)</f>
        <v>0</v>
      </c>
      <c r="V213" s="150">
        <f>IFERROR((((Agents($AH$2,$AI$2,V16,V66)/30)*22.5)/0.85)/V164,2)</f>
        <v>0</v>
      </c>
      <c r="W213" s="150">
        <f>IFERROR((((Agents($AH$2,$AI$2,W16,W66)/30)*22.5)/0.85)/W164,2)</f>
        <v>0</v>
      </c>
      <c r="X213" s="150">
        <f>IFERROR((((Agents($AH$2,$AI$2,X16,X66)/30)*22.5)/0.85)/X164,2)</f>
        <v>0</v>
      </c>
      <c r="Y213" s="150">
        <f>IFERROR((((Agents($AH$2,$AI$2,Y16,Y66)/30)*22.5)/0.85)/Y164,2)</f>
        <v>0</v>
      </c>
      <c r="Z213" s="150">
        <f>IFERROR((((Agents($AH$2,$AI$2,Z16,Z66)/30)*22.5)/0.85)/Z164,2)</f>
        <v>0</v>
      </c>
      <c r="AA213" s="150">
        <f>IFERROR((((Agents($AH$2,$AI$2,AA16,AA66)/30)*22.5)/0.85)/AA164,2)</f>
        <v>0</v>
      </c>
      <c r="AB213" s="150">
        <f>IFERROR((((Agents($AH$2,$AI$2,AB16,AB66)/30)*22.5)/0.85)/AB164,2)</f>
        <v>0</v>
      </c>
      <c r="AC213" s="150">
        <f>IFERROR((((Agents($AH$2,$AI$2,AC16,AC66)/30)*22.5)/0.85)/AC164,2)</f>
        <v>0</v>
      </c>
      <c r="AD213" s="150">
        <f>IFERROR((((Agents($AH$2,$AI$2,AD16,AD66)/30)*22.5)/0.85)/AD164,2)</f>
        <v>0</v>
      </c>
      <c r="AE213" s="150">
        <f>IFERROR((((Agents($AH$2,$AI$2,AE16,AE66)/30)*22.5)/0.85)/AE164,2)</f>
        <v>0</v>
      </c>
      <c r="AF213" s="150">
        <f>IFERROR((((Agents($AH$2,$AI$2,AF16,AF66)/30)*22.5)/0.85)/AF164,2)</f>
        <v>0</v>
      </c>
      <c r="AG213" s="151">
        <f>IFERROR((((Agents($AH$2,$AI$2,AG16,AG66)/30)*22.5)/0.85)/AG164,2)</f>
        <v>0</v>
      </c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</row>
    <row r="214" spans="1:75" ht="15.75" outlineLevel="1" thickBot="1" x14ac:dyDescent="0.3">
      <c r="A214" s="104">
        <v>0.27083333333333331</v>
      </c>
      <c r="B214" s="131">
        <v>0.29166666666666669</v>
      </c>
      <c r="C214" s="152">
        <f>IFERROR((((Agents($AH$2,$AI$2,C17,C67)/30)*22.5)/0.85)/C165,2)</f>
        <v>0</v>
      </c>
      <c r="D214" s="153">
        <f>IFERROR((((Agents($AH$2,$AI$2,D17,D67)/30)*22.5)/0.85)/D165,2)</f>
        <v>0</v>
      </c>
      <c r="E214" s="153">
        <f>IFERROR((((Agents($AH$2,$AI$2,E17,E67)/30)*22.5)/0.85)/E165,2)</f>
        <v>0</v>
      </c>
      <c r="F214" s="153">
        <f>IFERROR((((Agents($AH$2,$AI$2,F17,F67)/30)*22.5)/0.85)/F165,2)</f>
        <v>0</v>
      </c>
      <c r="G214" s="153">
        <f>IFERROR((((Agents($AH$2,$AI$2,G17,G67)/30)*22.5)/0.85)/G165,2)</f>
        <v>0</v>
      </c>
      <c r="H214" s="153">
        <f>IFERROR((((Agents($AH$2,$AI$2,H17,H67)/30)*22.5)/0.85)/H165,2)</f>
        <v>0</v>
      </c>
      <c r="I214" s="153">
        <f>IFERROR((((Agents($AH$2,$AI$2,I17,I67)/30)*22.5)/0.85)/I165,2)</f>
        <v>0</v>
      </c>
      <c r="J214" s="153">
        <f>IFERROR((((Agents($AH$2,$AI$2,J17,J67)/30)*22.5)/0.85)/J165,2)</f>
        <v>0</v>
      </c>
      <c r="K214" s="153">
        <f>IFERROR((((Agents($AH$2,$AI$2,K17,K67)/30)*22.5)/0.85)/K165,2)</f>
        <v>0</v>
      </c>
      <c r="L214" s="153">
        <f>IFERROR((((Agents($AH$2,$AI$2,L17,L67)/30)*22.5)/0.85)/L165,2)</f>
        <v>0</v>
      </c>
      <c r="M214" s="153">
        <f>IFERROR((((Agents($AH$2,$AI$2,M17,M67)/30)*22.5)/0.85)/M165,2)</f>
        <v>0</v>
      </c>
      <c r="N214" s="153">
        <f>IFERROR((((Agents($AH$2,$AI$2,N17,N67)/30)*22.5)/0.85)/N165,2)</f>
        <v>0</v>
      </c>
      <c r="O214" s="153">
        <f>IFERROR((((Agents($AH$2,$AI$2,O17,O67)/30)*22.5)/0.85)/O165,2)</f>
        <v>0</v>
      </c>
      <c r="P214" s="153">
        <f>IFERROR((((Agents($AH$2,$AI$2,P17,P67)/30)*22.5)/0.85)/P165,2)</f>
        <v>0</v>
      </c>
      <c r="Q214" s="153">
        <f>IFERROR((((Agents($AH$2,$AI$2,Q17,Q67)/30)*22.5)/0.85)/Q165,2)</f>
        <v>0</v>
      </c>
      <c r="R214" s="153">
        <f>IFERROR((((Agents($AH$2,$AI$2,R17,R67)/30)*22.5)/0.85)/R165,2)</f>
        <v>0</v>
      </c>
      <c r="S214" s="153">
        <f>IFERROR((((Agents($AH$2,$AI$2,S17,S67)/30)*22.5)/0.85)/S165,2)</f>
        <v>0</v>
      </c>
      <c r="T214" s="153">
        <f>IFERROR((((Agents($AH$2,$AI$2,T17,T67)/30)*22.5)/0.85)/T165,2)</f>
        <v>0</v>
      </c>
      <c r="U214" s="153">
        <f>IFERROR((((Agents($AH$2,$AI$2,U17,U67)/30)*22.5)/0.85)/U165,2)</f>
        <v>0</v>
      </c>
      <c r="V214" s="153">
        <f>IFERROR((((Agents($AH$2,$AI$2,V17,V67)/30)*22.5)/0.85)/V165,2)</f>
        <v>0</v>
      </c>
      <c r="W214" s="153">
        <f>IFERROR((((Agents($AH$2,$AI$2,W17,W67)/30)*22.5)/0.85)/W165,2)</f>
        <v>0</v>
      </c>
      <c r="X214" s="153">
        <f>IFERROR((((Agents($AH$2,$AI$2,X17,X67)/30)*22.5)/0.85)/X165,2)</f>
        <v>0</v>
      </c>
      <c r="Y214" s="153">
        <f>IFERROR((((Agents($AH$2,$AI$2,Y17,Y67)/30)*22.5)/0.85)/Y165,2)</f>
        <v>0</v>
      </c>
      <c r="Z214" s="153">
        <f>IFERROR((((Agents($AH$2,$AI$2,Z17,Z67)/30)*22.5)/0.85)/Z165,2)</f>
        <v>0</v>
      </c>
      <c r="AA214" s="153">
        <f>IFERROR((((Agents($AH$2,$AI$2,AA17,AA67)/30)*22.5)/0.85)/AA165,2)</f>
        <v>0</v>
      </c>
      <c r="AB214" s="153">
        <f>IFERROR((((Agents($AH$2,$AI$2,AB17,AB67)/30)*22.5)/0.85)/AB165,2)</f>
        <v>0</v>
      </c>
      <c r="AC214" s="153">
        <f>IFERROR((((Agents($AH$2,$AI$2,AC17,AC67)/30)*22.5)/0.85)/AC165,2)</f>
        <v>0</v>
      </c>
      <c r="AD214" s="153">
        <f>IFERROR((((Agents($AH$2,$AI$2,AD17,AD67)/30)*22.5)/0.85)/AD165,2)</f>
        <v>0</v>
      </c>
      <c r="AE214" s="153">
        <f>IFERROR((((Agents($AH$2,$AI$2,AE17,AE67)/30)*22.5)/0.85)/AE165,2)</f>
        <v>0</v>
      </c>
      <c r="AF214" s="153">
        <f>IFERROR((((Agents($AH$2,$AI$2,AF17,AF67)/30)*22.5)/0.85)/AF165,2)</f>
        <v>0</v>
      </c>
      <c r="AG214" s="154">
        <f>IFERROR((((Agents($AH$2,$AI$2,AG17,AG67)/30)*22.5)/0.85)/AG165,2)</f>
        <v>0</v>
      </c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</row>
    <row r="215" spans="1:75" outlineLevel="1" x14ac:dyDescent="0.25">
      <c r="A215" s="106">
        <v>0.29166666666666669</v>
      </c>
      <c r="B215" s="124">
        <v>0.3125</v>
      </c>
      <c r="C215" s="144">
        <f>IFERROR((((Agents($AH$2,$AI$2,C18,C68)/30)*22.5)/0.85)/C166,2)</f>
        <v>0</v>
      </c>
      <c r="D215" s="141">
        <f t="shared" ref="D215:AG215" si="1">IFERROR((((Agents($AH$2,$AI$2,D18,D68)/30)*22.5)/0.85)/D166,2)</f>
        <v>0</v>
      </c>
      <c r="E215" s="141">
        <f t="shared" si="1"/>
        <v>0</v>
      </c>
      <c r="F215" s="141">
        <f t="shared" si="1"/>
        <v>0</v>
      </c>
      <c r="G215" s="141">
        <f t="shared" si="1"/>
        <v>0</v>
      </c>
      <c r="H215" s="141">
        <f t="shared" si="1"/>
        <v>0</v>
      </c>
      <c r="I215" s="141">
        <f t="shared" si="1"/>
        <v>0</v>
      </c>
      <c r="J215" s="141">
        <f t="shared" si="1"/>
        <v>0</v>
      </c>
      <c r="K215" s="141">
        <f t="shared" si="1"/>
        <v>0</v>
      </c>
      <c r="L215" s="141">
        <f t="shared" si="1"/>
        <v>0</v>
      </c>
      <c r="M215" s="141">
        <f t="shared" si="1"/>
        <v>0</v>
      </c>
      <c r="N215" s="141">
        <f t="shared" si="1"/>
        <v>0</v>
      </c>
      <c r="O215" s="141">
        <f t="shared" si="1"/>
        <v>0</v>
      </c>
      <c r="P215" s="141">
        <f t="shared" si="1"/>
        <v>0</v>
      </c>
      <c r="Q215" s="141">
        <f t="shared" si="1"/>
        <v>0</v>
      </c>
      <c r="R215" s="141">
        <f t="shared" si="1"/>
        <v>0</v>
      </c>
      <c r="S215" s="141">
        <f t="shared" si="1"/>
        <v>0</v>
      </c>
      <c r="T215" s="141">
        <f t="shared" si="1"/>
        <v>0</v>
      </c>
      <c r="U215" s="141">
        <f t="shared" si="1"/>
        <v>0</v>
      </c>
      <c r="V215" s="141">
        <f t="shared" si="1"/>
        <v>0</v>
      </c>
      <c r="W215" s="141">
        <f t="shared" si="1"/>
        <v>0</v>
      </c>
      <c r="X215" s="141">
        <f t="shared" si="1"/>
        <v>0</v>
      </c>
      <c r="Y215" s="141">
        <f t="shared" si="1"/>
        <v>0</v>
      </c>
      <c r="Z215" s="141">
        <f t="shared" si="1"/>
        <v>0</v>
      </c>
      <c r="AA215" s="141">
        <f t="shared" si="1"/>
        <v>0</v>
      </c>
      <c r="AB215" s="141">
        <f t="shared" si="1"/>
        <v>0</v>
      </c>
      <c r="AC215" s="141">
        <f t="shared" si="1"/>
        <v>0</v>
      </c>
      <c r="AD215" s="141">
        <f t="shared" si="1"/>
        <v>0</v>
      </c>
      <c r="AE215" s="141">
        <f t="shared" si="1"/>
        <v>0</v>
      </c>
      <c r="AF215" s="141">
        <f t="shared" si="1"/>
        <v>0</v>
      </c>
      <c r="AG215" s="145">
        <f t="shared" si="1"/>
        <v>0</v>
      </c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</row>
    <row r="216" spans="1:75" outlineLevel="1" x14ac:dyDescent="0.25">
      <c r="A216" s="103">
        <v>0.3125</v>
      </c>
      <c r="B216" s="123">
        <v>0.33333333333333331</v>
      </c>
      <c r="C216" s="143">
        <f t="shared" ref="C216:AG216" si="2">IFERROR((((Agents($AH$2,$AI$2,C19,C69)/30)*22.5)/0.85)/C167,2)</f>
        <v>0</v>
      </c>
      <c r="D216" s="4">
        <f t="shared" si="2"/>
        <v>0</v>
      </c>
      <c r="E216" s="4">
        <f t="shared" si="2"/>
        <v>0</v>
      </c>
      <c r="F216" s="4">
        <f t="shared" si="2"/>
        <v>0</v>
      </c>
      <c r="G216" s="4">
        <f t="shared" si="2"/>
        <v>0</v>
      </c>
      <c r="H216" s="4">
        <f t="shared" si="2"/>
        <v>0</v>
      </c>
      <c r="I216" s="4">
        <f t="shared" si="2"/>
        <v>0</v>
      </c>
      <c r="J216" s="4">
        <f t="shared" si="2"/>
        <v>0</v>
      </c>
      <c r="K216" s="4">
        <f t="shared" si="2"/>
        <v>0</v>
      </c>
      <c r="L216" s="4">
        <f t="shared" si="2"/>
        <v>0</v>
      </c>
      <c r="M216" s="4">
        <f t="shared" si="2"/>
        <v>0</v>
      </c>
      <c r="N216" s="4">
        <f t="shared" si="2"/>
        <v>0</v>
      </c>
      <c r="O216" s="4">
        <f t="shared" si="2"/>
        <v>0</v>
      </c>
      <c r="P216" s="4">
        <f t="shared" si="2"/>
        <v>0</v>
      </c>
      <c r="Q216" s="4">
        <f t="shared" si="2"/>
        <v>0</v>
      </c>
      <c r="R216" s="4">
        <f t="shared" si="2"/>
        <v>0</v>
      </c>
      <c r="S216" s="4">
        <f t="shared" si="2"/>
        <v>0</v>
      </c>
      <c r="T216" s="4">
        <f t="shared" si="2"/>
        <v>0</v>
      </c>
      <c r="U216" s="4">
        <f t="shared" si="2"/>
        <v>0</v>
      </c>
      <c r="V216" s="4">
        <f t="shared" si="2"/>
        <v>0</v>
      </c>
      <c r="W216" s="4">
        <f t="shared" si="2"/>
        <v>0</v>
      </c>
      <c r="X216" s="4">
        <f t="shared" si="2"/>
        <v>0</v>
      </c>
      <c r="Y216" s="4">
        <f t="shared" si="2"/>
        <v>0</v>
      </c>
      <c r="Z216" s="4">
        <f t="shared" si="2"/>
        <v>0</v>
      </c>
      <c r="AA216" s="4">
        <f t="shared" si="2"/>
        <v>0</v>
      </c>
      <c r="AB216" s="4">
        <f t="shared" si="2"/>
        <v>0</v>
      </c>
      <c r="AC216" s="4">
        <f t="shared" si="2"/>
        <v>0</v>
      </c>
      <c r="AD216" s="4">
        <f t="shared" si="2"/>
        <v>0</v>
      </c>
      <c r="AE216" s="4">
        <f t="shared" si="2"/>
        <v>0</v>
      </c>
      <c r="AF216" s="4">
        <f t="shared" si="2"/>
        <v>0</v>
      </c>
      <c r="AG216" s="142">
        <f t="shared" si="2"/>
        <v>0</v>
      </c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</row>
    <row r="217" spans="1:75" outlineLevel="1" x14ac:dyDescent="0.25">
      <c r="A217" s="103">
        <v>0.33333333333333331</v>
      </c>
      <c r="B217" s="123">
        <v>0.35416666666666669</v>
      </c>
      <c r="C217" s="143">
        <f t="shared" ref="C217:AG217" si="3">IFERROR((((Agents($AH$2,$AI$2,C20,C70)/30)*22.5)/0.85)/C168,2)</f>
        <v>0</v>
      </c>
      <c r="D217" s="4">
        <f t="shared" si="3"/>
        <v>0</v>
      </c>
      <c r="E217" s="4">
        <f t="shared" si="3"/>
        <v>0</v>
      </c>
      <c r="F217" s="4">
        <f t="shared" si="3"/>
        <v>0</v>
      </c>
      <c r="G217" s="4">
        <f t="shared" si="3"/>
        <v>0</v>
      </c>
      <c r="H217" s="4">
        <f t="shared" si="3"/>
        <v>0</v>
      </c>
      <c r="I217" s="4">
        <f t="shared" si="3"/>
        <v>0</v>
      </c>
      <c r="J217" s="4">
        <f t="shared" si="3"/>
        <v>0</v>
      </c>
      <c r="K217" s="4">
        <f t="shared" si="3"/>
        <v>0</v>
      </c>
      <c r="L217" s="4">
        <f t="shared" si="3"/>
        <v>0</v>
      </c>
      <c r="M217" s="4">
        <f t="shared" si="3"/>
        <v>0</v>
      </c>
      <c r="N217" s="4">
        <f t="shared" si="3"/>
        <v>0</v>
      </c>
      <c r="O217" s="4">
        <f t="shared" si="3"/>
        <v>0</v>
      </c>
      <c r="P217" s="4">
        <f t="shared" si="3"/>
        <v>0</v>
      </c>
      <c r="Q217" s="4">
        <f t="shared" si="3"/>
        <v>0</v>
      </c>
      <c r="R217" s="4">
        <f t="shared" si="3"/>
        <v>0</v>
      </c>
      <c r="S217" s="4">
        <f t="shared" si="3"/>
        <v>0</v>
      </c>
      <c r="T217" s="4">
        <f t="shared" si="3"/>
        <v>0</v>
      </c>
      <c r="U217" s="4">
        <f t="shared" si="3"/>
        <v>0</v>
      </c>
      <c r="V217" s="4">
        <f t="shared" si="3"/>
        <v>0</v>
      </c>
      <c r="W217" s="4">
        <f t="shared" si="3"/>
        <v>0</v>
      </c>
      <c r="X217" s="4">
        <f t="shared" si="3"/>
        <v>0</v>
      </c>
      <c r="Y217" s="4">
        <f t="shared" si="3"/>
        <v>0</v>
      </c>
      <c r="Z217" s="4">
        <f t="shared" si="3"/>
        <v>0</v>
      </c>
      <c r="AA217" s="4">
        <f t="shared" si="3"/>
        <v>0</v>
      </c>
      <c r="AB217" s="4">
        <f t="shared" si="3"/>
        <v>0</v>
      </c>
      <c r="AC217" s="4">
        <f t="shared" si="3"/>
        <v>0</v>
      </c>
      <c r="AD217" s="4">
        <f t="shared" si="3"/>
        <v>0</v>
      </c>
      <c r="AE217" s="4">
        <f t="shared" si="3"/>
        <v>0</v>
      </c>
      <c r="AF217" s="4">
        <f t="shared" si="3"/>
        <v>0</v>
      </c>
      <c r="AG217" s="142">
        <f t="shared" si="3"/>
        <v>0</v>
      </c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</row>
    <row r="218" spans="1:75" outlineLevel="1" x14ac:dyDescent="0.25">
      <c r="A218" s="103">
        <v>0.35416666666666669</v>
      </c>
      <c r="B218" s="123">
        <v>0.375</v>
      </c>
      <c r="C218" s="143">
        <f t="shared" ref="C218:AG218" si="4">IFERROR((((Agents($AH$2,$AI$2,C21,C71)/30)*22.5)/0.85)/C169,2)</f>
        <v>0</v>
      </c>
      <c r="D218" s="4">
        <f t="shared" si="4"/>
        <v>0</v>
      </c>
      <c r="E218" s="4">
        <f t="shared" si="4"/>
        <v>0</v>
      </c>
      <c r="F218" s="4">
        <f t="shared" si="4"/>
        <v>0</v>
      </c>
      <c r="G218" s="4">
        <f t="shared" si="4"/>
        <v>0</v>
      </c>
      <c r="H218" s="4">
        <f t="shared" si="4"/>
        <v>0</v>
      </c>
      <c r="I218" s="4">
        <f t="shared" si="4"/>
        <v>0</v>
      </c>
      <c r="J218" s="4">
        <f t="shared" si="4"/>
        <v>0</v>
      </c>
      <c r="K218" s="4">
        <f t="shared" si="4"/>
        <v>0</v>
      </c>
      <c r="L218" s="4">
        <f t="shared" si="4"/>
        <v>0</v>
      </c>
      <c r="M218" s="4">
        <f t="shared" si="4"/>
        <v>0</v>
      </c>
      <c r="N218" s="4">
        <f t="shared" si="4"/>
        <v>0</v>
      </c>
      <c r="O218" s="4">
        <f t="shared" si="4"/>
        <v>0</v>
      </c>
      <c r="P218" s="4">
        <f t="shared" si="4"/>
        <v>0</v>
      </c>
      <c r="Q218" s="4">
        <f t="shared" si="4"/>
        <v>0</v>
      </c>
      <c r="R218" s="4">
        <f t="shared" si="4"/>
        <v>0</v>
      </c>
      <c r="S218" s="4">
        <f t="shared" si="4"/>
        <v>0</v>
      </c>
      <c r="T218" s="4">
        <f t="shared" si="4"/>
        <v>0</v>
      </c>
      <c r="U218" s="4">
        <f t="shared" si="4"/>
        <v>0</v>
      </c>
      <c r="V218" s="4">
        <f t="shared" si="4"/>
        <v>0</v>
      </c>
      <c r="W218" s="4">
        <f t="shared" si="4"/>
        <v>0</v>
      </c>
      <c r="X218" s="4">
        <f t="shared" si="4"/>
        <v>0</v>
      </c>
      <c r="Y218" s="4">
        <f t="shared" si="4"/>
        <v>0</v>
      </c>
      <c r="Z218" s="4">
        <f t="shared" si="4"/>
        <v>0</v>
      </c>
      <c r="AA218" s="4">
        <f t="shared" si="4"/>
        <v>0</v>
      </c>
      <c r="AB218" s="4">
        <f t="shared" si="4"/>
        <v>0</v>
      </c>
      <c r="AC218" s="4">
        <f t="shared" si="4"/>
        <v>0</v>
      </c>
      <c r="AD218" s="4">
        <f t="shared" si="4"/>
        <v>0</v>
      </c>
      <c r="AE218" s="4">
        <f t="shared" si="4"/>
        <v>0</v>
      </c>
      <c r="AF218" s="4">
        <f t="shared" si="4"/>
        <v>0</v>
      </c>
      <c r="AG218" s="142">
        <f t="shared" si="4"/>
        <v>0</v>
      </c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</row>
    <row r="219" spans="1:75" outlineLevel="1" x14ac:dyDescent="0.25">
      <c r="A219" s="103">
        <v>0.375</v>
      </c>
      <c r="B219" s="123">
        <v>0.39583333333333331</v>
      </c>
      <c r="C219" s="143">
        <f t="shared" ref="C219:AG219" si="5">IFERROR((((Agents($AH$2,$AI$2,C22,C72)/30)*22.5)/0.85)/C170,2)</f>
        <v>0</v>
      </c>
      <c r="D219" s="4">
        <f t="shared" si="5"/>
        <v>0</v>
      </c>
      <c r="E219" s="4">
        <f t="shared" si="5"/>
        <v>0</v>
      </c>
      <c r="F219" s="4">
        <f t="shared" si="5"/>
        <v>0</v>
      </c>
      <c r="G219" s="4">
        <f t="shared" si="5"/>
        <v>0</v>
      </c>
      <c r="H219" s="4">
        <f t="shared" si="5"/>
        <v>0</v>
      </c>
      <c r="I219" s="4">
        <f t="shared" si="5"/>
        <v>0</v>
      </c>
      <c r="J219" s="4">
        <f t="shared" si="5"/>
        <v>0</v>
      </c>
      <c r="K219" s="4">
        <f t="shared" si="5"/>
        <v>0</v>
      </c>
      <c r="L219" s="4">
        <f t="shared" si="5"/>
        <v>0</v>
      </c>
      <c r="M219" s="4">
        <f t="shared" si="5"/>
        <v>0</v>
      </c>
      <c r="N219" s="4">
        <f t="shared" si="5"/>
        <v>0</v>
      </c>
      <c r="O219" s="4">
        <f t="shared" si="5"/>
        <v>0</v>
      </c>
      <c r="P219" s="4">
        <f t="shared" si="5"/>
        <v>0</v>
      </c>
      <c r="Q219" s="4">
        <f t="shared" si="5"/>
        <v>0</v>
      </c>
      <c r="R219" s="4">
        <f t="shared" si="5"/>
        <v>0</v>
      </c>
      <c r="S219" s="4">
        <f t="shared" si="5"/>
        <v>0</v>
      </c>
      <c r="T219" s="4">
        <f t="shared" si="5"/>
        <v>0</v>
      </c>
      <c r="U219" s="4">
        <f t="shared" si="5"/>
        <v>0</v>
      </c>
      <c r="V219" s="4">
        <f t="shared" si="5"/>
        <v>0</v>
      </c>
      <c r="W219" s="4">
        <f t="shared" si="5"/>
        <v>0</v>
      </c>
      <c r="X219" s="4">
        <f t="shared" si="5"/>
        <v>0</v>
      </c>
      <c r="Y219" s="4">
        <f t="shared" si="5"/>
        <v>0</v>
      </c>
      <c r="Z219" s="4">
        <f t="shared" si="5"/>
        <v>0</v>
      </c>
      <c r="AA219" s="4">
        <f t="shared" si="5"/>
        <v>0</v>
      </c>
      <c r="AB219" s="4">
        <f t="shared" si="5"/>
        <v>0</v>
      </c>
      <c r="AC219" s="4">
        <f t="shared" si="5"/>
        <v>0</v>
      </c>
      <c r="AD219" s="4">
        <f t="shared" si="5"/>
        <v>0</v>
      </c>
      <c r="AE219" s="4">
        <f t="shared" si="5"/>
        <v>0</v>
      </c>
      <c r="AF219" s="4">
        <f t="shared" si="5"/>
        <v>0</v>
      </c>
      <c r="AG219" s="142">
        <f t="shared" si="5"/>
        <v>0</v>
      </c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</row>
    <row r="220" spans="1:75" outlineLevel="1" x14ac:dyDescent="0.25">
      <c r="A220" s="103">
        <v>0.39583333333333331</v>
      </c>
      <c r="B220" s="123">
        <v>0.41666666666666669</v>
      </c>
      <c r="C220" s="143">
        <f t="shared" ref="C220:AG220" si="6">IFERROR((((Agents($AH$2,$AI$2,C23,C73)/30)*22.5)/0.85)/C171,2)</f>
        <v>0</v>
      </c>
      <c r="D220" s="4">
        <f t="shared" si="6"/>
        <v>0</v>
      </c>
      <c r="E220" s="4">
        <f t="shared" si="6"/>
        <v>0</v>
      </c>
      <c r="F220" s="4">
        <f t="shared" si="6"/>
        <v>0</v>
      </c>
      <c r="G220" s="4">
        <f t="shared" si="6"/>
        <v>0</v>
      </c>
      <c r="H220" s="4">
        <f t="shared" si="6"/>
        <v>0</v>
      </c>
      <c r="I220" s="4">
        <f t="shared" si="6"/>
        <v>0</v>
      </c>
      <c r="J220" s="4">
        <f t="shared" si="6"/>
        <v>0</v>
      </c>
      <c r="K220" s="4">
        <f t="shared" si="6"/>
        <v>0</v>
      </c>
      <c r="L220" s="4">
        <f t="shared" si="6"/>
        <v>0</v>
      </c>
      <c r="M220" s="4">
        <f t="shared" si="6"/>
        <v>0</v>
      </c>
      <c r="N220" s="4">
        <f t="shared" si="6"/>
        <v>0</v>
      </c>
      <c r="O220" s="4">
        <f t="shared" si="6"/>
        <v>0</v>
      </c>
      <c r="P220" s="4">
        <f t="shared" si="6"/>
        <v>0</v>
      </c>
      <c r="Q220" s="4">
        <f t="shared" si="6"/>
        <v>0</v>
      </c>
      <c r="R220" s="4">
        <f t="shared" si="6"/>
        <v>0</v>
      </c>
      <c r="S220" s="4">
        <f t="shared" si="6"/>
        <v>0</v>
      </c>
      <c r="T220" s="4">
        <f t="shared" si="6"/>
        <v>0</v>
      </c>
      <c r="U220" s="4">
        <f t="shared" si="6"/>
        <v>0</v>
      </c>
      <c r="V220" s="4">
        <f t="shared" si="6"/>
        <v>0</v>
      </c>
      <c r="W220" s="4">
        <f t="shared" si="6"/>
        <v>0</v>
      </c>
      <c r="X220" s="4">
        <f t="shared" si="6"/>
        <v>0</v>
      </c>
      <c r="Y220" s="4">
        <f t="shared" si="6"/>
        <v>0</v>
      </c>
      <c r="Z220" s="4">
        <f t="shared" si="6"/>
        <v>0</v>
      </c>
      <c r="AA220" s="4">
        <f t="shared" si="6"/>
        <v>0</v>
      </c>
      <c r="AB220" s="4">
        <f t="shared" si="6"/>
        <v>0</v>
      </c>
      <c r="AC220" s="4">
        <f t="shared" si="6"/>
        <v>0</v>
      </c>
      <c r="AD220" s="4">
        <f t="shared" si="6"/>
        <v>0</v>
      </c>
      <c r="AE220" s="4">
        <f t="shared" si="6"/>
        <v>0</v>
      </c>
      <c r="AF220" s="4">
        <f t="shared" si="6"/>
        <v>0</v>
      </c>
      <c r="AG220" s="142">
        <f t="shared" si="6"/>
        <v>0</v>
      </c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</row>
    <row r="221" spans="1:75" outlineLevel="1" x14ac:dyDescent="0.25">
      <c r="A221" s="103">
        <v>0.41666666666666669</v>
      </c>
      <c r="B221" s="123">
        <v>0.4375</v>
      </c>
      <c r="C221" s="143">
        <f t="shared" ref="C221:AG221" si="7">IFERROR((((Agents($AH$2,$AI$2,C24,C74)/30)*22.5)/0.85)/C172,2)</f>
        <v>0</v>
      </c>
      <c r="D221" s="4">
        <f t="shared" si="7"/>
        <v>0</v>
      </c>
      <c r="E221" s="4">
        <f t="shared" si="7"/>
        <v>0</v>
      </c>
      <c r="F221" s="4">
        <f t="shared" si="7"/>
        <v>0</v>
      </c>
      <c r="G221" s="4">
        <f t="shared" si="7"/>
        <v>0</v>
      </c>
      <c r="H221" s="4">
        <f t="shared" si="7"/>
        <v>0</v>
      </c>
      <c r="I221" s="4">
        <f t="shared" si="7"/>
        <v>0</v>
      </c>
      <c r="J221" s="4">
        <f t="shared" si="7"/>
        <v>0</v>
      </c>
      <c r="K221" s="4">
        <f t="shared" si="7"/>
        <v>0</v>
      </c>
      <c r="L221" s="4">
        <f t="shared" si="7"/>
        <v>0</v>
      </c>
      <c r="M221" s="4">
        <f t="shared" si="7"/>
        <v>0</v>
      </c>
      <c r="N221" s="4">
        <f t="shared" si="7"/>
        <v>0</v>
      </c>
      <c r="O221" s="4">
        <f t="shared" si="7"/>
        <v>0</v>
      </c>
      <c r="P221" s="4">
        <f t="shared" si="7"/>
        <v>0</v>
      </c>
      <c r="Q221" s="4">
        <f t="shared" si="7"/>
        <v>0</v>
      </c>
      <c r="R221" s="4">
        <f t="shared" si="7"/>
        <v>0</v>
      </c>
      <c r="S221" s="4">
        <f t="shared" si="7"/>
        <v>0</v>
      </c>
      <c r="T221" s="4">
        <f t="shared" si="7"/>
        <v>0</v>
      </c>
      <c r="U221" s="4">
        <f t="shared" si="7"/>
        <v>0</v>
      </c>
      <c r="V221" s="4">
        <f t="shared" si="7"/>
        <v>0</v>
      </c>
      <c r="W221" s="4">
        <f t="shared" si="7"/>
        <v>0</v>
      </c>
      <c r="X221" s="4">
        <f t="shared" si="7"/>
        <v>0</v>
      </c>
      <c r="Y221" s="4">
        <f t="shared" si="7"/>
        <v>0</v>
      </c>
      <c r="Z221" s="4">
        <f t="shared" si="7"/>
        <v>0</v>
      </c>
      <c r="AA221" s="4">
        <f t="shared" si="7"/>
        <v>0</v>
      </c>
      <c r="AB221" s="4">
        <f t="shared" si="7"/>
        <v>0</v>
      </c>
      <c r="AC221" s="4">
        <f t="shared" si="7"/>
        <v>0</v>
      </c>
      <c r="AD221" s="4">
        <f t="shared" si="7"/>
        <v>0</v>
      </c>
      <c r="AE221" s="4">
        <f t="shared" si="7"/>
        <v>0</v>
      </c>
      <c r="AF221" s="4">
        <f t="shared" si="7"/>
        <v>0</v>
      </c>
      <c r="AG221" s="142">
        <f t="shared" si="7"/>
        <v>0</v>
      </c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</row>
    <row r="222" spans="1:75" outlineLevel="1" x14ac:dyDescent="0.25">
      <c r="A222" s="103">
        <v>0.4375</v>
      </c>
      <c r="B222" s="123">
        <v>0.45833333333333331</v>
      </c>
      <c r="C222" s="143">
        <f t="shared" ref="C222:AG222" si="8">IFERROR((((Agents($AH$2,$AI$2,C25,C75)/30)*22.5)/0.85)/C173,2)</f>
        <v>0</v>
      </c>
      <c r="D222" s="4">
        <f t="shared" si="8"/>
        <v>0</v>
      </c>
      <c r="E222" s="4">
        <f t="shared" si="8"/>
        <v>0</v>
      </c>
      <c r="F222" s="4">
        <f t="shared" si="8"/>
        <v>0</v>
      </c>
      <c r="G222" s="4">
        <f t="shared" si="8"/>
        <v>0</v>
      </c>
      <c r="H222" s="4">
        <f t="shared" si="8"/>
        <v>0</v>
      </c>
      <c r="I222" s="4">
        <f t="shared" si="8"/>
        <v>0</v>
      </c>
      <c r="J222" s="4">
        <f t="shared" si="8"/>
        <v>0</v>
      </c>
      <c r="K222" s="4">
        <f t="shared" si="8"/>
        <v>0</v>
      </c>
      <c r="L222" s="4">
        <f t="shared" si="8"/>
        <v>0</v>
      </c>
      <c r="M222" s="4">
        <f t="shared" si="8"/>
        <v>0</v>
      </c>
      <c r="N222" s="4">
        <f t="shared" si="8"/>
        <v>0</v>
      </c>
      <c r="O222" s="4">
        <f t="shared" si="8"/>
        <v>0</v>
      </c>
      <c r="P222" s="4">
        <f t="shared" si="8"/>
        <v>0</v>
      </c>
      <c r="Q222" s="4">
        <f t="shared" si="8"/>
        <v>0</v>
      </c>
      <c r="R222" s="4">
        <f t="shared" si="8"/>
        <v>0</v>
      </c>
      <c r="S222" s="4">
        <f t="shared" si="8"/>
        <v>0</v>
      </c>
      <c r="T222" s="4">
        <f t="shared" si="8"/>
        <v>0</v>
      </c>
      <c r="U222" s="4">
        <f t="shared" si="8"/>
        <v>0</v>
      </c>
      <c r="V222" s="4">
        <f t="shared" si="8"/>
        <v>0</v>
      </c>
      <c r="W222" s="4">
        <f t="shared" si="8"/>
        <v>0</v>
      </c>
      <c r="X222" s="4">
        <f t="shared" si="8"/>
        <v>0</v>
      </c>
      <c r="Y222" s="4">
        <f t="shared" si="8"/>
        <v>0</v>
      </c>
      <c r="Z222" s="4">
        <f t="shared" si="8"/>
        <v>0</v>
      </c>
      <c r="AA222" s="4">
        <f t="shared" si="8"/>
        <v>0</v>
      </c>
      <c r="AB222" s="4">
        <f t="shared" si="8"/>
        <v>0</v>
      </c>
      <c r="AC222" s="4">
        <f t="shared" si="8"/>
        <v>0</v>
      </c>
      <c r="AD222" s="4">
        <f t="shared" si="8"/>
        <v>0</v>
      </c>
      <c r="AE222" s="4">
        <f t="shared" si="8"/>
        <v>0</v>
      </c>
      <c r="AF222" s="4">
        <f t="shared" si="8"/>
        <v>0</v>
      </c>
      <c r="AG222" s="142">
        <f t="shared" si="8"/>
        <v>0</v>
      </c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</row>
    <row r="223" spans="1:75" outlineLevel="1" x14ac:dyDescent="0.25">
      <c r="A223" s="103">
        <v>0.45833333333333331</v>
      </c>
      <c r="B223" s="123">
        <v>0.47916666666666669</v>
      </c>
      <c r="C223" s="143">
        <f t="shared" ref="C223:AG223" si="9">IFERROR((((Agents($AH$2,$AI$2,C26,C76)/30)*22.5)/0.85)/C174,2)</f>
        <v>0</v>
      </c>
      <c r="D223" s="4">
        <f t="shared" si="9"/>
        <v>0</v>
      </c>
      <c r="E223" s="4">
        <f t="shared" si="9"/>
        <v>0</v>
      </c>
      <c r="F223" s="4">
        <f t="shared" si="9"/>
        <v>0</v>
      </c>
      <c r="G223" s="4">
        <f t="shared" si="9"/>
        <v>0</v>
      </c>
      <c r="H223" s="4">
        <f t="shared" si="9"/>
        <v>0</v>
      </c>
      <c r="I223" s="4">
        <f t="shared" si="9"/>
        <v>0</v>
      </c>
      <c r="J223" s="4">
        <f t="shared" si="9"/>
        <v>0</v>
      </c>
      <c r="K223" s="4">
        <f t="shared" si="9"/>
        <v>0</v>
      </c>
      <c r="L223" s="4">
        <f t="shared" si="9"/>
        <v>0</v>
      </c>
      <c r="M223" s="4">
        <f t="shared" si="9"/>
        <v>0</v>
      </c>
      <c r="N223" s="4">
        <f t="shared" si="9"/>
        <v>0</v>
      </c>
      <c r="O223" s="4">
        <f t="shared" si="9"/>
        <v>0</v>
      </c>
      <c r="P223" s="4">
        <f t="shared" si="9"/>
        <v>0</v>
      </c>
      <c r="Q223" s="4">
        <f t="shared" si="9"/>
        <v>0</v>
      </c>
      <c r="R223" s="4">
        <f t="shared" si="9"/>
        <v>0</v>
      </c>
      <c r="S223" s="4">
        <f t="shared" si="9"/>
        <v>0</v>
      </c>
      <c r="T223" s="4">
        <f t="shared" si="9"/>
        <v>0</v>
      </c>
      <c r="U223" s="4">
        <f t="shared" si="9"/>
        <v>0</v>
      </c>
      <c r="V223" s="4">
        <f t="shared" si="9"/>
        <v>0</v>
      </c>
      <c r="W223" s="4">
        <f t="shared" si="9"/>
        <v>0</v>
      </c>
      <c r="X223" s="4">
        <f t="shared" si="9"/>
        <v>0</v>
      </c>
      <c r="Y223" s="4">
        <f t="shared" si="9"/>
        <v>0</v>
      </c>
      <c r="Z223" s="4">
        <f t="shared" si="9"/>
        <v>0</v>
      </c>
      <c r="AA223" s="4">
        <f t="shared" si="9"/>
        <v>0</v>
      </c>
      <c r="AB223" s="4">
        <f t="shared" si="9"/>
        <v>0</v>
      </c>
      <c r="AC223" s="4">
        <f t="shared" si="9"/>
        <v>0</v>
      </c>
      <c r="AD223" s="4">
        <f t="shared" si="9"/>
        <v>0</v>
      </c>
      <c r="AE223" s="4">
        <f t="shared" si="9"/>
        <v>0</v>
      </c>
      <c r="AF223" s="4">
        <f t="shared" si="9"/>
        <v>0</v>
      </c>
      <c r="AG223" s="142">
        <f t="shared" si="9"/>
        <v>0</v>
      </c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</row>
    <row r="224" spans="1:75" outlineLevel="1" x14ac:dyDescent="0.25">
      <c r="A224" s="103">
        <v>0.47916666666666669</v>
      </c>
      <c r="B224" s="123">
        <v>0.5</v>
      </c>
      <c r="C224" s="143">
        <f t="shared" ref="C224:AG224" si="10">IFERROR((((Agents($AH$2,$AI$2,C27,C77)/30)*22.5)/0.85)/C175,2)</f>
        <v>0</v>
      </c>
      <c r="D224" s="4">
        <f t="shared" si="10"/>
        <v>0</v>
      </c>
      <c r="E224" s="4">
        <f t="shared" si="10"/>
        <v>0</v>
      </c>
      <c r="F224" s="4">
        <f t="shared" si="10"/>
        <v>0</v>
      </c>
      <c r="G224" s="4">
        <f t="shared" si="10"/>
        <v>0</v>
      </c>
      <c r="H224" s="4">
        <f t="shared" si="10"/>
        <v>0</v>
      </c>
      <c r="I224" s="4">
        <f t="shared" si="10"/>
        <v>0</v>
      </c>
      <c r="J224" s="4">
        <f t="shared" si="10"/>
        <v>0</v>
      </c>
      <c r="K224" s="4">
        <f t="shared" si="10"/>
        <v>0</v>
      </c>
      <c r="L224" s="4">
        <f t="shared" si="10"/>
        <v>0</v>
      </c>
      <c r="M224" s="4">
        <f t="shared" si="10"/>
        <v>0</v>
      </c>
      <c r="N224" s="4">
        <f t="shared" si="10"/>
        <v>0</v>
      </c>
      <c r="O224" s="4">
        <f t="shared" si="10"/>
        <v>0</v>
      </c>
      <c r="P224" s="4">
        <f t="shared" si="10"/>
        <v>0</v>
      </c>
      <c r="Q224" s="4">
        <f t="shared" si="10"/>
        <v>0</v>
      </c>
      <c r="R224" s="4">
        <f t="shared" si="10"/>
        <v>0</v>
      </c>
      <c r="S224" s="4">
        <f t="shared" si="10"/>
        <v>0</v>
      </c>
      <c r="T224" s="4">
        <f t="shared" si="10"/>
        <v>0</v>
      </c>
      <c r="U224" s="4">
        <f t="shared" si="10"/>
        <v>0</v>
      </c>
      <c r="V224" s="4">
        <f t="shared" si="10"/>
        <v>0</v>
      </c>
      <c r="W224" s="4">
        <f t="shared" si="10"/>
        <v>0</v>
      </c>
      <c r="X224" s="4">
        <f t="shared" si="10"/>
        <v>0</v>
      </c>
      <c r="Y224" s="4">
        <f t="shared" si="10"/>
        <v>0</v>
      </c>
      <c r="Z224" s="4">
        <f t="shared" si="10"/>
        <v>0</v>
      </c>
      <c r="AA224" s="4">
        <f t="shared" si="10"/>
        <v>0</v>
      </c>
      <c r="AB224" s="4">
        <f t="shared" si="10"/>
        <v>0</v>
      </c>
      <c r="AC224" s="4">
        <f t="shared" si="10"/>
        <v>0</v>
      </c>
      <c r="AD224" s="4">
        <f t="shared" si="10"/>
        <v>0</v>
      </c>
      <c r="AE224" s="4">
        <f t="shared" si="10"/>
        <v>0</v>
      </c>
      <c r="AF224" s="4">
        <f t="shared" si="10"/>
        <v>0</v>
      </c>
      <c r="AG224" s="142">
        <f t="shared" si="10"/>
        <v>0</v>
      </c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</row>
    <row r="225" spans="1:75" outlineLevel="1" x14ac:dyDescent="0.25">
      <c r="A225" s="103">
        <v>0.5</v>
      </c>
      <c r="B225" s="123">
        <v>0.52083333333333337</v>
      </c>
      <c r="C225" s="143">
        <f t="shared" ref="C225:AG225" si="11">IFERROR((((Agents($AH$2,$AI$2,C28,C78)/30)*22.5)/0.85)/C176,2)</f>
        <v>0</v>
      </c>
      <c r="D225" s="4">
        <f t="shared" si="11"/>
        <v>0</v>
      </c>
      <c r="E225" s="4">
        <f t="shared" si="11"/>
        <v>0</v>
      </c>
      <c r="F225" s="4">
        <f t="shared" si="11"/>
        <v>0</v>
      </c>
      <c r="G225" s="4">
        <f t="shared" si="11"/>
        <v>0</v>
      </c>
      <c r="H225" s="4">
        <f t="shared" si="11"/>
        <v>0</v>
      </c>
      <c r="I225" s="4">
        <f t="shared" si="11"/>
        <v>0</v>
      </c>
      <c r="J225" s="4">
        <f t="shared" si="11"/>
        <v>0</v>
      </c>
      <c r="K225" s="4">
        <f t="shared" si="11"/>
        <v>0</v>
      </c>
      <c r="L225" s="4">
        <f t="shared" si="11"/>
        <v>0</v>
      </c>
      <c r="M225" s="4">
        <f t="shared" si="11"/>
        <v>0</v>
      </c>
      <c r="N225" s="4">
        <f t="shared" si="11"/>
        <v>0</v>
      </c>
      <c r="O225" s="4">
        <f t="shared" si="11"/>
        <v>0</v>
      </c>
      <c r="P225" s="4">
        <f t="shared" si="11"/>
        <v>0</v>
      </c>
      <c r="Q225" s="4">
        <f t="shared" si="11"/>
        <v>0</v>
      </c>
      <c r="R225" s="4">
        <f t="shared" si="11"/>
        <v>0</v>
      </c>
      <c r="S225" s="4">
        <f t="shared" si="11"/>
        <v>0</v>
      </c>
      <c r="T225" s="4">
        <f t="shared" si="11"/>
        <v>0</v>
      </c>
      <c r="U225" s="4">
        <f t="shared" si="11"/>
        <v>0</v>
      </c>
      <c r="V225" s="4">
        <f t="shared" si="11"/>
        <v>0</v>
      </c>
      <c r="W225" s="4">
        <f t="shared" si="11"/>
        <v>0</v>
      </c>
      <c r="X225" s="4">
        <f t="shared" si="11"/>
        <v>0</v>
      </c>
      <c r="Y225" s="4">
        <f t="shared" si="11"/>
        <v>0</v>
      </c>
      <c r="Z225" s="4">
        <f t="shared" si="11"/>
        <v>0</v>
      </c>
      <c r="AA225" s="4">
        <f t="shared" si="11"/>
        <v>0</v>
      </c>
      <c r="AB225" s="4">
        <f t="shared" si="11"/>
        <v>0</v>
      </c>
      <c r="AC225" s="4">
        <f t="shared" si="11"/>
        <v>0</v>
      </c>
      <c r="AD225" s="4">
        <f t="shared" si="11"/>
        <v>0</v>
      </c>
      <c r="AE225" s="4">
        <f t="shared" si="11"/>
        <v>0</v>
      </c>
      <c r="AF225" s="4">
        <f t="shared" si="11"/>
        <v>0</v>
      </c>
      <c r="AG225" s="142">
        <f t="shared" si="11"/>
        <v>0</v>
      </c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</row>
    <row r="226" spans="1:75" outlineLevel="1" x14ac:dyDescent="0.25">
      <c r="A226" s="103">
        <v>0.52083333333333337</v>
      </c>
      <c r="B226" s="123">
        <v>0.54166666666666663</v>
      </c>
      <c r="C226" s="143">
        <f t="shared" ref="C226:AG226" si="12">IFERROR((((Agents($AH$2,$AI$2,C29,C79)/30)*22.5)/0.85)/C177,2)</f>
        <v>0</v>
      </c>
      <c r="D226" s="4">
        <f t="shared" si="12"/>
        <v>0</v>
      </c>
      <c r="E226" s="4">
        <f t="shared" si="12"/>
        <v>0</v>
      </c>
      <c r="F226" s="4">
        <f t="shared" si="12"/>
        <v>0</v>
      </c>
      <c r="G226" s="4">
        <f t="shared" si="12"/>
        <v>0</v>
      </c>
      <c r="H226" s="4">
        <f t="shared" si="12"/>
        <v>0</v>
      </c>
      <c r="I226" s="4">
        <f t="shared" si="12"/>
        <v>0</v>
      </c>
      <c r="J226" s="4">
        <f t="shared" si="12"/>
        <v>0</v>
      </c>
      <c r="K226" s="4">
        <f t="shared" si="12"/>
        <v>0</v>
      </c>
      <c r="L226" s="4">
        <f t="shared" si="12"/>
        <v>0</v>
      </c>
      <c r="M226" s="4">
        <f t="shared" si="12"/>
        <v>0</v>
      </c>
      <c r="N226" s="4">
        <f t="shared" si="12"/>
        <v>0</v>
      </c>
      <c r="O226" s="4">
        <f t="shared" si="12"/>
        <v>0</v>
      </c>
      <c r="P226" s="4">
        <f t="shared" si="12"/>
        <v>0</v>
      </c>
      <c r="Q226" s="4">
        <f t="shared" si="12"/>
        <v>0</v>
      </c>
      <c r="R226" s="4">
        <f t="shared" si="12"/>
        <v>0</v>
      </c>
      <c r="S226" s="4">
        <f t="shared" si="12"/>
        <v>0</v>
      </c>
      <c r="T226" s="4">
        <f t="shared" si="12"/>
        <v>0</v>
      </c>
      <c r="U226" s="4">
        <f t="shared" si="12"/>
        <v>0</v>
      </c>
      <c r="V226" s="4">
        <f t="shared" si="12"/>
        <v>0</v>
      </c>
      <c r="W226" s="4">
        <f t="shared" si="12"/>
        <v>0</v>
      </c>
      <c r="X226" s="4">
        <f t="shared" si="12"/>
        <v>0</v>
      </c>
      <c r="Y226" s="4">
        <f t="shared" si="12"/>
        <v>0</v>
      </c>
      <c r="Z226" s="4">
        <f t="shared" si="12"/>
        <v>0</v>
      </c>
      <c r="AA226" s="4">
        <f t="shared" si="12"/>
        <v>0</v>
      </c>
      <c r="AB226" s="4">
        <f t="shared" si="12"/>
        <v>0</v>
      </c>
      <c r="AC226" s="4">
        <f t="shared" si="12"/>
        <v>0</v>
      </c>
      <c r="AD226" s="4">
        <f t="shared" si="12"/>
        <v>0</v>
      </c>
      <c r="AE226" s="4">
        <f t="shared" si="12"/>
        <v>0</v>
      </c>
      <c r="AF226" s="4">
        <f t="shared" si="12"/>
        <v>0</v>
      </c>
      <c r="AG226" s="142">
        <f t="shared" si="12"/>
        <v>0</v>
      </c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</row>
    <row r="227" spans="1:75" outlineLevel="1" x14ac:dyDescent="0.25">
      <c r="A227" s="103">
        <v>0.54166666666666663</v>
      </c>
      <c r="B227" s="123">
        <v>0.5625</v>
      </c>
      <c r="C227" s="143">
        <f t="shared" ref="C227:AG227" si="13">IFERROR((((Agents($AH$2,$AI$2,C30,C80)/30)*22.5)/0.85)/C178,2)</f>
        <v>0</v>
      </c>
      <c r="D227" s="4">
        <f t="shared" si="13"/>
        <v>0</v>
      </c>
      <c r="E227" s="4">
        <f t="shared" si="13"/>
        <v>0</v>
      </c>
      <c r="F227" s="4">
        <f t="shared" si="13"/>
        <v>0</v>
      </c>
      <c r="G227" s="4">
        <f t="shared" si="13"/>
        <v>0</v>
      </c>
      <c r="H227" s="4">
        <f t="shared" si="13"/>
        <v>0</v>
      </c>
      <c r="I227" s="4">
        <f t="shared" si="13"/>
        <v>0</v>
      </c>
      <c r="J227" s="4">
        <f t="shared" si="13"/>
        <v>0</v>
      </c>
      <c r="K227" s="4">
        <f t="shared" si="13"/>
        <v>0</v>
      </c>
      <c r="L227" s="4">
        <f t="shared" si="13"/>
        <v>0</v>
      </c>
      <c r="M227" s="4">
        <f t="shared" si="13"/>
        <v>0</v>
      </c>
      <c r="N227" s="4">
        <f t="shared" si="13"/>
        <v>0</v>
      </c>
      <c r="O227" s="4">
        <f t="shared" si="13"/>
        <v>0</v>
      </c>
      <c r="P227" s="4">
        <f t="shared" si="13"/>
        <v>0</v>
      </c>
      <c r="Q227" s="4">
        <f t="shared" si="13"/>
        <v>0</v>
      </c>
      <c r="R227" s="4">
        <f t="shared" si="13"/>
        <v>0</v>
      </c>
      <c r="S227" s="4">
        <f t="shared" si="13"/>
        <v>0</v>
      </c>
      <c r="T227" s="4">
        <f t="shared" si="13"/>
        <v>0</v>
      </c>
      <c r="U227" s="4">
        <f t="shared" si="13"/>
        <v>0</v>
      </c>
      <c r="V227" s="4">
        <f t="shared" si="13"/>
        <v>0</v>
      </c>
      <c r="W227" s="4">
        <f t="shared" si="13"/>
        <v>0</v>
      </c>
      <c r="X227" s="4">
        <f t="shared" si="13"/>
        <v>0</v>
      </c>
      <c r="Y227" s="4">
        <f t="shared" si="13"/>
        <v>0</v>
      </c>
      <c r="Z227" s="4">
        <f t="shared" si="13"/>
        <v>0</v>
      </c>
      <c r="AA227" s="4">
        <f t="shared" si="13"/>
        <v>0</v>
      </c>
      <c r="AB227" s="4">
        <f t="shared" si="13"/>
        <v>0</v>
      </c>
      <c r="AC227" s="4">
        <f t="shared" si="13"/>
        <v>0</v>
      </c>
      <c r="AD227" s="4">
        <f t="shared" si="13"/>
        <v>0</v>
      </c>
      <c r="AE227" s="4">
        <f t="shared" si="13"/>
        <v>0</v>
      </c>
      <c r="AF227" s="4">
        <f t="shared" si="13"/>
        <v>0</v>
      </c>
      <c r="AG227" s="142">
        <f t="shared" si="13"/>
        <v>0</v>
      </c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</row>
    <row r="228" spans="1:75" outlineLevel="1" x14ac:dyDescent="0.25">
      <c r="A228" s="103">
        <v>0.5625</v>
      </c>
      <c r="B228" s="123">
        <v>0.58333333333333337</v>
      </c>
      <c r="C228" s="143">
        <f t="shared" ref="C228:AG228" si="14">IFERROR((((Agents($AH$2,$AI$2,C31,C81)/30)*22.5)/0.85)/C179,2)</f>
        <v>0</v>
      </c>
      <c r="D228" s="4">
        <f t="shared" si="14"/>
        <v>0</v>
      </c>
      <c r="E228" s="4">
        <f t="shared" si="14"/>
        <v>0</v>
      </c>
      <c r="F228" s="4">
        <f t="shared" si="14"/>
        <v>0</v>
      </c>
      <c r="G228" s="4">
        <f t="shared" si="14"/>
        <v>0</v>
      </c>
      <c r="H228" s="4">
        <f t="shared" si="14"/>
        <v>0</v>
      </c>
      <c r="I228" s="4">
        <f t="shared" si="14"/>
        <v>0</v>
      </c>
      <c r="J228" s="4">
        <f t="shared" si="14"/>
        <v>0</v>
      </c>
      <c r="K228" s="4">
        <f t="shared" si="14"/>
        <v>0</v>
      </c>
      <c r="L228" s="4">
        <f t="shared" si="14"/>
        <v>0</v>
      </c>
      <c r="M228" s="4">
        <f t="shared" si="14"/>
        <v>0</v>
      </c>
      <c r="N228" s="4">
        <f t="shared" si="14"/>
        <v>0</v>
      </c>
      <c r="O228" s="4">
        <f t="shared" si="14"/>
        <v>0</v>
      </c>
      <c r="P228" s="4">
        <f t="shared" si="14"/>
        <v>0</v>
      </c>
      <c r="Q228" s="4">
        <f t="shared" si="14"/>
        <v>0</v>
      </c>
      <c r="R228" s="4">
        <f t="shared" si="14"/>
        <v>0</v>
      </c>
      <c r="S228" s="4">
        <f t="shared" si="14"/>
        <v>0</v>
      </c>
      <c r="T228" s="4">
        <f t="shared" si="14"/>
        <v>0</v>
      </c>
      <c r="U228" s="4">
        <f t="shared" si="14"/>
        <v>0</v>
      </c>
      <c r="V228" s="4">
        <f t="shared" si="14"/>
        <v>0</v>
      </c>
      <c r="W228" s="4">
        <f t="shared" si="14"/>
        <v>0</v>
      </c>
      <c r="X228" s="4">
        <f t="shared" si="14"/>
        <v>0</v>
      </c>
      <c r="Y228" s="4">
        <f t="shared" si="14"/>
        <v>0</v>
      </c>
      <c r="Z228" s="4">
        <f t="shared" si="14"/>
        <v>0</v>
      </c>
      <c r="AA228" s="4">
        <f t="shared" si="14"/>
        <v>0</v>
      </c>
      <c r="AB228" s="4">
        <f t="shared" si="14"/>
        <v>0</v>
      </c>
      <c r="AC228" s="4">
        <f t="shared" si="14"/>
        <v>0</v>
      </c>
      <c r="AD228" s="4">
        <f t="shared" si="14"/>
        <v>0</v>
      </c>
      <c r="AE228" s="4">
        <f t="shared" si="14"/>
        <v>0</v>
      </c>
      <c r="AF228" s="4">
        <f t="shared" si="14"/>
        <v>0</v>
      </c>
      <c r="AG228" s="142">
        <f t="shared" si="14"/>
        <v>0</v>
      </c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</row>
    <row r="229" spans="1:75" outlineLevel="1" x14ac:dyDescent="0.25">
      <c r="A229" s="103">
        <v>0.58333333333333337</v>
      </c>
      <c r="B229" s="123">
        <v>0.60416666666666663</v>
      </c>
      <c r="C229" s="143">
        <f t="shared" ref="C229:AG229" si="15">IFERROR((((Agents($AH$2,$AI$2,C32,C82)/30)*22.5)/0.85)/C180,2)</f>
        <v>0</v>
      </c>
      <c r="D229" s="4">
        <f t="shared" si="15"/>
        <v>0</v>
      </c>
      <c r="E229" s="4">
        <f t="shared" si="15"/>
        <v>0</v>
      </c>
      <c r="F229" s="4">
        <f t="shared" si="15"/>
        <v>0</v>
      </c>
      <c r="G229" s="4">
        <f t="shared" si="15"/>
        <v>0</v>
      </c>
      <c r="H229" s="4">
        <f t="shared" si="15"/>
        <v>0</v>
      </c>
      <c r="I229" s="4">
        <f t="shared" si="15"/>
        <v>0</v>
      </c>
      <c r="J229" s="4">
        <f t="shared" si="15"/>
        <v>0</v>
      </c>
      <c r="K229" s="4">
        <f t="shared" si="15"/>
        <v>0</v>
      </c>
      <c r="L229" s="4">
        <f t="shared" si="15"/>
        <v>0</v>
      </c>
      <c r="M229" s="4">
        <f t="shared" si="15"/>
        <v>0</v>
      </c>
      <c r="N229" s="4">
        <f t="shared" si="15"/>
        <v>0</v>
      </c>
      <c r="O229" s="4">
        <f t="shared" si="15"/>
        <v>0</v>
      </c>
      <c r="P229" s="4">
        <f t="shared" si="15"/>
        <v>0</v>
      </c>
      <c r="Q229" s="4">
        <f t="shared" si="15"/>
        <v>0</v>
      </c>
      <c r="R229" s="4">
        <f t="shared" si="15"/>
        <v>0</v>
      </c>
      <c r="S229" s="4">
        <f t="shared" si="15"/>
        <v>0</v>
      </c>
      <c r="T229" s="4">
        <f t="shared" si="15"/>
        <v>0</v>
      </c>
      <c r="U229" s="4">
        <f t="shared" si="15"/>
        <v>0</v>
      </c>
      <c r="V229" s="4">
        <f t="shared" si="15"/>
        <v>0</v>
      </c>
      <c r="W229" s="4">
        <f t="shared" si="15"/>
        <v>0</v>
      </c>
      <c r="X229" s="4">
        <f t="shared" si="15"/>
        <v>0</v>
      </c>
      <c r="Y229" s="4">
        <f t="shared" si="15"/>
        <v>0</v>
      </c>
      <c r="Z229" s="4">
        <f t="shared" si="15"/>
        <v>0</v>
      </c>
      <c r="AA229" s="4">
        <f t="shared" si="15"/>
        <v>0</v>
      </c>
      <c r="AB229" s="4">
        <f t="shared" si="15"/>
        <v>0</v>
      </c>
      <c r="AC229" s="4">
        <f t="shared" si="15"/>
        <v>0</v>
      </c>
      <c r="AD229" s="4">
        <f t="shared" si="15"/>
        <v>0</v>
      </c>
      <c r="AE229" s="4">
        <f t="shared" si="15"/>
        <v>0</v>
      </c>
      <c r="AF229" s="4">
        <f t="shared" si="15"/>
        <v>0</v>
      </c>
      <c r="AG229" s="142">
        <f t="shared" si="15"/>
        <v>0</v>
      </c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</row>
    <row r="230" spans="1:75" outlineLevel="1" x14ac:dyDescent="0.25">
      <c r="A230" s="103">
        <v>0.60416666666666663</v>
      </c>
      <c r="B230" s="123">
        <v>0.625</v>
      </c>
      <c r="C230" s="143">
        <f t="shared" ref="C230:AG230" si="16">IFERROR((((Agents($AH$2,$AI$2,C33,C83)/30)*22.5)/0.85)/C181,2)</f>
        <v>0</v>
      </c>
      <c r="D230" s="4">
        <f t="shared" si="16"/>
        <v>0</v>
      </c>
      <c r="E230" s="4">
        <f t="shared" si="16"/>
        <v>0</v>
      </c>
      <c r="F230" s="4">
        <f t="shared" si="16"/>
        <v>0</v>
      </c>
      <c r="G230" s="4">
        <f t="shared" si="16"/>
        <v>0</v>
      </c>
      <c r="H230" s="4">
        <f t="shared" si="16"/>
        <v>0</v>
      </c>
      <c r="I230" s="4">
        <f t="shared" si="16"/>
        <v>0</v>
      </c>
      <c r="J230" s="4">
        <f t="shared" si="16"/>
        <v>0</v>
      </c>
      <c r="K230" s="4">
        <f t="shared" si="16"/>
        <v>0</v>
      </c>
      <c r="L230" s="4">
        <f t="shared" si="16"/>
        <v>0</v>
      </c>
      <c r="M230" s="4">
        <f t="shared" si="16"/>
        <v>0</v>
      </c>
      <c r="N230" s="4">
        <f t="shared" si="16"/>
        <v>0</v>
      </c>
      <c r="O230" s="4">
        <f t="shared" si="16"/>
        <v>0</v>
      </c>
      <c r="P230" s="4">
        <f t="shared" si="16"/>
        <v>0</v>
      </c>
      <c r="Q230" s="4">
        <f t="shared" si="16"/>
        <v>0</v>
      </c>
      <c r="R230" s="4">
        <f t="shared" si="16"/>
        <v>0</v>
      </c>
      <c r="S230" s="4">
        <f t="shared" si="16"/>
        <v>0</v>
      </c>
      <c r="T230" s="4">
        <f t="shared" si="16"/>
        <v>0</v>
      </c>
      <c r="U230" s="4">
        <f t="shared" si="16"/>
        <v>0</v>
      </c>
      <c r="V230" s="4">
        <f t="shared" si="16"/>
        <v>0</v>
      </c>
      <c r="W230" s="4">
        <f t="shared" si="16"/>
        <v>0</v>
      </c>
      <c r="X230" s="4">
        <f t="shared" si="16"/>
        <v>0</v>
      </c>
      <c r="Y230" s="4">
        <f t="shared" si="16"/>
        <v>0</v>
      </c>
      <c r="Z230" s="4">
        <f t="shared" si="16"/>
        <v>0</v>
      </c>
      <c r="AA230" s="4">
        <f t="shared" si="16"/>
        <v>0</v>
      </c>
      <c r="AB230" s="4">
        <f t="shared" si="16"/>
        <v>0</v>
      </c>
      <c r="AC230" s="4">
        <f t="shared" si="16"/>
        <v>0</v>
      </c>
      <c r="AD230" s="4">
        <f t="shared" si="16"/>
        <v>0</v>
      </c>
      <c r="AE230" s="4">
        <f t="shared" si="16"/>
        <v>0</v>
      </c>
      <c r="AF230" s="4">
        <f t="shared" si="16"/>
        <v>0</v>
      </c>
      <c r="AG230" s="142">
        <f t="shared" si="16"/>
        <v>0</v>
      </c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</row>
    <row r="231" spans="1:75" outlineLevel="1" x14ac:dyDescent="0.25">
      <c r="A231" s="103">
        <v>0.625</v>
      </c>
      <c r="B231" s="123">
        <v>0.64583333333333337</v>
      </c>
      <c r="C231" s="143">
        <f t="shared" ref="C231:AG231" si="17">IFERROR((((Agents($AH$2,$AI$2,C34,C84)/30)*22.5)/0.85)/C182,2)</f>
        <v>0</v>
      </c>
      <c r="D231" s="4">
        <f t="shared" si="17"/>
        <v>0</v>
      </c>
      <c r="E231" s="4">
        <f t="shared" si="17"/>
        <v>0</v>
      </c>
      <c r="F231" s="4">
        <f t="shared" si="17"/>
        <v>0</v>
      </c>
      <c r="G231" s="4">
        <f t="shared" si="17"/>
        <v>0</v>
      </c>
      <c r="H231" s="4">
        <f t="shared" si="17"/>
        <v>0</v>
      </c>
      <c r="I231" s="4">
        <f t="shared" si="17"/>
        <v>0</v>
      </c>
      <c r="J231" s="4">
        <f t="shared" si="17"/>
        <v>0</v>
      </c>
      <c r="K231" s="4">
        <f t="shared" si="17"/>
        <v>0</v>
      </c>
      <c r="L231" s="4">
        <f t="shared" si="17"/>
        <v>0</v>
      </c>
      <c r="M231" s="4">
        <f t="shared" si="17"/>
        <v>0</v>
      </c>
      <c r="N231" s="4">
        <f t="shared" si="17"/>
        <v>0</v>
      </c>
      <c r="O231" s="4">
        <f t="shared" si="17"/>
        <v>0</v>
      </c>
      <c r="P231" s="4">
        <f t="shared" si="17"/>
        <v>0</v>
      </c>
      <c r="Q231" s="4">
        <f t="shared" si="17"/>
        <v>0</v>
      </c>
      <c r="R231" s="4">
        <f t="shared" si="17"/>
        <v>0</v>
      </c>
      <c r="S231" s="4">
        <f t="shared" si="17"/>
        <v>0</v>
      </c>
      <c r="T231" s="4">
        <f t="shared" si="17"/>
        <v>0</v>
      </c>
      <c r="U231" s="4">
        <f t="shared" si="17"/>
        <v>0</v>
      </c>
      <c r="V231" s="4">
        <f t="shared" si="17"/>
        <v>0</v>
      </c>
      <c r="W231" s="4">
        <f t="shared" si="17"/>
        <v>0</v>
      </c>
      <c r="X231" s="4">
        <f t="shared" si="17"/>
        <v>0</v>
      </c>
      <c r="Y231" s="4">
        <f t="shared" si="17"/>
        <v>0</v>
      </c>
      <c r="Z231" s="4">
        <f t="shared" si="17"/>
        <v>0</v>
      </c>
      <c r="AA231" s="4">
        <f t="shared" si="17"/>
        <v>0</v>
      </c>
      <c r="AB231" s="4">
        <f t="shared" si="17"/>
        <v>0</v>
      </c>
      <c r="AC231" s="4">
        <f t="shared" si="17"/>
        <v>0</v>
      </c>
      <c r="AD231" s="4">
        <f t="shared" si="17"/>
        <v>0</v>
      </c>
      <c r="AE231" s="4">
        <f t="shared" si="17"/>
        <v>0</v>
      </c>
      <c r="AF231" s="4">
        <f t="shared" si="17"/>
        <v>0</v>
      </c>
      <c r="AG231" s="142">
        <f t="shared" si="17"/>
        <v>0</v>
      </c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</row>
    <row r="232" spans="1:75" outlineLevel="1" x14ac:dyDescent="0.25">
      <c r="A232" s="103">
        <v>0.64583333333333337</v>
      </c>
      <c r="B232" s="123">
        <v>0.66666666666666663</v>
      </c>
      <c r="C232" s="143">
        <f t="shared" ref="C232:AG232" si="18">IFERROR((((Agents($AH$2,$AI$2,C35,C85)/30)*22.5)/0.85)/C183,2)</f>
        <v>0</v>
      </c>
      <c r="D232" s="4">
        <f t="shared" si="18"/>
        <v>0</v>
      </c>
      <c r="E232" s="4">
        <f t="shared" si="18"/>
        <v>0</v>
      </c>
      <c r="F232" s="4">
        <f t="shared" si="18"/>
        <v>0</v>
      </c>
      <c r="G232" s="4">
        <f t="shared" si="18"/>
        <v>0</v>
      </c>
      <c r="H232" s="4">
        <f t="shared" si="18"/>
        <v>0</v>
      </c>
      <c r="I232" s="4">
        <f t="shared" si="18"/>
        <v>0</v>
      </c>
      <c r="J232" s="4">
        <f t="shared" si="18"/>
        <v>0</v>
      </c>
      <c r="K232" s="4">
        <f t="shared" si="18"/>
        <v>0</v>
      </c>
      <c r="L232" s="4">
        <f t="shared" si="18"/>
        <v>0</v>
      </c>
      <c r="M232" s="4">
        <f t="shared" si="18"/>
        <v>0</v>
      </c>
      <c r="N232" s="4">
        <f t="shared" si="18"/>
        <v>0</v>
      </c>
      <c r="O232" s="4">
        <f t="shared" si="18"/>
        <v>0</v>
      </c>
      <c r="P232" s="4">
        <f t="shared" si="18"/>
        <v>0</v>
      </c>
      <c r="Q232" s="4">
        <f t="shared" si="18"/>
        <v>0</v>
      </c>
      <c r="R232" s="4">
        <f t="shared" si="18"/>
        <v>0</v>
      </c>
      <c r="S232" s="4">
        <f t="shared" si="18"/>
        <v>0</v>
      </c>
      <c r="T232" s="4">
        <f t="shared" si="18"/>
        <v>0</v>
      </c>
      <c r="U232" s="4">
        <f t="shared" si="18"/>
        <v>0</v>
      </c>
      <c r="V232" s="4">
        <f t="shared" si="18"/>
        <v>0</v>
      </c>
      <c r="W232" s="4">
        <f t="shared" si="18"/>
        <v>0</v>
      </c>
      <c r="X232" s="4">
        <f t="shared" si="18"/>
        <v>0</v>
      </c>
      <c r="Y232" s="4">
        <f t="shared" si="18"/>
        <v>0</v>
      </c>
      <c r="Z232" s="4">
        <f t="shared" si="18"/>
        <v>0</v>
      </c>
      <c r="AA232" s="4">
        <f t="shared" si="18"/>
        <v>0</v>
      </c>
      <c r="AB232" s="4">
        <f t="shared" si="18"/>
        <v>0</v>
      </c>
      <c r="AC232" s="4">
        <f t="shared" si="18"/>
        <v>0</v>
      </c>
      <c r="AD232" s="4">
        <f t="shared" si="18"/>
        <v>0</v>
      </c>
      <c r="AE232" s="4">
        <f t="shared" si="18"/>
        <v>0</v>
      </c>
      <c r="AF232" s="4">
        <f t="shared" si="18"/>
        <v>0</v>
      </c>
      <c r="AG232" s="142">
        <f t="shared" si="18"/>
        <v>0</v>
      </c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</row>
    <row r="233" spans="1:75" outlineLevel="1" x14ac:dyDescent="0.25">
      <c r="A233" s="103">
        <v>0.66666666666666663</v>
      </c>
      <c r="B233" s="123">
        <v>0.6875</v>
      </c>
      <c r="C233" s="143">
        <f t="shared" ref="C233:AG233" si="19">IFERROR((((Agents($AH$2,$AI$2,C36,C86)/30)*22.5)/0.85)/C184,2)</f>
        <v>0</v>
      </c>
      <c r="D233" s="4">
        <f t="shared" si="19"/>
        <v>0</v>
      </c>
      <c r="E233" s="4">
        <f t="shared" si="19"/>
        <v>0</v>
      </c>
      <c r="F233" s="4">
        <f t="shared" si="19"/>
        <v>0</v>
      </c>
      <c r="G233" s="4">
        <f t="shared" si="19"/>
        <v>0</v>
      </c>
      <c r="H233" s="4">
        <f t="shared" si="19"/>
        <v>0</v>
      </c>
      <c r="I233" s="4">
        <f t="shared" si="19"/>
        <v>0</v>
      </c>
      <c r="J233" s="4">
        <f t="shared" si="19"/>
        <v>0</v>
      </c>
      <c r="K233" s="4">
        <f t="shared" si="19"/>
        <v>0</v>
      </c>
      <c r="L233" s="4">
        <f t="shared" si="19"/>
        <v>0</v>
      </c>
      <c r="M233" s="4">
        <f t="shared" si="19"/>
        <v>0</v>
      </c>
      <c r="N233" s="4">
        <f t="shared" si="19"/>
        <v>0</v>
      </c>
      <c r="O233" s="4">
        <f t="shared" si="19"/>
        <v>0</v>
      </c>
      <c r="P233" s="4">
        <f t="shared" si="19"/>
        <v>0</v>
      </c>
      <c r="Q233" s="4">
        <f t="shared" si="19"/>
        <v>0</v>
      </c>
      <c r="R233" s="4">
        <f t="shared" si="19"/>
        <v>0</v>
      </c>
      <c r="S233" s="4">
        <f t="shared" si="19"/>
        <v>0</v>
      </c>
      <c r="T233" s="4">
        <f t="shared" si="19"/>
        <v>0</v>
      </c>
      <c r="U233" s="4">
        <f t="shared" si="19"/>
        <v>0</v>
      </c>
      <c r="V233" s="4">
        <f t="shared" si="19"/>
        <v>0</v>
      </c>
      <c r="W233" s="4">
        <f t="shared" si="19"/>
        <v>0</v>
      </c>
      <c r="X233" s="4">
        <f t="shared" si="19"/>
        <v>0</v>
      </c>
      <c r="Y233" s="4">
        <f t="shared" si="19"/>
        <v>0</v>
      </c>
      <c r="Z233" s="4">
        <f t="shared" si="19"/>
        <v>0</v>
      </c>
      <c r="AA233" s="4">
        <f t="shared" si="19"/>
        <v>0</v>
      </c>
      <c r="AB233" s="4">
        <f t="shared" si="19"/>
        <v>0</v>
      </c>
      <c r="AC233" s="4">
        <f t="shared" si="19"/>
        <v>0</v>
      </c>
      <c r="AD233" s="4">
        <f t="shared" si="19"/>
        <v>0</v>
      </c>
      <c r="AE233" s="4">
        <f t="shared" si="19"/>
        <v>0</v>
      </c>
      <c r="AF233" s="4">
        <f t="shared" si="19"/>
        <v>0</v>
      </c>
      <c r="AG233" s="142">
        <f t="shared" si="19"/>
        <v>0</v>
      </c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</row>
    <row r="234" spans="1:75" outlineLevel="1" x14ac:dyDescent="0.25">
      <c r="A234" s="103">
        <v>0.6875</v>
      </c>
      <c r="B234" s="123">
        <v>0.70833333333333337</v>
      </c>
      <c r="C234" s="143">
        <f t="shared" ref="C234:AG234" si="20">IFERROR((((Agents($AH$2,$AI$2,C37,C87)/30)*22.5)/0.85)/C185,2)</f>
        <v>0</v>
      </c>
      <c r="D234" s="4">
        <f t="shared" si="20"/>
        <v>0</v>
      </c>
      <c r="E234" s="4">
        <f t="shared" si="20"/>
        <v>0</v>
      </c>
      <c r="F234" s="4">
        <f t="shared" si="20"/>
        <v>0</v>
      </c>
      <c r="G234" s="4">
        <f t="shared" si="20"/>
        <v>0</v>
      </c>
      <c r="H234" s="4">
        <f t="shared" si="20"/>
        <v>0</v>
      </c>
      <c r="I234" s="4">
        <f t="shared" si="20"/>
        <v>0</v>
      </c>
      <c r="J234" s="4">
        <f t="shared" si="20"/>
        <v>0</v>
      </c>
      <c r="K234" s="4">
        <f t="shared" si="20"/>
        <v>0</v>
      </c>
      <c r="L234" s="4">
        <f t="shared" si="20"/>
        <v>0</v>
      </c>
      <c r="M234" s="4">
        <f t="shared" si="20"/>
        <v>0</v>
      </c>
      <c r="N234" s="4">
        <f t="shared" si="20"/>
        <v>0</v>
      </c>
      <c r="O234" s="4">
        <f t="shared" si="20"/>
        <v>0</v>
      </c>
      <c r="P234" s="4">
        <f t="shared" si="20"/>
        <v>0</v>
      </c>
      <c r="Q234" s="4">
        <f t="shared" si="20"/>
        <v>0</v>
      </c>
      <c r="R234" s="4">
        <f t="shared" si="20"/>
        <v>0</v>
      </c>
      <c r="S234" s="4">
        <f t="shared" si="20"/>
        <v>0</v>
      </c>
      <c r="T234" s="4">
        <f t="shared" si="20"/>
        <v>0</v>
      </c>
      <c r="U234" s="4">
        <f t="shared" si="20"/>
        <v>0</v>
      </c>
      <c r="V234" s="4">
        <f t="shared" si="20"/>
        <v>0</v>
      </c>
      <c r="W234" s="4">
        <f t="shared" si="20"/>
        <v>0</v>
      </c>
      <c r="X234" s="4">
        <f t="shared" si="20"/>
        <v>0</v>
      </c>
      <c r="Y234" s="4">
        <f t="shared" si="20"/>
        <v>0</v>
      </c>
      <c r="Z234" s="4">
        <f t="shared" si="20"/>
        <v>0</v>
      </c>
      <c r="AA234" s="4">
        <f t="shared" si="20"/>
        <v>0</v>
      </c>
      <c r="AB234" s="4">
        <f t="shared" si="20"/>
        <v>0</v>
      </c>
      <c r="AC234" s="4">
        <f t="shared" si="20"/>
        <v>0</v>
      </c>
      <c r="AD234" s="4">
        <f t="shared" si="20"/>
        <v>0</v>
      </c>
      <c r="AE234" s="4">
        <f t="shared" si="20"/>
        <v>0</v>
      </c>
      <c r="AF234" s="4">
        <f t="shared" si="20"/>
        <v>0</v>
      </c>
      <c r="AG234" s="142">
        <f t="shared" si="20"/>
        <v>0</v>
      </c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</row>
    <row r="235" spans="1:75" outlineLevel="1" x14ac:dyDescent="0.25">
      <c r="A235" s="103">
        <v>0.70833333333333337</v>
      </c>
      <c r="B235" s="123">
        <v>0.72916666666666663</v>
      </c>
      <c r="C235" s="143">
        <f t="shared" ref="C235:AG235" si="21">IFERROR((((Agents($AH$2,$AI$2,C38,C88)/30)*22.5)/0.85)/C186,2)</f>
        <v>0</v>
      </c>
      <c r="D235" s="4">
        <f t="shared" si="21"/>
        <v>0</v>
      </c>
      <c r="E235" s="4">
        <f t="shared" si="21"/>
        <v>0</v>
      </c>
      <c r="F235" s="4">
        <f t="shared" si="21"/>
        <v>0</v>
      </c>
      <c r="G235" s="4">
        <f t="shared" si="21"/>
        <v>0</v>
      </c>
      <c r="H235" s="4">
        <f t="shared" si="21"/>
        <v>0</v>
      </c>
      <c r="I235" s="4">
        <f t="shared" si="21"/>
        <v>0</v>
      </c>
      <c r="J235" s="4">
        <f t="shared" si="21"/>
        <v>0</v>
      </c>
      <c r="K235" s="4">
        <f t="shared" si="21"/>
        <v>0</v>
      </c>
      <c r="L235" s="4">
        <f t="shared" si="21"/>
        <v>0</v>
      </c>
      <c r="M235" s="4">
        <f t="shared" si="21"/>
        <v>0</v>
      </c>
      <c r="N235" s="4">
        <f t="shared" si="21"/>
        <v>0</v>
      </c>
      <c r="O235" s="4">
        <f t="shared" si="21"/>
        <v>0</v>
      </c>
      <c r="P235" s="4">
        <f t="shared" si="21"/>
        <v>0</v>
      </c>
      <c r="Q235" s="4">
        <f t="shared" si="21"/>
        <v>0</v>
      </c>
      <c r="R235" s="4">
        <f t="shared" si="21"/>
        <v>0</v>
      </c>
      <c r="S235" s="4">
        <f t="shared" si="21"/>
        <v>0</v>
      </c>
      <c r="T235" s="4">
        <f t="shared" si="21"/>
        <v>0</v>
      </c>
      <c r="U235" s="4">
        <f t="shared" si="21"/>
        <v>0</v>
      </c>
      <c r="V235" s="4">
        <f t="shared" si="21"/>
        <v>0</v>
      </c>
      <c r="W235" s="4">
        <f t="shared" si="21"/>
        <v>0</v>
      </c>
      <c r="X235" s="4">
        <f t="shared" si="21"/>
        <v>0</v>
      </c>
      <c r="Y235" s="4">
        <f t="shared" si="21"/>
        <v>0</v>
      </c>
      <c r="Z235" s="4">
        <f t="shared" si="21"/>
        <v>0</v>
      </c>
      <c r="AA235" s="4">
        <f t="shared" si="21"/>
        <v>0</v>
      </c>
      <c r="AB235" s="4">
        <f t="shared" si="21"/>
        <v>0</v>
      </c>
      <c r="AC235" s="4">
        <f t="shared" si="21"/>
        <v>0</v>
      </c>
      <c r="AD235" s="4">
        <f t="shared" si="21"/>
        <v>0</v>
      </c>
      <c r="AE235" s="4">
        <f t="shared" si="21"/>
        <v>0</v>
      </c>
      <c r="AF235" s="4">
        <f t="shared" si="21"/>
        <v>0</v>
      </c>
      <c r="AG235" s="142">
        <f t="shared" si="21"/>
        <v>0</v>
      </c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</row>
    <row r="236" spans="1:75" outlineLevel="1" x14ac:dyDescent="0.25">
      <c r="A236" s="103">
        <v>0.72916666666666663</v>
      </c>
      <c r="B236" s="123">
        <v>0.75</v>
      </c>
      <c r="C236" s="143">
        <f t="shared" ref="C236:AG236" si="22">IFERROR((((Agents($AH$2,$AI$2,C39,C89)/30)*22.5)/0.85)/C187,2)</f>
        <v>0</v>
      </c>
      <c r="D236" s="4">
        <f t="shared" si="22"/>
        <v>0</v>
      </c>
      <c r="E236" s="4">
        <f t="shared" si="22"/>
        <v>0</v>
      </c>
      <c r="F236" s="4">
        <f t="shared" si="22"/>
        <v>0</v>
      </c>
      <c r="G236" s="4">
        <f t="shared" si="22"/>
        <v>0</v>
      </c>
      <c r="H236" s="4">
        <f t="shared" si="22"/>
        <v>0</v>
      </c>
      <c r="I236" s="4">
        <f t="shared" si="22"/>
        <v>0</v>
      </c>
      <c r="J236" s="4">
        <f t="shared" si="22"/>
        <v>0</v>
      </c>
      <c r="K236" s="4">
        <f t="shared" si="22"/>
        <v>0</v>
      </c>
      <c r="L236" s="4">
        <f t="shared" si="22"/>
        <v>0</v>
      </c>
      <c r="M236" s="4">
        <f t="shared" si="22"/>
        <v>0</v>
      </c>
      <c r="N236" s="4">
        <f t="shared" si="22"/>
        <v>0</v>
      </c>
      <c r="O236" s="4">
        <f t="shared" si="22"/>
        <v>0</v>
      </c>
      <c r="P236" s="4">
        <f t="shared" si="22"/>
        <v>0</v>
      </c>
      <c r="Q236" s="4">
        <f t="shared" si="22"/>
        <v>0</v>
      </c>
      <c r="R236" s="4">
        <f t="shared" si="22"/>
        <v>0</v>
      </c>
      <c r="S236" s="4">
        <f t="shared" si="22"/>
        <v>0</v>
      </c>
      <c r="T236" s="4">
        <f t="shared" si="22"/>
        <v>0</v>
      </c>
      <c r="U236" s="4">
        <f t="shared" si="22"/>
        <v>0</v>
      </c>
      <c r="V236" s="4">
        <f t="shared" si="22"/>
        <v>0</v>
      </c>
      <c r="W236" s="4">
        <f t="shared" si="22"/>
        <v>0</v>
      </c>
      <c r="X236" s="4">
        <f t="shared" si="22"/>
        <v>0</v>
      </c>
      <c r="Y236" s="4">
        <f t="shared" si="22"/>
        <v>0</v>
      </c>
      <c r="Z236" s="4">
        <f t="shared" si="22"/>
        <v>0</v>
      </c>
      <c r="AA236" s="4">
        <f t="shared" si="22"/>
        <v>0</v>
      </c>
      <c r="AB236" s="4">
        <f t="shared" si="22"/>
        <v>0</v>
      </c>
      <c r="AC236" s="4">
        <f t="shared" si="22"/>
        <v>0</v>
      </c>
      <c r="AD236" s="4">
        <f t="shared" si="22"/>
        <v>0</v>
      </c>
      <c r="AE236" s="4">
        <f t="shared" si="22"/>
        <v>0</v>
      </c>
      <c r="AF236" s="4">
        <f t="shared" si="22"/>
        <v>0</v>
      </c>
      <c r="AG236" s="142">
        <f t="shared" si="22"/>
        <v>0</v>
      </c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</row>
    <row r="237" spans="1:75" outlineLevel="1" x14ac:dyDescent="0.25">
      <c r="A237" s="103">
        <v>0.75</v>
      </c>
      <c r="B237" s="123">
        <v>0.77083333333333337</v>
      </c>
      <c r="C237" s="143">
        <f t="shared" ref="C237:AG237" si="23">IFERROR((((Agents($AH$2,$AI$2,C40,C90)/30)*22.5)/0.85)/C188,2)</f>
        <v>0</v>
      </c>
      <c r="D237" s="4">
        <f t="shared" si="23"/>
        <v>0</v>
      </c>
      <c r="E237" s="4">
        <f t="shared" si="23"/>
        <v>0</v>
      </c>
      <c r="F237" s="4">
        <f t="shared" si="23"/>
        <v>0</v>
      </c>
      <c r="G237" s="4">
        <f t="shared" si="23"/>
        <v>0</v>
      </c>
      <c r="H237" s="4">
        <f t="shared" si="23"/>
        <v>0</v>
      </c>
      <c r="I237" s="4">
        <f t="shared" si="23"/>
        <v>0</v>
      </c>
      <c r="J237" s="4">
        <f t="shared" si="23"/>
        <v>0</v>
      </c>
      <c r="K237" s="4">
        <f t="shared" si="23"/>
        <v>0</v>
      </c>
      <c r="L237" s="4">
        <f t="shared" si="23"/>
        <v>0</v>
      </c>
      <c r="M237" s="4">
        <f t="shared" si="23"/>
        <v>0</v>
      </c>
      <c r="N237" s="4">
        <f t="shared" si="23"/>
        <v>0</v>
      </c>
      <c r="O237" s="4">
        <f t="shared" si="23"/>
        <v>0</v>
      </c>
      <c r="P237" s="4">
        <f t="shared" si="23"/>
        <v>0</v>
      </c>
      <c r="Q237" s="4">
        <f t="shared" si="23"/>
        <v>0</v>
      </c>
      <c r="R237" s="4">
        <f t="shared" si="23"/>
        <v>0</v>
      </c>
      <c r="S237" s="4">
        <f t="shared" si="23"/>
        <v>0</v>
      </c>
      <c r="T237" s="4">
        <f t="shared" si="23"/>
        <v>0</v>
      </c>
      <c r="U237" s="4">
        <f t="shared" si="23"/>
        <v>0</v>
      </c>
      <c r="V237" s="4">
        <f t="shared" si="23"/>
        <v>0</v>
      </c>
      <c r="W237" s="4">
        <f t="shared" si="23"/>
        <v>0</v>
      </c>
      <c r="X237" s="4">
        <f t="shared" si="23"/>
        <v>0</v>
      </c>
      <c r="Y237" s="4">
        <f t="shared" si="23"/>
        <v>0</v>
      </c>
      <c r="Z237" s="4">
        <f t="shared" si="23"/>
        <v>0</v>
      </c>
      <c r="AA237" s="4">
        <f t="shared" si="23"/>
        <v>0</v>
      </c>
      <c r="AB237" s="4">
        <f t="shared" si="23"/>
        <v>0</v>
      </c>
      <c r="AC237" s="4">
        <f t="shared" si="23"/>
        <v>0</v>
      </c>
      <c r="AD237" s="4">
        <f t="shared" si="23"/>
        <v>0</v>
      </c>
      <c r="AE237" s="4">
        <f t="shared" si="23"/>
        <v>0</v>
      </c>
      <c r="AF237" s="4">
        <f t="shared" si="23"/>
        <v>0</v>
      </c>
      <c r="AG237" s="142">
        <f t="shared" si="23"/>
        <v>0</v>
      </c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</row>
    <row r="238" spans="1:75" outlineLevel="1" x14ac:dyDescent="0.25">
      <c r="A238" s="103">
        <v>0.77083333333333337</v>
      </c>
      <c r="B238" s="123">
        <v>0.79166666666666663</v>
      </c>
      <c r="C238" s="143">
        <f t="shared" ref="C238:AG238" si="24">IFERROR((((Agents($AH$2,$AI$2,C41,C91)/30)*22.5)/0.85)/C189,2)</f>
        <v>0</v>
      </c>
      <c r="D238" s="4">
        <f t="shared" si="24"/>
        <v>0</v>
      </c>
      <c r="E238" s="4">
        <f t="shared" si="24"/>
        <v>0</v>
      </c>
      <c r="F238" s="4">
        <f t="shared" si="24"/>
        <v>0</v>
      </c>
      <c r="G238" s="4">
        <f t="shared" si="24"/>
        <v>0</v>
      </c>
      <c r="H238" s="4">
        <f t="shared" si="24"/>
        <v>0</v>
      </c>
      <c r="I238" s="4">
        <f t="shared" si="24"/>
        <v>0</v>
      </c>
      <c r="J238" s="4">
        <f t="shared" si="24"/>
        <v>0</v>
      </c>
      <c r="K238" s="4">
        <f t="shared" si="24"/>
        <v>0</v>
      </c>
      <c r="L238" s="4">
        <f t="shared" si="24"/>
        <v>0</v>
      </c>
      <c r="M238" s="4">
        <f t="shared" si="24"/>
        <v>0</v>
      </c>
      <c r="N238" s="4">
        <f t="shared" si="24"/>
        <v>0</v>
      </c>
      <c r="O238" s="4">
        <f t="shared" si="24"/>
        <v>0</v>
      </c>
      <c r="P238" s="4">
        <f t="shared" si="24"/>
        <v>0</v>
      </c>
      <c r="Q238" s="4">
        <f t="shared" si="24"/>
        <v>0</v>
      </c>
      <c r="R238" s="4">
        <f t="shared" si="24"/>
        <v>0</v>
      </c>
      <c r="S238" s="4">
        <f t="shared" si="24"/>
        <v>0</v>
      </c>
      <c r="T238" s="4">
        <f t="shared" si="24"/>
        <v>0</v>
      </c>
      <c r="U238" s="4">
        <f t="shared" si="24"/>
        <v>0</v>
      </c>
      <c r="V238" s="4">
        <f t="shared" si="24"/>
        <v>0</v>
      </c>
      <c r="W238" s="4">
        <f t="shared" si="24"/>
        <v>0</v>
      </c>
      <c r="X238" s="4">
        <f t="shared" si="24"/>
        <v>0</v>
      </c>
      <c r="Y238" s="4">
        <f t="shared" si="24"/>
        <v>0</v>
      </c>
      <c r="Z238" s="4">
        <f t="shared" si="24"/>
        <v>0</v>
      </c>
      <c r="AA238" s="4">
        <f t="shared" si="24"/>
        <v>0</v>
      </c>
      <c r="AB238" s="4">
        <f t="shared" si="24"/>
        <v>0</v>
      </c>
      <c r="AC238" s="4">
        <f t="shared" si="24"/>
        <v>0</v>
      </c>
      <c r="AD238" s="4">
        <f t="shared" si="24"/>
        <v>0</v>
      </c>
      <c r="AE238" s="4">
        <f t="shared" si="24"/>
        <v>0</v>
      </c>
      <c r="AF238" s="4">
        <f t="shared" si="24"/>
        <v>0</v>
      </c>
      <c r="AG238" s="142">
        <f t="shared" si="24"/>
        <v>0</v>
      </c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</row>
    <row r="239" spans="1:75" outlineLevel="1" x14ac:dyDescent="0.25">
      <c r="A239" s="103">
        <v>0.79166666666666663</v>
      </c>
      <c r="B239" s="123">
        <v>0.8125</v>
      </c>
      <c r="C239" s="143">
        <f t="shared" ref="C239:AG239" si="25">IFERROR((((Agents($AH$2,$AI$2,C42,C92)/30)*22.5)/0.85)/C190,2)</f>
        <v>0</v>
      </c>
      <c r="D239" s="4">
        <f t="shared" si="25"/>
        <v>0</v>
      </c>
      <c r="E239" s="4">
        <f t="shared" si="25"/>
        <v>0</v>
      </c>
      <c r="F239" s="4">
        <f t="shared" si="25"/>
        <v>0</v>
      </c>
      <c r="G239" s="4">
        <f t="shared" si="25"/>
        <v>0</v>
      </c>
      <c r="H239" s="4">
        <f t="shared" si="25"/>
        <v>0</v>
      </c>
      <c r="I239" s="4">
        <f t="shared" si="25"/>
        <v>0</v>
      </c>
      <c r="J239" s="4">
        <f t="shared" si="25"/>
        <v>0</v>
      </c>
      <c r="K239" s="4">
        <f t="shared" si="25"/>
        <v>0</v>
      </c>
      <c r="L239" s="4">
        <f t="shared" si="25"/>
        <v>0</v>
      </c>
      <c r="M239" s="4">
        <f t="shared" si="25"/>
        <v>0</v>
      </c>
      <c r="N239" s="4">
        <f t="shared" si="25"/>
        <v>0</v>
      </c>
      <c r="O239" s="4">
        <f t="shared" si="25"/>
        <v>0</v>
      </c>
      <c r="P239" s="4">
        <f t="shared" si="25"/>
        <v>0</v>
      </c>
      <c r="Q239" s="4">
        <f t="shared" si="25"/>
        <v>0</v>
      </c>
      <c r="R239" s="4">
        <f t="shared" si="25"/>
        <v>0</v>
      </c>
      <c r="S239" s="4">
        <f t="shared" si="25"/>
        <v>0</v>
      </c>
      <c r="T239" s="4">
        <f t="shared" si="25"/>
        <v>0</v>
      </c>
      <c r="U239" s="4">
        <f t="shared" si="25"/>
        <v>0</v>
      </c>
      <c r="V239" s="4">
        <f t="shared" si="25"/>
        <v>0</v>
      </c>
      <c r="W239" s="4">
        <f t="shared" si="25"/>
        <v>0</v>
      </c>
      <c r="X239" s="4">
        <f t="shared" si="25"/>
        <v>0</v>
      </c>
      <c r="Y239" s="4">
        <f t="shared" si="25"/>
        <v>0</v>
      </c>
      <c r="Z239" s="4">
        <f t="shared" si="25"/>
        <v>0</v>
      </c>
      <c r="AA239" s="4">
        <f t="shared" si="25"/>
        <v>0</v>
      </c>
      <c r="AB239" s="4">
        <f t="shared" si="25"/>
        <v>0</v>
      </c>
      <c r="AC239" s="4">
        <f t="shared" si="25"/>
        <v>0</v>
      </c>
      <c r="AD239" s="4">
        <f t="shared" si="25"/>
        <v>0</v>
      </c>
      <c r="AE239" s="4">
        <f t="shared" si="25"/>
        <v>0</v>
      </c>
      <c r="AF239" s="4">
        <f t="shared" si="25"/>
        <v>0</v>
      </c>
      <c r="AG239" s="142">
        <f t="shared" si="25"/>
        <v>0</v>
      </c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</row>
    <row r="240" spans="1:75" outlineLevel="1" x14ac:dyDescent="0.25">
      <c r="A240" s="103">
        <v>0.8125</v>
      </c>
      <c r="B240" s="123">
        <v>0.83333333333333337</v>
      </c>
      <c r="C240" s="143">
        <f t="shared" ref="C240:AG240" si="26">IFERROR((((Agents($AH$2,$AI$2,C43,C93)/30)*22.5)/0.85)/C191,2)</f>
        <v>0</v>
      </c>
      <c r="D240" s="4">
        <f t="shared" si="26"/>
        <v>0</v>
      </c>
      <c r="E240" s="4">
        <f t="shared" si="26"/>
        <v>0</v>
      </c>
      <c r="F240" s="4">
        <f t="shared" si="26"/>
        <v>0</v>
      </c>
      <c r="G240" s="4">
        <f t="shared" si="26"/>
        <v>0</v>
      </c>
      <c r="H240" s="4">
        <f t="shared" si="26"/>
        <v>0</v>
      </c>
      <c r="I240" s="4">
        <f t="shared" si="26"/>
        <v>0</v>
      </c>
      <c r="J240" s="4">
        <f t="shared" si="26"/>
        <v>0</v>
      </c>
      <c r="K240" s="4">
        <f t="shared" si="26"/>
        <v>0</v>
      </c>
      <c r="L240" s="4">
        <f t="shared" si="26"/>
        <v>0</v>
      </c>
      <c r="M240" s="4">
        <f t="shared" si="26"/>
        <v>0</v>
      </c>
      <c r="N240" s="4">
        <f t="shared" si="26"/>
        <v>0</v>
      </c>
      <c r="O240" s="4">
        <f t="shared" si="26"/>
        <v>0</v>
      </c>
      <c r="P240" s="4">
        <f t="shared" si="26"/>
        <v>0</v>
      </c>
      <c r="Q240" s="4">
        <f t="shared" si="26"/>
        <v>0</v>
      </c>
      <c r="R240" s="4">
        <f t="shared" si="26"/>
        <v>0</v>
      </c>
      <c r="S240" s="4">
        <f t="shared" si="26"/>
        <v>0</v>
      </c>
      <c r="T240" s="4">
        <f t="shared" si="26"/>
        <v>0</v>
      </c>
      <c r="U240" s="4">
        <f t="shared" si="26"/>
        <v>0</v>
      </c>
      <c r="V240" s="4">
        <f t="shared" si="26"/>
        <v>0</v>
      </c>
      <c r="W240" s="4">
        <f t="shared" si="26"/>
        <v>0</v>
      </c>
      <c r="X240" s="4">
        <f t="shared" si="26"/>
        <v>0</v>
      </c>
      <c r="Y240" s="4">
        <f t="shared" si="26"/>
        <v>0</v>
      </c>
      <c r="Z240" s="4">
        <f t="shared" si="26"/>
        <v>0</v>
      </c>
      <c r="AA240" s="4">
        <f t="shared" si="26"/>
        <v>0</v>
      </c>
      <c r="AB240" s="4">
        <f t="shared" si="26"/>
        <v>0</v>
      </c>
      <c r="AC240" s="4">
        <f t="shared" si="26"/>
        <v>0</v>
      </c>
      <c r="AD240" s="4">
        <f t="shared" si="26"/>
        <v>0</v>
      </c>
      <c r="AE240" s="4">
        <f t="shared" si="26"/>
        <v>0</v>
      </c>
      <c r="AF240" s="4">
        <f t="shared" si="26"/>
        <v>0</v>
      </c>
      <c r="AG240" s="142">
        <f t="shared" si="26"/>
        <v>0</v>
      </c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</row>
    <row r="241" spans="1:75" outlineLevel="1" x14ac:dyDescent="0.25">
      <c r="A241" s="103">
        <v>0.83333333333333337</v>
      </c>
      <c r="B241" s="123">
        <v>0.85416666666666663</v>
      </c>
      <c r="C241" s="143">
        <f t="shared" ref="C241:AG241" si="27">IFERROR((((Agents($AH$2,$AI$2,C44,C94)/30)*22.5)/0.85)/C192,2)</f>
        <v>0</v>
      </c>
      <c r="D241" s="4">
        <f t="shared" si="27"/>
        <v>0</v>
      </c>
      <c r="E241" s="4">
        <f t="shared" si="27"/>
        <v>0</v>
      </c>
      <c r="F241" s="4">
        <f t="shared" si="27"/>
        <v>0</v>
      </c>
      <c r="G241" s="4">
        <f t="shared" si="27"/>
        <v>0</v>
      </c>
      <c r="H241" s="4">
        <f t="shared" si="27"/>
        <v>0</v>
      </c>
      <c r="I241" s="4">
        <f t="shared" si="27"/>
        <v>0</v>
      </c>
      <c r="J241" s="4">
        <f t="shared" si="27"/>
        <v>0</v>
      </c>
      <c r="K241" s="4">
        <f t="shared" si="27"/>
        <v>0</v>
      </c>
      <c r="L241" s="4">
        <f t="shared" si="27"/>
        <v>0</v>
      </c>
      <c r="M241" s="4">
        <f t="shared" si="27"/>
        <v>0</v>
      </c>
      <c r="N241" s="4">
        <f t="shared" si="27"/>
        <v>0</v>
      </c>
      <c r="O241" s="4">
        <f t="shared" si="27"/>
        <v>0</v>
      </c>
      <c r="P241" s="4">
        <f t="shared" si="27"/>
        <v>0</v>
      </c>
      <c r="Q241" s="4">
        <f t="shared" si="27"/>
        <v>0</v>
      </c>
      <c r="R241" s="4">
        <f t="shared" si="27"/>
        <v>0</v>
      </c>
      <c r="S241" s="4">
        <f t="shared" si="27"/>
        <v>0</v>
      </c>
      <c r="T241" s="4">
        <f t="shared" si="27"/>
        <v>0</v>
      </c>
      <c r="U241" s="4">
        <f t="shared" si="27"/>
        <v>0</v>
      </c>
      <c r="V241" s="4">
        <f t="shared" si="27"/>
        <v>0</v>
      </c>
      <c r="W241" s="4">
        <f t="shared" si="27"/>
        <v>0</v>
      </c>
      <c r="X241" s="4">
        <f t="shared" si="27"/>
        <v>0</v>
      </c>
      <c r="Y241" s="4">
        <f t="shared" si="27"/>
        <v>0</v>
      </c>
      <c r="Z241" s="4">
        <f t="shared" si="27"/>
        <v>0</v>
      </c>
      <c r="AA241" s="4">
        <f t="shared" si="27"/>
        <v>0</v>
      </c>
      <c r="AB241" s="4">
        <f t="shared" si="27"/>
        <v>0</v>
      </c>
      <c r="AC241" s="4">
        <f t="shared" si="27"/>
        <v>0</v>
      </c>
      <c r="AD241" s="4">
        <f t="shared" si="27"/>
        <v>0</v>
      </c>
      <c r="AE241" s="4">
        <f t="shared" si="27"/>
        <v>0</v>
      </c>
      <c r="AF241" s="4">
        <f t="shared" si="27"/>
        <v>0</v>
      </c>
      <c r="AG241" s="142">
        <f t="shared" si="27"/>
        <v>0</v>
      </c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</row>
    <row r="242" spans="1:75" outlineLevel="1" x14ac:dyDescent="0.25">
      <c r="A242" s="103">
        <v>0.85416666666666663</v>
      </c>
      <c r="B242" s="123">
        <v>0.875</v>
      </c>
      <c r="C242" s="143">
        <f t="shared" ref="C242:AG242" si="28">IFERROR((((Agents($AH$2,$AI$2,C45,C95)/30)*22.5)/0.85)/C193,2)</f>
        <v>0</v>
      </c>
      <c r="D242" s="4">
        <f t="shared" si="28"/>
        <v>0</v>
      </c>
      <c r="E242" s="4">
        <f t="shared" si="28"/>
        <v>0</v>
      </c>
      <c r="F242" s="4">
        <f t="shared" si="28"/>
        <v>0</v>
      </c>
      <c r="G242" s="4">
        <f t="shared" si="28"/>
        <v>0</v>
      </c>
      <c r="H242" s="4">
        <f t="shared" si="28"/>
        <v>0</v>
      </c>
      <c r="I242" s="4">
        <f t="shared" si="28"/>
        <v>0</v>
      </c>
      <c r="J242" s="4">
        <f t="shared" si="28"/>
        <v>0</v>
      </c>
      <c r="K242" s="4">
        <f t="shared" si="28"/>
        <v>0</v>
      </c>
      <c r="L242" s="4">
        <f t="shared" si="28"/>
        <v>0</v>
      </c>
      <c r="M242" s="4">
        <f t="shared" si="28"/>
        <v>0</v>
      </c>
      <c r="N242" s="4">
        <f t="shared" si="28"/>
        <v>0</v>
      </c>
      <c r="O242" s="4">
        <f t="shared" si="28"/>
        <v>0</v>
      </c>
      <c r="P242" s="4">
        <f t="shared" si="28"/>
        <v>0</v>
      </c>
      <c r="Q242" s="4">
        <f t="shared" si="28"/>
        <v>0</v>
      </c>
      <c r="R242" s="4">
        <f t="shared" si="28"/>
        <v>0</v>
      </c>
      <c r="S242" s="4">
        <f t="shared" si="28"/>
        <v>0</v>
      </c>
      <c r="T242" s="4">
        <f t="shared" si="28"/>
        <v>0</v>
      </c>
      <c r="U242" s="4">
        <f t="shared" si="28"/>
        <v>0</v>
      </c>
      <c r="V242" s="4">
        <f t="shared" si="28"/>
        <v>0</v>
      </c>
      <c r="W242" s="4">
        <f t="shared" si="28"/>
        <v>0</v>
      </c>
      <c r="X242" s="4">
        <f t="shared" si="28"/>
        <v>0</v>
      </c>
      <c r="Y242" s="4">
        <f t="shared" si="28"/>
        <v>0</v>
      </c>
      <c r="Z242" s="4">
        <f t="shared" si="28"/>
        <v>0</v>
      </c>
      <c r="AA242" s="4">
        <f t="shared" si="28"/>
        <v>0</v>
      </c>
      <c r="AB242" s="4">
        <f t="shared" si="28"/>
        <v>0</v>
      </c>
      <c r="AC242" s="4">
        <f t="shared" si="28"/>
        <v>0</v>
      </c>
      <c r="AD242" s="4">
        <f t="shared" si="28"/>
        <v>0</v>
      </c>
      <c r="AE242" s="4">
        <f t="shared" si="28"/>
        <v>0</v>
      </c>
      <c r="AF242" s="4">
        <f t="shared" si="28"/>
        <v>0</v>
      </c>
      <c r="AG242" s="142">
        <f t="shared" si="28"/>
        <v>0</v>
      </c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</row>
    <row r="243" spans="1:75" outlineLevel="1" x14ac:dyDescent="0.25">
      <c r="A243" s="103">
        <v>0.875</v>
      </c>
      <c r="B243" s="123">
        <v>0.89583333333333337</v>
      </c>
      <c r="C243" s="143">
        <f t="shared" ref="C243:AG243" si="29">IFERROR((((Agents($AH$2,$AI$2,C46,C96)/30)*22.5)/0.85)/C194,2)</f>
        <v>0</v>
      </c>
      <c r="D243" s="4">
        <f t="shared" si="29"/>
        <v>0</v>
      </c>
      <c r="E243" s="4">
        <f t="shared" si="29"/>
        <v>0</v>
      </c>
      <c r="F243" s="4">
        <f t="shared" si="29"/>
        <v>0</v>
      </c>
      <c r="G243" s="4">
        <f t="shared" si="29"/>
        <v>0</v>
      </c>
      <c r="H243" s="4">
        <f t="shared" si="29"/>
        <v>0</v>
      </c>
      <c r="I243" s="4">
        <f t="shared" si="29"/>
        <v>0</v>
      </c>
      <c r="J243" s="4">
        <f t="shared" si="29"/>
        <v>0</v>
      </c>
      <c r="K243" s="4">
        <f t="shared" si="29"/>
        <v>0</v>
      </c>
      <c r="L243" s="4">
        <f t="shared" si="29"/>
        <v>0</v>
      </c>
      <c r="M243" s="4">
        <f t="shared" si="29"/>
        <v>0</v>
      </c>
      <c r="N243" s="4">
        <f t="shared" si="29"/>
        <v>0</v>
      </c>
      <c r="O243" s="4">
        <f t="shared" si="29"/>
        <v>0</v>
      </c>
      <c r="P243" s="4">
        <f t="shared" si="29"/>
        <v>0</v>
      </c>
      <c r="Q243" s="4">
        <f t="shared" si="29"/>
        <v>0</v>
      </c>
      <c r="R243" s="4">
        <f t="shared" si="29"/>
        <v>0</v>
      </c>
      <c r="S243" s="4">
        <f t="shared" si="29"/>
        <v>0</v>
      </c>
      <c r="T243" s="4">
        <f t="shared" si="29"/>
        <v>0</v>
      </c>
      <c r="U243" s="4">
        <f t="shared" si="29"/>
        <v>0</v>
      </c>
      <c r="V243" s="4">
        <f t="shared" si="29"/>
        <v>0</v>
      </c>
      <c r="W243" s="4">
        <f t="shared" si="29"/>
        <v>0</v>
      </c>
      <c r="X243" s="4">
        <f t="shared" si="29"/>
        <v>0</v>
      </c>
      <c r="Y243" s="4">
        <f t="shared" si="29"/>
        <v>0</v>
      </c>
      <c r="Z243" s="4">
        <f t="shared" si="29"/>
        <v>0</v>
      </c>
      <c r="AA243" s="4">
        <f t="shared" si="29"/>
        <v>0</v>
      </c>
      <c r="AB243" s="4">
        <f t="shared" si="29"/>
        <v>0</v>
      </c>
      <c r="AC243" s="4">
        <f t="shared" si="29"/>
        <v>0</v>
      </c>
      <c r="AD243" s="4">
        <f t="shared" si="29"/>
        <v>0</v>
      </c>
      <c r="AE243" s="4">
        <f t="shared" si="29"/>
        <v>0</v>
      </c>
      <c r="AF243" s="4">
        <f t="shared" si="29"/>
        <v>0</v>
      </c>
      <c r="AG243" s="142">
        <f t="shared" si="29"/>
        <v>0</v>
      </c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</row>
    <row r="244" spans="1:75" ht="15.75" outlineLevel="1" thickBot="1" x14ac:dyDescent="0.3">
      <c r="A244" s="113">
        <v>0.89583333333333337</v>
      </c>
      <c r="B244" s="134">
        <v>0.91666666666666663</v>
      </c>
      <c r="C244" s="155">
        <f t="shared" ref="C244:AG244" si="30">IFERROR((((Agents($AH$2,$AI$2,C47,C97)/30)*22.5)/0.85)/C195,2)</f>
        <v>0</v>
      </c>
      <c r="D244" s="31">
        <f t="shared" si="30"/>
        <v>0</v>
      </c>
      <c r="E244" s="31">
        <f t="shared" si="30"/>
        <v>0</v>
      </c>
      <c r="F244" s="31">
        <f t="shared" si="30"/>
        <v>0</v>
      </c>
      <c r="G244" s="31">
        <f t="shared" si="30"/>
        <v>0</v>
      </c>
      <c r="H244" s="31">
        <f t="shared" si="30"/>
        <v>0</v>
      </c>
      <c r="I244" s="31">
        <f t="shared" si="30"/>
        <v>0</v>
      </c>
      <c r="J244" s="31">
        <f t="shared" si="30"/>
        <v>0</v>
      </c>
      <c r="K244" s="31">
        <f t="shared" si="30"/>
        <v>0</v>
      </c>
      <c r="L244" s="31">
        <f t="shared" si="30"/>
        <v>0</v>
      </c>
      <c r="M244" s="31">
        <f t="shared" si="30"/>
        <v>0</v>
      </c>
      <c r="N244" s="31">
        <f t="shared" si="30"/>
        <v>0</v>
      </c>
      <c r="O244" s="31">
        <f t="shared" si="30"/>
        <v>0</v>
      </c>
      <c r="P244" s="31">
        <f t="shared" si="30"/>
        <v>0</v>
      </c>
      <c r="Q244" s="31">
        <f t="shared" si="30"/>
        <v>0</v>
      </c>
      <c r="R244" s="31">
        <f t="shared" si="30"/>
        <v>0</v>
      </c>
      <c r="S244" s="31">
        <f t="shared" si="30"/>
        <v>0</v>
      </c>
      <c r="T244" s="31">
        <f t="shared" si="30"/>
        <v>0</v>
      </c>
      <c r="U244" s="31">
        <f t="shared" si="30"/>
        <v>0</v>
      </c>
      <c r="V244" s="31">
        <f t="shared" si="30"/>
        <v>0</v>
      </c>
      <c r="W244" s="31">
        <f t="shared" si="30"/>
        <v>0</v>
      </c>
      <c r="X244" s="31">
        <f t="shared" si="30"/>
        <v>0</v>
      </c>
      <c r="Y244" s="31">
        <f t="shared" si="30"/>
        <v>0</v>
      </c>
      <c r="Z244" s="31">
        <f t="shared" si="30"/>
        <v>0</v>
      </c>
      <c r="AA244" s="31">
        <f t="shared" si="30"/>
        <v>0</v>
      </c>
      <c r="AB244" s="31">
        <f t="shared" si="30"/>
        <v>0</v>
      </c>
      <c r="AC244" s="31">
        <f t="shared" si="30"/>
        <v>0</v>
      </c>
      <c r="AD244" s="31">
        <f t="shared" si="30"/>
        <v>0</v>
      </c>
      <c r="AE244" s="31">
        <f t="shared" si="30"/>
        <v>0</v>
      </c>
      <c r="AF244" s="31">
        <f t="shared" si="30"/>
        <v>0</v>
      </c>
      <c r="AG244" s="156">
        <f t="shared" si="30"/>
        <v>0</v>
      </c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</row>
    <row r="245" spans="1:75" outlineLevel="1" x14ac:dyDescent="0.25">
      <c r="A245" s="108">
        <v>0.91666666666666663</v>
      </c>
      <c r="B245" s="125">
        <v>0.9375</v>
      </c>
      <c r="C245" s="146">
        <f t="shared" ref="C245:AG245" si="31">IFERROR((((Agents($AH$2,$AI$2,C48,C98)/30)*22.5)/0.85)/C196,2)</f>
        <v>0</v>
      </c>
      <c r="D245" s="147">
        <f t="shared" si="31"/>
        <v>0</v>
      </c>
      <c r="E245" s="147">
        <f t="shared" si="31"/>
        <v>0</v>
      </c>
      <c r="F245" s="147">
        <f t="shared" si="31"/>
        <v>0</v>
      </c>
      <c r="G245" s="147">
        <f t="shared" si="31"/>
        <v>0</v>
      </c>
      <c r="H245" s="147">
        <f t="shared" si="31"/>
        <v>0</v>
      </c>
      <c r="I245" s="147">
        <f t="shared" si="31"/>
        <v>0</v>
      </c>
      <c r="J245" s="147">
        <f t="shared" si="31"/>
        <v>0</v>
      </c>
      <c r="K245" s="147">
        <f t="shared" si="31"/>
        <v>0</v>
      </c>
      <c r="L245" s="147">
        <f t="shared" si="31"/>
        <v>0</v>
      </c>
      <c r="M245" s="147">
        <f t="shared" si="31"/>
        <v>0</v>
      </c>
      <c r="N245" s="147">
        <f t="shared" si="31"/>
        <v>0</v>
      </c>
      <c r="O245" s="147">
        <f t="shared" si="31"/>
        <v>0</v>
      </c>
      <c r="P245" s="147">
        <f t="shared" si="31"/>
        <v>0</v>
      </c>
      <c r="Q245" s="147">
        <f t="shared" si="31"/>
        <v>0</v>
      </c>
      <c r="R245" s="147">
        <f t="shared" si="31"/>
        <v>0</v>
      </c>
      <c r="S245" s="147">
        <f t="shared" si="31"/>
        <v>0</v>
      </c>
      <c r="T245" s="147">
        <f t="shared" si="31"/>
        <v>0</v>
      </c>
      <c r="U245" s="147">
        <f t="shared" si="31"/>
        <v>0</v>
      </c>
      <c r="V245" s="147">
        <f t="shared" si="31"/>
        <v>0</v>
      </c>
      <c r="W245" s="147">
        <f t="shared" si="31"/>
        <v>0</v>
      </c>
      <c r="X245" s="147">
        <f t="shared" si="31"/>
        <v>0</v>
      </c>
      <c r="Y245" s="147">
        <f t="shared" si="31"/>
        <v>0</v>
      </c>
      <c r="Z245" s="147">
        <f t="shared" si="31"/>
        <v>0</v>
      </c>
      <c r="AA245" s="147">
        <f t="shared" si="31"/>
        <v>0</v>
      </c>
      <c r="AB245" s="147">
        <f t="shared" si="31"/>
        <v>0</v>
      </c>
      <c r="AC245" s="147">
        <f t="shared" si="31"/>
        <v>0</v>
      </c>
      <c r="AD245" s="147">
        <f t="shared" si="31"/>
        <v>0</v>
      </c>
      <c r="AE245" s="147">
        <f t="shared" si="31"/>
        <v>0</v>
      </c>
      <c r="AF245" s="147">
        <f t="shared" si="31"/>
        <v>0</v>
      </c>
      <c r="AG245" s="148">
        <f t="shared" si="31"/>
        <v>0</v>
      </c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</row>
    <row r="246" spans="1:75" outlineLevel="1" x14ac:dyDescent="0.25">
      <c r="A246" s="102">
        <v>0.9375</v>
      </c>
      <c r="B246" s="128">
        <v>0.95833333333333337</v>
      </c>
      <c r="C246" s="149">
        <f t="shared" ref="C246:AG246" si="32">IFERROR((((Agents($AH$2,$AI$2,C49,C99)/30)*22.5)/0.85)/C197,2)</f>
        <v>0</v>
      </c>
      <c r="D246" s="150">
        <f t="shared" si="32"/>
        <v>0</v>
      </c>
      <c r="E246" s="150">
        <f t="shared" si="32"/>
        <v>0</v>
      </c>
      <c r="F246" s="150">
        <f t="shared" si="32"/>
        <v>0</v>
      </c>
      <c r="G246" s="150">
        <f t="shared" si="32"/>
        <v>0</v>
      </c>
      <c r="H246" s="150">
        <f t="shared" si="32"/>
        <v>0</v>
      </c>
      <c r="I246" s="150">
        <f t="shared" si="32"/>
        <v>0</v>
      </c>
      <c r="J246" s="150">
        <f t="shared" si="32"/>
        <v>0</v>
      </c>
      <c r="K246" s="150">
        <f t="shared" si="32"/>
        <v>0</v>
      </c>
      <c r="L246" s="150">
        <f t="shared" si="32"/>
        <v>0</v>
      </c>
      <c r="M246" s="150">
        <f t="shared" si="32"/>
        <v>0</v>
      </c>
      <c r="N246" s="150">
        <f t="shared" si="32"/>
        <v>0</v>
      </c>
      <c r="O246" s="150">
        <f t="shared" si="32"/>
        <v>0</v>
      </c>
      <c r="P246" s="150">
        <f t="shared" si="32"/>
        <v>0</v>
      </c>
      <c r="Q246" s="150">
        <f t="shared" si="32"/>
        <v>0</v>
      </c>
      <c r="R246" s="150">
        <f t="shared" si="32"/>
        <v>0</v>
      </c>
      <c r="S246" s="150">
        <f t="shared" si="32"/>
        <v>0</v>
      </c>
      <c r="T246" s="150">
        <f t="shared" si="32"/>
        <v>0</v>
      </c>
      <c r="U246" s="150">
        <f t="shared" si="32"/>
        <v>0</v>
      </c>
      <c r="V246" s="150">
        <f t="shared" si="32"/>
        <v>0</v>
      </c>
      <c r="W246" s="150">
        <f t="shared" si="32"/>
        <v>0</v>
      </c>
      <c r="X246" s="150">
        <f t="shared" si="32"/>
        <v>0</v>
      </c>
      <c r="Y246" s="150">
        <f t="shared" si="32"/>
        <v>0</v>
      </c>
      <c r="Z246" s="150">
        <f t="shared" si="32"/>
        <v>0</v>
      </c>
      <c r="AA246" s="150">
        <f t="shared" si="32"/>
        <v>0</v>
      </c>
      <c r="AB246" s="150">
        <f t="shared" si="32"/>
        <v>0</v>
      </c>
      <c r="AC246" s="150">
        <f t="shared" si="32"/>
        <v>0</v>
      </c>
      <c r="AD246" s="150">
        <f t="shared" si="32"/>
        <v>0</v>
      </c>
      <c r="AE246" s="150">
        <f t="shared" si="32"/>
        <v>0</v>
      </c>
      <c r="AF246" s="150">
        <f t="shared" si="32"/>
        <v>0</v>
      </c>
      <c r="AG246" s="151">
        <f t="shared" si="32"/>
        <v>0</v>
      </c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</row>
    <row r="247" spans="1:75" outlineLevel="1" x14ac:dyDescent="0.25">
      <c r="A247" s="102">
        <v>0.95833333333333337</v>
      </c>
      <c r="B247" s="128">
        <v>0.97916666666666663</v>
      </c>
      <c r="C247" s="149">
        <f t="shared" ref="C247:AG247" si="33">IFERROR((((Agents($AH$2,$AI$2,C50,C100)/30)*22.5)/0.85)/C198,2)</f>
        <v>0</v>
      </c>
      <c r="D247" s="150">
        <f t="shared" si="33"/>
        <v>0</v>
      </c>
      <c r="E247" s="150">
        <f t="shared" si="33"/>
        <v>0</v>
      </c>
      <c r="F247" s="150">
        <f t="shared" si="33"/>
        <v>0</v>
      </c>
      <c r="G247" s="150">
        <f t="shared" si="33"/>
        <v>0</v>
      </c>
      <c r="H247" s="150">
        <f t="shared" si="33"/>
        <v>0</v>
      </c>
      <c r="I247" s="150">
        <f t="shared" si="33"/>
        <v>0</v>
      </c>
      <c r="J247" s="150">
        <f t="shared" si="33"/>
        <v>0</v>
      </c>
      <c r="K247" s="150">
        <f t="shared" si="33"/>
        <v>0</v>
      </c>
      <c r="L247" s="150">
        <f t="shared" si="33"/>
        <v>0</v>
      </c>
      <c r="M247" s="150">
        <f t="shared" si="33"/>
        <v>0</v>
      </c>
      <c r="N247" s="150">
        <f t="shared" si="33"/>
        <v>0</v>
      </c>
      <c r="O247" s="150">
        <f t="shared" si="33"/>
        <v>0</v>
      </c>
      <c r="P247" s="150">
        <f t="shared" si="33"/>
        <v>0</v>
      </c>
      <c r="Q247" s="150">
        <f t="shared" si="33"/>
        <v>0</v>
      </c>
      <c r="R247" s="150">
        <f t="shared" si="33"/>
        <v>0</v>
      </c>
      <c r="S247" s="150">
        <f t="shared" si="33"/>
        <v>0</v>
      </c>
      <c r="T247" s="150">
        <f t="shared" si="33"/>
        <v>0</v>
      </c>
      <c r="U247" s="150">
        <f t="shared" si="33"/>
        <v>0</v>
      </c>
      <c r="V247" s="150">
        <f t="shared" si="33"/>
        <v>0</v>
      </c>
      <c r="W247" s="150">
        <f t="shared" si="33"/>
        <v>0</v>
      </c>
      <c r="X247" s="150">
        <f t="shared" si="33"/>
        <v>0</v>
      </c>
      <c r="Y247" s="150">
        <f t="shared" si="33"/>
        <v>0</v>
      </c>
      <c r="Z247" s="150">
        <f t="shared" si="33"/>
        <v>0</v>
      </c>
      <c r="AA247" s="150">
        <f t="shared" si="33"/>
        <v>0</v>
      </c>
      <c r="AB247" s="150">
        <f t="shared" si="33"/>
        <v>0</v>
      </c>
      <c r="AC247" s="150">
        <f t="shared" si="33"/>
        <v>0</v>
      </c>
      <c r="AD247" s="150">
        <f t="shared" si="33"/>
        <v>0</v>
      </c>
      <c r="AE247" s="150">
        <f t="shared" si="33"/>
        <v>0</v>
      </c>
      <c r="AF247" s="150">
        <f t="shared" si="33"/>
        <v>0</v>
      </c>
      <c r="AG247" s="151">
        <f t="shared" si="33"/>
        <v>0</v>
      </c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</row>
    <row r="248" spans="1:75" ht="15.75" outlineLevel="1" thickBot="1" x14ac:dyDescent="0.3">
      <c r="A248" s="104">
        <v>0.97916666666666663</v>
      </c>
      <c r="B248" s="131">
        <v>0</v>
      </c>
      <c r="C248" s="152">
        <f t="shared" ref="C248:AG248" si="34">IFERROR((((Agents($AH$2,$AI$2,C51,C101)/30)*22.5)/0.85)/C199,2)</f>
        <v>0</v>
      </c>
      <c r="D248" s="153">
        <f t="shared" si="34"/>
        <v>0</v>
      </c>
      <c r="E248" s="153">
        <f t="shared" si="34"/>
        <v>0</v>
      </c>
      <c r="F248" s="153">
        <f t="shared" si="34"/>
        <v>0</v>
      </c>
      <c r="G248" s="153">
        <f t="shared" si="34"/>
        <v>0</v>
      </c>
      <c r="H248" s="153">
        <f t="shared" si="34"/>
        <v>0</v>
      </c>
      <c r="I248" s="153">
        <f t="shared" si="34"/>
        <v>0</v>
      </c>
      <c r="J248" s="153">
        <f t="shared" si="34"/>
        <v>0</v>
      </c>
      <c r="K248" s="153">
        <f t="shared" si="34"/>
        <v>0</v>
      </c>
      <c r="L248" s="153">
        <f t="shared" si="34"/>
        <v>0</v>
      </c>
      <c r="M248" s="153">
        <f t="shared" si="34"/>
        <v>0</v>
      </c>
      <c r="N248" s="153">
        <f t="shared" si="34"/>
        <v>0</v>
      </c>
      <c r="O248" s="153">
        <f t="shared" si="34"/>
        <v>0</v>
      </c>
      <c r="P248" s="153">
        <f t="shared" si="34"/>
        <v>0</v>
      </c>
      <c r="Q248" s="153">
        <f t="shared" si="34"/>
        <v>0</v>
      </c>
      <c r="R248" s="153">
        <f t="shared" si="34"/>
        <v>0</v>
      </c>
      <c r="S248" s="153">
        <f t="shared" si="34"/>
        <v>0</v>
      </c>
      <c r="T248" s="153">
        <f t="shared" si="34"/>
        <v>0</v>
      </c>
      <c r="U248" s="153">
        <f t="shared" si="34"/>
        <v>0</v>
      </c>
      <c r="V248" s="153">
        <f t="shared" si="34"/>
        <v>0</v>
      </c>
      <c r="W248" s="153">
        <f t="shared" si="34"/>
        <v>0</v>
      </c>
      <c r="X248" s="153">
        <f t="shared" si="34"/>
        <v>0</v>
      </c>
      <c r="Y248" s="153">
        <f t="shared" si="34"/>
        <v>0</v>
      </c>
      <c r="Z248" s="153">
        <f t="shared" si="34"/>
        <v>0</v>
      </c>
      <c r="AA248" s="153">
        <f t="shared" si="34"/>
        <v>0</v>
      </c>
      <c r="AB248" s="153">
        <f t="shared" si="34"/>
        <v>0</v>
      </c>
      <c r="AC248" s="153">
        <f t="shared" si="34"/>
        <v>0</v>
      </c>
      <c r="AD248" s="153">
        <f t="shared" si="34"/>
        <v>0</v>
      </c>
      <c r="AE248" s="153">
        <f t="shared" si="34"/>
        <v>0</v>
      </c>
      <c r="AF248" s="153">
        <f t="shared" si="34"/>
        <v>0</v>
      </c>
      <c r="AG248" s="154">
        <f t="shared" si="34"/>
        <v>0</v>
      </c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</row>
    <row r="249" spans="1:75" ht="15.75" thickBo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 s="95"/>
      <c r="S249" s="95"/>
      <c r="T249" s="95"/>
      <c r="U249" s="95"/>
      <c r="V249" s="95"/>
      <c r="W249" s="95"/>
      <c r="X249" s="95"/>
      <c r="Y249" s="95"/>
      <c r="Z249" s="95"/>
      <c r="AA249" s="95"/>
      <c r="AB249" s="95"/>
      <c r="AC249" s="95"/>
      <c r="AD249" s="95"/>
      <c r="AE249" s="95"/>
      <c r="AF249" s="95"/>
      <c r="AG249" s="95"/>
    </row>
    <row r="250" spans="1:75" x14ac:dyDescent="0.25">
      <c r="A250" s="333" t="s">
        <v>70</v>
      </c>
      <c r="B250" s="334"/>
      <c r="C250" s="343" t="s">
        <v>15</v>
      </c>
      <c r="D250" s="344"/>
      <c r="E250" s="344"/>
      <c r="F250" s="344"/>
      <c r="G250" s="344"/>
      <c r="H250" s="344"/>
      <c r="I250" s="345"/>
      <c r="J250" s="343" t="s">
        <v>37</v>
      </c>
      <c r="K250" s="344"/>
      <c r="L250" s="344"/>
      <c r="M250" s="344"/>
      <c r="N250" s="344"/>
      <c r="O250" s="344"/>
      <c r="P250" s="345"/>
      <c r="Q250"/>
      <c r="R250" s="343" t="s">
        <v>80</v>
      </c>
      <c r="S250" s="344"/>
      <c r="T250" s="344"/>
      <c r="U250" s="344"/>
      <c r="V250" s="344"/>
      <c r="W250" s="344"/>
      <c r="X250" s="345"/>
      <c r="Z250" s="343" t="s">
        <v>81</v>
      </c>
      <c r="AA250" s="344"/>
      <c r="AB250" s="344"/>
      <c r="AC250" s="344"/>
      <c r="AD250" s="344"/>
      <c r="AE250" s="344"/>
      <c r="AF250" s="345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</row>
    <row r="251" spans="1:75" ht="15.75" thickBot="1" x14ac:dyDescent="0.3">
      <c r="A251" s="335"/>
      <c r="B251" s="336"/>
      <c r="C251" s="37" t="s">
        <v>0</v>
      </c>
      <c r="D251" s="38" t="s">
        <v>1</v>
      </c>
      <c r="E251" s="38" t="s">
        <v>2</v>
      </c>
      <c r="F251" s="38" t="s">
        <v>3</v>
      </c>
      <c r="G251" s="38" t="s">
        <v>4</v>
      </c>
      <c r="H251" s="38" t="s">
        <v>5</v>
      </c>
      <c r="I251" s="39" t="s">
        <v>6</v>
      </c>
      <c r="J251" s="47" t="s">
        <v>0</v>
      </c>
      <c r="K251" s="48" t="s">
        <v>1</v>
      </c>
      <c r="L251" s="48" t="s">
        <v>2</v>
      </c>
      <c r="M251" s="48" t="s">
        <v>3</v>
      </c>
      <c r="N251" s="48" t="s">
        <v>4</v>
      </c>
      <c r="O251" s="48" t="s">
        <v>5</v>
      </c>
      <c r="P251" s="49" t="s">
        <v>6</v>
      </c>
      <c r="Q251"/>
      <c r="R251" s="47" t="s">
        <v>0</v>
      </c>
      <c r="S251" s="48" t="s">
        <v>1</v>
      </c>
      <c r="T251" s="48" t="s">
        <v>2</v>
      </c>
      <c r="U251" s="48" t="s">
        <v>3</v>
      </c>
      <c r="V251" s="48" t="s">
        <v>4</v>
      </c>
      <c r="W251" s="48" t="s">
        <v>5</v>
      </c>
      <c r="X251" s="49" t="s">
        <v>6</v>
      </c>
      <c r="Z251" s="47" t="s">
        <v>0</v>
      </c>
      <c r="AA251" s="48" t="s">
        <v>1</v>
      </c>
      <c r="AB251" s="48" t="s">
        <v>2</v>
      </c>
      <c r="AC251" s="48" t="s">
        <v>3</v>
      </c>
      <c r="AD251" s="48" t="s">
        <v>4</v>
      </c>
      <c r="AE251" s="48" t="s">
        <v>5</v>
      </c>
      <c r="AF251" s="49" t="s">
        <v>6</v>
      </c>
    </row>
    <row r="252" spans="1:75" x14ac:dyDescent="0.25">
      <c r="A252" s="108">
        <v>0</v>
      </c>
      <c r="B252" s="109">
        <v>2.0833333333333332E-2</v>
      </c>
      <c r="C252" s="110" t="e">
        <f>AVERAGEIF($C$2:$AG$2,C$251,$C201:$AG201)</f>
        <v>#DIV/0!</v>
      </c>
      <c r="D252" s="111" t="e">
        <f t="shared" ref="D252:I252" si="35">AVERAGEIF($C$2:$AG$2,D$251,$C201:$AG201)</f>
        <v>#DIV/0!</v>
      </c>
      <c r="E252" s="111" t="e">
        <f t="shared" si="35"/>
        <v>#DIV/0!</v>
      </c>
      <c r="F252" s="111" t="e">
        <f t="shared" si="35"/>
        <v>#DIV/0!</v>
      </c>
      <c r="G252" s="111" t="e">
        <f t="shared" si="35"/>
        <v>#DIV/0!</v>
      </c>
      <c r="H252" s="111" t="e">
        <f t="shared" si="35"/>
        <v>#DIV/0!</v>
      </c>
      <c r="I252" s="112" t="e">
        <f t="shared" si="35"/>
        <v>#DIV/0!</v>
      </c>
      <c r="J252" s="110" t="e">
        <f>IF(SUM(--(FREQUENCY((C$252:C$299&gt;C252)*C$252:C$299,C$252:C$299)&gt;0))&gt;2,C252,"")</f>
        <v>#DIV/0!</v>
      </c>
      <c r="K252" s="111" t="e">
        <f t="shared" ref="K252:P267" si="36">IF(SUM(--(FREQUENCY((D$252:D$299&gt;D252)*D$252:D$299,D$252:D$299)&gt;0))&gt;2,D252,"")</f>
        <v>#DIV/0!</v>
      </c>
      <c r="L252" s="111" t="e">
        <f t="shared" si="36"/>
        <v>#DIV/0!</v>
      </c>
      <c r="M252" s="111" t="e">
        <f t="shared" si="36"/>
        <v>#DIV/0!</v>
      </c>
      <c r="N252" s="111" t="e">
        <f>IF(SUM(--(FREQUENCY((G$252:G$299&gt;G252)*G$252:G$299,G$252:G$299)&gt;0))&gt;2,G252,"")</f>
        <v>#DIV/0!</v>
      </c>
      <c r="O252" s="111" t="e">
        <f t="shared" si="36"/>
        <v>#DIV/0!</v>
      </c>
      <c r="P252" s="112" t="e">
        <f t="shared" si="36"/>
        <v>#DIV/0!</v>
      </c>
      <c r="Q252"/>
      <c r="R252" s="110">
        <f>SUM('Распределение по графикам'!C4:AR4)</f>
        <v>0</v>
      </c>
      <c r="S252" s="111">
        <f>SUM('Распределение по графикам'!C55:AR55)</f>
        <v>0</v>
      </c>
      <c r="T252" s="111">
        <f>SUM('Распределение по графикам'!C106:AR106)</f>
        <v>0</v>
      </c>
      <c r="U252" s="111">
        <f>SUM('Распределение по графикам'!C157:AR157)</f>
        <v>0</v>
      </c>
      <c r="V252" s="111">
        <f>SUM('Распределение по графикам'!C208:AR208)</f>
        <v>0</v>
      </c>
      <c r="W252" s="111">
        <f>SUM('Распределение по графикам'!C259:AR259)</f>
        <v>0</v>
      </c>
      <c r="X252" s="112">
        <f>SUM('Распределение по графикам'!C310:AR310)</f>
        <v>0</v>
      </c>
      <c r="Z252" s="110" t="str">
        <f>IFERROR(ROUND(R252-J252,0),"")</f>
        <v/>
      </c>
      <c r="AA252" s="111" t="str">
        <f t="shared" ref="AA252:AF267" si="37">IFERROR(ROUND(S252-K252,0),"")</f>
        <v/>
      </c>
      <c r="AB252" s="111" t="str">
        <f t="shared" si="37"/>
        <v/>
      </c>
      <c r="AC252" s="111" t="str">
        <f t="shared" si="37"/>
        <v/>
      </c>
      <c r="AD252" s="111" t="str">
        <f t="shared" si="37"/>
        <v/>
      </c>
      <c r="AE252" s="111" t="str">
        <f t="shared" si="37"/>
        <v/>
      </c>
      <c r="AF252" s="112" t="str">
        <f t="shared" si="37"/>
        <v/>
      </c>
    </row>
    <row r="253" spans="1:75" x14ac:dyDescent="0.25">
      <c r="A253" s="102">
        <v>2.0833333333333332E-2</v>
      </c>
      <c r="B253" s="29">
        <v>4.1666666666666664E-2</v>
      </c>
      <c r="C253" s="96" t="e">
        <f t="shared" ref="C253:I253" si="38">AVERAGEIF($C$2:$AG$2,C$251,$C202:$AG202)</f>
        <v>#DIV/0!</v>
      </c>
      <c r="D253" s="97" t="e">
        <f t="shared" si="38"/>
        <v>#DIV/0!</v>
      </c>
      <c r="E253" s="97" t="e">
        <f t="shared" si="38"/>
        <v>#DIV/0!</v>
      </c>
      <c r="F253" s="97" t="e">
        <f t="shared" si="38"/>
        <v>#DIV/0!</v>
      </c>
      <c r="G253" s="97" t="e">
        <f t="shared" si="38"/>
        <v>#DIV/0!</v>
      </c>
      <c r="H253" s="97" t="e">
        <f t="shared" si="38"/>
        <v>#DIV/0!</v>
      </c>
      <c r="I253" s="98" t="e">
        <f t="shared" si="38"/>
        <v>#DIV/0!</v>
      </c>
      <c r="J253" s="96" t="e">
        <f t="shared" ref="J253:P299" si="39">IF(SUM(--(FREQUENCY((C$252:C$299&gt;C253)*C$252:C$299,C$252:C$299)&gt;0))&gt;2,C253,"")</f>
        <v>#DIV/0!</v>
      </c>
      <c r="K253" s="97" t="e">
        <f t="shared" si="36"/>
        <v>#DIV/0!</v>
      </c>
      <c r="L253" s="97" t="e">
        <f t="shared" si="36"/>
        <v>#DIV/0!</v>
      </c>
      <c r="M253" s="97" t="e">
        <f t="shared" si="36"/>
        <v>#DIV/0!</v>
      </c>
      <c r="N253" s="97" t="e">
        <f t="shared" si="36"/>
        <v>#DIV/0!</v>
      </c>
      <c r="O253" s="97" t="e">
        <f t="shared" si="36"/>
        <v>#DIV/0!</v>
      </c>
      <c r="P253" s="98" t="e">
        <f t="shared" si="36"/>
        <v>#DIV/0!</v>
      </c>
      <c r="Q253"/>
      <c r="R253" s="96">
        <f>SUM('Распределение по графикам'!C5:AR5)</f>
        <v>0</v>
      </c>
      <c r="S253" s="97">
        <f>SUM('Распределение по графикам'!C56:AR56)</f>
        <v>0</v>
      </c>
      <c r="T253" s="97">
        <f>SUM('Распределение по графикам'!C107:AR107)</f>
        <v>0</v>
      </c>
      <c r="U253" s="97">
        <f>SUM('Распределение по графикам'!C158:AR158)</f>
        <v>0</v>
      </c>
      <c r="V253" s="97">
        <f>SUM('Распределение по графикам'!C209:AR209)</f>
        <v>0</v>
      </c>
      <c r="W253" s="97">
        <f>SUM('Распределение по графикам'!C260:AR260)</f>
        <v>0</v>
      </c>
      <c r="X253" s="98">
        <f>SUM('Распределение по графикам'!C311:AR311)</f>
        <v>0</v>
      </c>
      <c r="Z253" s="96" t="str">
        <f t="shared" ref="Z253:AF299" si="40">IFERROR(ROUND(R253-J253,0),"")</f>
        <v/>
      </c>
      <c r="AA253" s="97" t="str">
        <f t="shared" si="37"/>
        <v/>
      </c>
      <c r="AB253" s="97" t="str">
        <f t="shared" si="37"/>
        <v/>
      </c>
      <c r="AC253" s="97" t="str">
        <f t="shared" si="37"/>
        <v/>
      </c>
      <c r="AD253" s="97" t="str">
        <f t="shared" si="37"/>
        <v/>
      </c>
      <c r="AE253" s="97" t="str">
        <f t="shared" si="37"/>
        <v/>
      </c>
      <c r="AF253" s="98" t="str">
        <f t="shared" si="37"/>
        <v/>
      </c>
    </row>
    <row r="254" spans="1:75" x14ac:dyDescent="0.25">
      <c r="A254" s="102">
        <v>4.1666666666666664E-2</v>
      </c>
      <c r="B254" s="29">
        <v>6.25E-2</v>
      </c>
      <c r="C254" s="96" t="e">
        <f t="shared" ref="C254:I254" si="41">AVERAGEIF($C$2:$AG$2,C$251,$C203:$AG203)</f>
        <v>#DIV/0!</v>
      </c>
      <c r="D254" s="97" t="e">
        <f t="shared" si="41"/>
        <v>#DIV/0!</v>
      </c>
      <c r="E254" s="97" t="e">
        <f t="shared" si="41"/>
        <v>#DIV/0!</v>
      </c>
      <c r="F254" s="97" t="e">
        <f t="shared" si="41"/>
        <v>#DIV/0!</v>
      </c>
      <c r="G254" s="97" t="e">
        <f t="shared" si="41"/>
        <v>#DIV/0!</v>
      </c>
      <c r="H254" s="97" t="e">
        <f t="shared" si="41"/>
        <v>#DIV/0!</v>
      </c>
      <c r="I254" s="98" t="e">
        <f t="shared" si="41"/>
        <v>#DIV/0!</v>
      </c>
      <c r="J254" s="96" t="e">
        <f t="shared" si="39"/>
        <v>#DIV/0!</v>
      </c>
      <c r="K254" s="97" t="e">
        <f t="shared" si="36"/>
        <v>#DIV/0!</v>
      </c>
      <c r="L254" s="97" t="e">
        <f t="shared" si="36"/>
        <v>#DIV/0!</v>
      </c>
      <c r="M254" s="97" t="e">
        <f t="shared" si="36"/>
        <v>#DIV/0!</v>
      </c>
      <c r="N254" s="97" t="e">
        <f t="shared" si="36"/>
        <v>#DIV/0!</v>
      </c>
      <c r="O254" s="97" t="e">
        <f t="shared" si="36"/>
        <v>#DIV/0!</v>
      </c>
      <c r="P254" s="98" t="e">
        <f t="shared" si="36"/>
        <v>#DIV/0!</v>
      </c>
      <c r="Q254"/>
      <c r="R254" s="96">
        <f>SUM('Распределение по графикам'!C6:AR6)</f>
        <v>0</v>
      </c>
      <c r="S254" s="97">
        <f>SUM('Распределение по графикам'!C57:AR57)</f>
        <v>0</v>
      </c>
      <c r="T254" s="97">
        <f>SUM('Распределение по графикам'!C108:AR108)</f>
        <v>0</v>
      </c>
      <c r="U254" s="97">
        <f>SUM('Распределение по графикам'!C159:AR159)</f>
        <v>0</v>
      </c>
      <c r="V254" s="97">
        <f>SUM('Распределение по графикам'!C210:AR210)</f>
        <v>0</v>
      </c>
      <c r="W254" s="97">
        <f>SUM('Распределение по графикам'!C261:AR261)</f>
        <v>0</v>
      </c>
      <c r="X254" s="98">
        <f>SUM('Распределение по графикам'!C312:AR312)</f>
        <v>0</v>
      </c>
      <c r="Z254" s="96" t="str">
        <f t="shared" si="40"/>
        <v/>
      </c>
      <c r="AA254" s="97" t="str">
        <f t="shared" si="37"/>
        <v/>
      </c>
      <c r="AB254" s="97" t="str">
        <f t="shared" si="37"/>
        <v/>
      </c>
      <c r="AC254" s="97" t="str">
        <f t="shared" si="37"/>
        <v/>
      </c>
      <c r="AD254" s="97" t="str">
        <f t="shared" si="37"/>
        <v/>
      </c>
      <c r="AE254" s="97" t="str">
        <f t="shared" si="37"/>
        <v/>
      </c>
      <c r="AF254" s="98" t="str">
        <f t="shared" si="37"/>
        <v/>
      </c>
    </row>
    <row r="255" spans="1:75" x14ac:dyDescent="0.25">
      <c r="A255" s="102">
        <v>6.25E-2</v>
      </c>
      <c r="B255" s="29">
        <v>8.3333333333333329E-2</v>
      </c>
      <c r="C255" s="96" t="e">
        <f t="shared" ref="C255:I255" si="42">AVERAGEIF($C$2:$AG$2,C$251,$C204:$AG204)</f>
        <v>#DIV/0!</v>
      </c>
      <c r="D255" s="97" t="e">
        <f t="shared" si="42"/>
        <v>#DIV/0!</v>
      </c>
      <c r="E255" s="97" t="e">
        <f t="shared" si="42"/>
        <v>#DIV/0!</v>
      </c>
      <c r="F255" s="97" t="e">
        <f t="shared" si="42"/>
        <v>#DIV/0!</v>
      </c>
      <c r="G255" s="97" t="e">
        <f t="shared" si="42"/>
        <v>#DIV/0!</v>
      </c>
      <c r="H255" s="97" t="e">
        <f t="shared" si="42"/>
        <v>#DIV/0!</v>
      </c>
      <c r="I255" s="98" t="e">
        <f t="shared" si="42"/>
        <v>#DIV/0!</v>
      </c>
      <c r="J255" s="96" t="e">
        <f t="shared" si="39"/>
        <v>#DIV/0!</v>
      </c>
      <c r="K255" s="97" t="e">
        <f t="shared" si="36"/>
        <v>#DIV/0!</v>
      </c>
      <c r="L255" s="97" t="e">
        <f t="shared" si="36"/>
        <v>#DIV/0!</v>
      </c>
      <c r="M255" s="97" t="e">
        <f t="shared" si="36"/>
        <v>#DIV/0!</v>
      </c>
      <c r="N255" s="97" t="e">
        <f t="shared" si="36"/>
        <v>#DIV/0!</v>
      </c>
      <c r="O255" s="97" t="e">
        <f t="shared" si="36"/>
        <v>#DIV/0!</v>
      </c>
      <c r="P255" s="98" t="e">
        <f t="shared" si="36"/>
        <v>#DIV/0!</v>
      </c>
      <c r="Q255"/>
      <c r="R255" s="96">
        <f>SUM('Распределение по графикам'!C7:AR7)</f>
        <v>0</v>
      </c>
      <c r="S255" s="97">
        <f>SUM('Распределение по графикам'!C58:AR58)</f>
        <v>0</v>
      </c>
      <c r="T255" s="97">
        <f>SUM('Распределение по графикам'!C109:AR109)</f>
        <v>0</v>
      </c>
      <c r="U255" s="97">
        <f>SUM('Распределение по графикам'!C160:AR160)</f>
        <v>0</v>
      </c>
      <c r="V255" s="97">
        <f>SUM('Распределение по графикам'!C211:AR211)</f>
        <v>0</v>
      </c>
      <c r="W255" s="97">
        <f>SUM('Распределение по графикам'!C262:AR262)</f>
        <v>0</v>
      </c>
      <c r="X255" s="98">
        <f>SUM('Распределение по графикам'!C313:AR313)</f>
        <v>0</v>
      </c>
      <c r="Z255" s="96" t="str">
        <f t="shared" si="40"/>
        <v/>
      </c>
      <c r="AA255" s="97" t="str">
        <f t="shared" si="37"/>
        <v/>
      </c>
      <c r="AB255" s="97" t="str">
        <f t="shared" si="37"/>
        <v/>
      </c>
      <c r="AC255" s="97" t="str">
        <f t="shared" si="37"/>
        <v/>
      </c>
      <c r="AD255" s="97" t="str">
        <f t="shared" si="37"/>
        <v/>
      </c>
      <c r="AE255" s="97" t="str">
        <f t="shared" si="37"/>
        <v/>
      </c>
      <c r="AF255" s="98" t="str">
        <f t="shared" si="37"/>
        <v/>
      </c>
    </row>
    <row r="256" spans="1:75" x14ac:dyDescent="0.25">
      <c r="A256" s="102">
        <v>8.3333333333333329E-2</v>
      </c>
      <c r="B256" s="29">
        <v>0.10416666666666667</v>
      </c>
      <c r="C256" s="96" t="e">
        <f t="shared" ref="C256:I256" si="43">AVERAGEIF($C$2:$AG$2,C$251,$C205:$AG205)</f>
        <v>#DIV/0!</v>
      </c>
      <c r="D256" s="97" t="e">
        <f t="shared" si="43"/>
        <v>#DIV/0!</v>
      </c>
      <c r="E256" s="97" t="e">
        <f t="shared" si="43"/>
        <v>#DIV/0!</v>
      </c>
      <c r="F256" s="97" t="e">
        <f t="shared" si="43"/>
        <v>#DIV/0!</v>
      </c>
      <c r="G256" s="97" t="e">
        <f t="shared" si="43"/>
        <v>#DIV/0!</v>
      </c>
      <c r="H256" s="97" t="e">
        <f t="shared" si="43"/>
        <v>#DIV/0!</v>
      </c>
      <c r="I256" s="98" t="e">
        <f t="shared" si="43"/>
        <v>#DIV/0!</v>
      </c>
      <c r="J256" s="96" t="e">
        <f t="shared" si="39"/>
        <v>#DIV/0!</v>
      </c>
      <c r="K256" s="97" t="e">
        <f t="shared" si="36"/>
        <v>#DIV/0!</v>
      </c>
      <c r="L256" s="97" t="e">
        <f t="shared" si="36"/>
        <v>#DIV/0!</v>
      </c>
      <c r="M256" s="97" t="e">
        <f t="shared" si="36"/>
        <v>#DIV/0!</v>
      </c>
      <c r="N256" s="97" t="e">
        <f t="shared" si="36"/>
        <v>#DIV/0!</v>
      </c>
      <c r="O256" s="97" t="e">
        <f t="shared" si="36"/>
        <v>#DIV/0!</v>
      </c>
      <c r="P256" s="98" t="e">
        <f t="shared" si="36"/>
        <v>#DIV/0!</v>
      </c>
      <c r="Q256"/>
      <c r="R256" s="96">
        <f>SUM('Распределение по графикам'!C8:AR8)</f>
        <v>0</v>
      </c>
      <c r="S256" s="97">
        <f>SUM('Распределение по графикам'!C59:AR59)</f>
        <v>0</v>
      </c>
      <c r="T256" s="97">
        <f>SUM('Распределение по графикам'!C110:AR110)</f>
        <v>0</v>
      </c>
      <c r="U256" s="97">
        <f>SUM('Распределение по графикам'!C161:AR161)</f>
        <v>0</v>
      </c>
      <c r="V256" s="97">
        <f>SUM('Распределение по графикам'!C212:AR212)</f>
        <v>0</v>
      </c>
      <c r="W256" s="97">
        <f>SUM('Распределение по графикам'!C263:AR263)</f>
        <v>0</v>
      </c>
      <c r="X256" s="98">
        <f>SUM('Распределение по графикам'!C314:AR314)</f>
        <v>0</v>
      </c>
      <c r="Z256" s="96" t="str">
        <f t="shared" si="40"/>
        <v/>
      </c>
      <c r="AA256" s="97" t="str">
        <f t="shared" si="37"/>
        <v/>
      </c>
      <c r="AB256" s="97" t="str">
        <f t="shared" si="37"/>
        <v/>
      </c>
      <c r="AC256" s="97" t="str">
        <f t="shared" si="37"/>
        <v/>
      </c>
      <c r="AD256" s="97" t="str">
        <f t="shared" si="37"/>
        <v/>
      </c>
      <c r="AE256" s="97" t="str">
        <f t="shared" si="37"/>
        <v/>
      </c>
      <c r="AF256" s="98" t="str">
        <f t="shared" si="37"/>
        <v/>
      </c>
    </row>
    <row r="257" spans="1:32" x14ac:dyDescent="0.25">
      <c r="A257" s="102">
        <v>0.10416666666666667</v>
      </c>
      <c r="B257" s="29">
        <v>0.125</v>
      </c>
      <c r="C257" s="96" t="e">
        <f t="shared" ref="C257:I257" si="44">AVERAGEIF($C$2:$AG$2,C$251,$C206:$AG206)</f>
        <v>#DIV/0!</v>
      </c>
      <c r="D257" s="97" t="e">
        <f t="shared" si="44"/>
        <v>#DIV/0!</v>
      </c>
      <c r="E257" s="97" t="e">
        <f t="shared" si="44"/>
        <v>#DIV/0!</v>
      </c>
      <c r="F257" s="97" t="e">
        <f t="shared" si="44"/>
        <v>#DIV/0!</v>
      </c>
      <c r="G257" s="97" t="e">
        <f t="shared" si="44"/>
        <v>#DIV/0!</v>
      </c>
      <c r="H257" s="97" t="e">
        <f t="shared" si="44"/>
        <v>#DIV/0!</v>
      </c>
      <c r="I257" s="98" t="e">
        <f t="shared" si="44"/>
        <v>#DIV/0!</v>
      </c>
      <c r="J257" s="96" t="e">
        <f t="shared" si="39"/>
        <v>#DIV/0!</v>
      </c>
      <c r="K257" s="97" t="e">
        <f t="shared" si="36"/>
        <v>#DIV/0!</v>
      </c>
      <c r="L257" s="97" t="e">
        <f t="shared" si="36"/>
        <v>#DIV/0!</v>
      </c>
      <c r="M257" s="97" t="e">
        <f t="shared" si="36"/>
        <v>#DIV/0!</v>
      </c>
      <c r="N257" s="97" t="e">
        <f t="shared" si="36"/>
        <v>#DIV/0!</v>
      </c>
      <c r="O257" s="97" t="e">
        <f t="shared" si="36"/>
        <v>#DIV/0!</v>
      </c>
      <c r="P257" s="98" t="e">
        <f t="shared" si="36"/>
        <v>#DIV/0!</v>
      </c>
      <c r="Q257"/>
      <c r="R257" s="96">
        <f>SUM('Распределение по графикам'!C9:AR9)</f>
        <v>0</v>
      </c>
      <c r="S257" s="97">
        <f>SUM('Распределение по графикам'!C60:AR60)</f>
        <v>0</v>
      </c>
      <c r="T257" s="97">
        <f>SUM('Распределение по графикам'!C111:AR111)</f>
        <v>0</v>
      </c>
      <c r="U257" s="97">
        <f>SUM('Распределение по графикам'!C162:AR162)</f>
        <v>0</v>
      </c>
      <c r="V257" s="97">
        <f>SUM('Распределение по графикам'!C213:AR213)</f>
        <v>0</v>
      </c>
      <c r="W257" s="97">
        <f>SUM('Распределение по графикам'!C264:AR264)</f>
        <v>0</v>
      </c>
      <c r="X257" s="98">
        <f>SUM('Распределение по графикам'!C315:AR315)</f>
        <v>0</v>
      </c>
      <c r="Z257" s="96" t="str">
        <f t="shared" si="40"/>
        <v/>
      </c>
      <c r="AA257" s="97" t="str">
        <f t="shared" si="37"/>
        <v/>
      </c>
      <c r="AB257" s="97" t="str">
        <f t="shared" si="37"/>
        <v/>
      </c>
      <c r="AC257" s="97" t="str">
        <f t="shared" si="37"/>
        <v/>
      </c>
      <c r="AD257" s="97" t="str">
        <f t="shared" si="37"/>
        <v/>
      </c>
      <c r="AE257" s="97" t="str">
        <f t="shared" si="37"/>
        <v/>
      </c>
      <c r="AF257" s="98" t="str">
        <f t="shared" si="37"/>
        <v/>
      </c>
    </row>
    <row r="258" spans="1:32" x14ac:dyDescent="0.25">
      <c r="A258" s="102">
        <v>0.125</v>
      </c>
      <c r="B258" s="29">
        <v>0.14583333333333334</v>
      </c>
      <c r="C258" s="96" t="e">
        <f t="shared" ref="C258:I258" si="45">AVERAGEIF($C$2:$AG$2,C$251,$C207:$AG207)</f>
        <v>#DIV/0!</v>
      </c>
      <c r="D258" s="97" t="e">
        <f t="shared" si="45"/>
        <v>#DIV/0!</v>
      </c>
      <c r="E258" s="97" t="e">
        <f t="shared" si="45"/>
        <v>#DIV/0!</v>
      </c>
      <c r="F258" s="97" t="e">
        <f t="shared" si="45"/>
        <v>#DIV/0!</v>
      </c>
      <c r="G258" s="97" t="e">
        <f t="shared" si="45"/>
        <v>#DIV/0!</v>
      </c>
      <c r="H258" s="97" t="e">
        <f t="shared" si="45"/>
        <v>#DIV/0!</v>
      </c>
      <c r="I258" s="98" t="e">
        <f t="shared" si="45"/>
        <v>#DIV/0!</v>
      </c>
      <c r="J258" s="96" t="e">
        <f t="shared" si="39"/>
        <v>#DIV/0!</v>
      </c>
      <c r="K258" s="97" t="e">
        <f t="shared" si="36"/>
        <v>#DIV/0!</v>
      </c>
      <c r="L258" s="97" t="e">
        <f t="shared" si="36"/>
        <v>#DIV/0!</v>
      </c>
      <c r="M258" s="97" t="e">
        <f t="shared" si="36"/>
        <v>#DIV/0!</v>
      </c>
      <c r="N258" s="97" t="e">
        <f t="shared" si="36"/>
        <v>#DIV/0!</v>
      </c>
      <c r="O258" s="97" t="e">
        <f t="shared" si="36"/>
        <v>#DIV/0!</v>
      </c>
      <c r="P258" s="98" t="e">
        <f t="shared" si="36"/>
        <v>#DIV/0!</v>
      </c>
      <c r="Q258"/>
      <c r="R258" s="96">
        <f>SUM('Распределение по графикам'!C10:AR10)</f>
        <v>0</v>
      </c>
      <c r="S258" s="97">
        <f>SUM('Распределение по графикам'!C61:AR61)</f>
        <v>0</v>
      </c>
      <c r="T258" s="97">
        <f>SUM('Распределение по графикам'!C112:AR112)</f>
        <v>0</v>
      </c>
      <c r="U258" s="97">
        <f>SUM('Распределение по графикам'!C163:AR163)</f>
        <v>0</v>
      </c>
      <c r="V258" s="97">
        <f>SUM('Распределение по графикам'!C214:AR214)</f>
        <v>0</v>
      </c>
      <c r="W258" s="97">
        <f>SUM('Распределение по графикам'!C265:AR265)</f>
        <v>0</v>
      </c>
      <c r="X258" s="98">
        <f>SUM('Распределение по графикам'!C316:AR316)</f>
        <v>0</v>
      </c>
      <c r="Z258" s="96" t="str">
        <f t="shared" si="40"/>
        <v/>
      </c>
      <c r="AA258" s="97" t="str">
        <f t="shared" si="37"/>
        <v/>
      </c>
      <c r="AB258" s="97" t="str">
        <f t="shared" si="37"/>
        <v/>
      </c>
      <c r="AC258" s="97" t="str">
        <f t="shared" si="37"/>
        <v/>
      </c>
      <c r="AD258" s="97" t="str">
        <f t="shared" si="37"/>
        <v/>
      </c>
      <c r="AE258" s="97" t="str">
        <f t="shared" si="37"/>
        <v/>
      </c>
      <c r="AF258" s="98" t="str">
        <f t="shared" si="37"/>
        <v/>
      </c>
    </row>
    <row r="259" spans="1:32" x14ac:dyDescent="0.25">
      <c r="A259" s="102">
        <v>0.14583333333333334</v>
      </c>
      <c r="B259" s="29">
        <v>0.16666666666666666</v>
      </c>
      <c r="C259" s="96" t="e">
        <f t="shared" ref="C259:I259" si="46">AVERAGEIF($C$2:$AG$2,C$251,$C208:$AG208)</f>
        <v>#DIV/0!</v>
      </c>
      <c r="D259" s="97" t="e">
        <f t="shared" si="46"/>
        <v>#DIV/0!</v>
      </c>
      <c r="E259" s="97" t="e">
        <f t="shared" si="46"/>
        <v>#DIV/0!</v>
      </c>
      <c r="F259" s="97" t="e">
        <f t="shared" si="46"/>
        <v>#DIV/0!</v>
      </c>
      <c r="G259" s="97" t="e">
        <f t="shared" si="46"/>
        <v>#DIV/0!</v>
      </c>
      <c r="H259" s="97" t="e">
        <f t="shared" si="46"/>
        <v>#DIV/0!</v>
      </c>
      <c r="I259" s="98" t="e">
        <f t="shared" si="46"/>
        <v>#DIV/0!</v>
      </c>
      <c r="J259" s="96" t="e">
        <f t="shared" si="39"/>
        <v>#DIV/0!</v>
      </c>
      <c r="K259" s="97" t="e">
        <f t="shared" si="36"/>
        <v>#DIV/0!</v>
      </c>
      <c r="L259" s="97" t="e">
        <f t="shared" si="36"/>
        <v>#DIV/0!</v>
      </c>
      <c r="M259" s="97" t="e">
        <f t="shared" si="36"/>
        <v>#DIV/0!</v>
      </c>
      <c r="N259" s="97" t="e">
        <f t="shared" si="36"/>
        <v>#DIV/0!</v>
      </c>
      <c r="O259" s="97" t="e">
        <f t="shared" si="36"/>
        <v>#DIV/0!</v>
      </c>
      <c r="P259" s="98" t="e">
        <f t="shared" si="36"/>
        <v>#DIV/0!</v>
      </c>
      <c r="Q259"/>
      <c r="R259" s="96">
        <f>SUM('Распределение по графикам'!C11:AR11)</f>
        <v>0</v>
      </c>
      <c r="S259" s="97">
        <f>SUM('Распределение по графикам'!C62:AR62)</f>
        <v>0</v>
      </c>
      <c r="T259" s="97">
        <f>SUM('Распределение по графикам'!C113:AR113)</f>
        <v>0</v>
      </c>
      <c r="U259" s="97">
        <f>SUM('Распределение по графикам'!C164:AR164)</f>
        <v>0</v>
      </c>
      <c r="V259" s="97">
        <f>SUM('Распределение по графикам'!C215:AR215)</f>
        <v>0</v>
      </c>
      <c r="W259" s="97">
        <f>SUM('Распределение по графикам'!C266:AR266)</f>
        <v>0</v>
      </c>
      <c r="X259" s="98">
        <f>SUM('Распределение по графикам'!C317:AR317)</f>
        <v>0</v>
      </c>
      <c r="Z259" s="96" t="str">
        <f t="shared" si="40"/>
        <v/>
      </c>
      <c r="AA259" s="97" t="str">
        <f t="shared" si="37"/>
        <v/>
      </c>
      <c r="AB259" s="97" t="str">
        <f t="shared" si="37"/>
        <v/>
      </c>
      <c r="AC259" s="97" t="str">
        <f t="shared" si="37"/>
        <v/>
      </c>
      <c r="AD259" s="97" t="str">
        <f t="shared" si="37"/>
        <v/>
      </c>
      <c r="AE259" s="97" t="str">
        <f t="shared" si="37"/>
        <v/>
      </c>
      <c r="AF259" s="98" t="str">
        <f t="shared" si="37"/>
        <v/>
      </c>
    </row>
    <row r="260" spans="1:32" x14ac:dyDescent="0.25">
      <c r="A260" s="102">
        <v>0.16666666666666666</v>
      </c>
      <c r="B260" s="29">
        <v>0.1875</v>
      </c>
      <c r="C260" s="96" t="e">
        <f t="shared" ref="C260:I260" si="47">AVERAGEIF($C$2:$AG$2,C$251,$C209:$AG209)</f>
        <v>#DIV/0!</v>
      </c>
      <c r="D260" s="97" t="e">
        <f t="shared" si="47"/>
        <v>#DIV/0!</v>
      </c>
      <c r="E260" s="97" t="e">
        <f t="shared" si="47"/>
        <v>#DIV/0!</v>
      </c>
      <c r="F260" s="97" t="e">
        <f t="shared" si="47"/>
        <v>#DIV/0!</v>
      </c>
      <c r="G260" s="97" t="e">
        <f t="shared" si="47"/>
        <v>#DIV/0!</v>
      </c>
      <c r="H260" s="97" t="e">
        <f t="shared" si="47"/>
        <v>#DIV/0!</v>
      </c>
      <c r="I260" s="98" t="e">
        <f t="shared" si="47"/>
        <v>#DIV/0!</v>
      </c>
      <c r="J260" s="96" t="e">
        <f t="shared" si="39"/>
        <v>#DIV/0!</v>
      </c>
      <c r="K260" s="97" t="e">
        <f t="shared" si="36"/>
        <v>#DIV/0!</v>
      </c>
      <c r="L260" s="97" t="e">
        <f t="shared" si="36"/>
        <v>#DIV/0!</v>
      </c>
      <c r="M260" s="97" t="e">
        <f t="shared" si="36"/>
        <v>#DIV/0!</v>
      </c>
      <c r="N260" s="97" t="e">
        <f t="shared" si="36"/>
        <v>#DIV/0!</v>
      </c>
      <c r="O260" s="97" t="e">
        <f t="shared" si="36"/>
        <v>#DIV/0!</v>
      </c>
      <c r="P260" s="98" t="e">
        <f t="shared" si="36"/>
        <v>#DIV/0!</v>
      </c>
      <c r="Q260"/>
      <c r="R260" s="96">
        <f>SUM('Распределение по графикам'!C12:AR12)</f>
        <v>0</v>
      </c>
      <c r="S260" s="97">
        <f>SUM('Распределение по графикам'!C63:AR63)</f>
        <v>0</v>
      </c>
      <c r="T260" s="97">
        <f>SUM('Распределение по графикам'!C114:AR114)</f>
        <v>0</v>
      </c>
      <c r="U260" s="97">
        <f>SUM('Распределение по графикам'!C165:AR165)</f>
        <v>0</v>
      </c>
      <c r="V260" s="97">
        <f>SUM('Распределение по графикам'!C216:AR216)</f>
        <v>0</v>
      </c>
      <c r="W260" s="97">
        <f>SUM('Распределение по графикам'!C267:AR267)</f>
        <v>0</v>
      </c>
      <c r="X260" s="98">
        <f>SUM('Распределение по графикам'!C318:AR318)</f>
        <v>0</v>
      </c>
      <c r="Z260" s="96" t="str">
        <f t="shared" si="40"/>
        <v/>
      </c>
      <c r="AA260" s="97" t="str">
        <f t="shared" si="37"/>
        <v/>
      </c>
      <c r="AB260" s="97" t="str">
        <f t="shared" si="37"/>
        <v/>
      </c>
      <c r="AC260" s="97" t="str">
        <f t="shared" si="37"/>
        <v/>
      </c>
      <c r="AD260" s="97" t="str">
        <f t="shared" si="37"/>
        <v/>
      </c>
      <c r="AE260" s="97" t="str">
        <f t="shared" si="37"/>
        <v/>
      </c>
      <c r="AF260" s="98" t="str">
        <f t="shared" si="37"/>
        <v/>
      </c>
    </row>
    <row r="261" spans="1:32" x14ac:dyDescent="0.25">
      <c r="A261" s="102">
        <v>0.1875</v>
      </c>
      <c r="B261" s="29">
        <v>0.20833333333333334</v>
      </c>
      <c r="C261" s="96" t="e">
        <f t="shared" ref="C261:I261" si="48">AVERAGEIF($C$2:$AG$2,C$251,$C210:$AG210)</f>
        <v>#DIV/0!</v>
      </c>
      <c r="D261" s="97" t="e">
        <f t="shared" si="48"/>
        <v>#DIV/0!</v>
      </c>
      <c r="E261" s="97" t="e">
        <f t="shared" si="48"/>
        <v>#DIV/0!</v>
      </c>
      <c r="F261" s="97" t="e">
        <f t="shared" si="48"/>
        <v>#DIV/0!</v>
      </c>
      <c r="G261" s="97" t="e">
        <f t="shared" si="48"/>
        <v>#DIV/0!</v>
      </c>
      <c r="H261" s="97" t="e">
        <f t="shared" si="48"/>
        <v>#DIV/0!</v>
      </c>
      <c r="I261" s="98" t="e">
        <f t="shared" si="48"/>
        <v>#DIV/0!</v>
      </c>
      <c r="J261" s="96" t="e">
        <f t="shared" si="39"/>
        <v>#DIV/0!</v>
      </c>
      <c r="K261" s="97" t="e">
        <f t="shared" si="36"/>
        <v>#DIV/0!</v>
      </c>
      <c r="L261" s="97" t="e">
        <f t="shared" si="36"/>
        <v>#DIV/0!</v>
      </c>
      <c r="M261" s="97" t="e">
        <f t="shared" si="36"/>
        <v>#DIV/0!</v>
      </c>
      <c r="N261" s="97" t="e">
        <f t="shared" si="36"/>
        <v>#DIV/0!</v>
      </c>
      <c r="O261" s="97" t="e">
        <f t="shared" si="36"/>
        <v>#DIV/0!</v>
      </c>
      <c r="P261" s="98" t="e">
        <f t="shared" si="36"/>
        <v>#DIV/0!</v>
      </c>
      <c r="Q261"/>
      <c r="R261" s="96">
        <f>SUM('Распределение по графикам'!C13:AR13)</f>
        <v>0</v>
      </c>
      <c r="S261" s="97">
        <f>SUM('Распределение по графикам'!C64:AR64)</f>
        <v>0</v>
      </c>
      <c r="T261" s="97">
        <f>SUM('Распределение по графикам'!C115:AR115)</f>
        <v>0</v>
      </c>
      <c r="U261" s="97">
        <f>SUM('Распределение по графикам'!C166:AR166)</f>
        <v>0</v>
      </c>
      <c r="V261" s="97">
        <f>SUM('Распределение по графикам'!C217:AR217)</f>
        <v>0</v>
      </c>
      <c r="W261" s="97">
        <f>SUM('Распределение по графикам'!C268:AR268)</f>
        <v>0</v>
      </c>
      <c r="X261" s="98">
        <f>SUM('Распределение по графикам'!C319:AR319)</f>
        <v>0</v>
      </c>
      <c r="Z261" s="96" t="str">
        <f t="shared" si="40"/>
        <v/>
      </c>
      <c r="AA261" s="97" t="str">
        <f t="shared" si="37"/>
        <v/>
      </c>
      <c r="AB261" s="97" t="str">
        <f t="shared" si="37"/>
        <v/>
      </c>
      <c r="AC261" s="97" t="str">
        <f t="shared" si="37"/>
        <v/>
      </c>
      <c r="AD261" s="97" t="str">
        <f t="shared" si="37"/>
        <v/>
      </c>
      <c r="AE261" s="97" t="str">
        <f t="shared" si="37"/>
        <v/>
      </c>
      <c r="AF261" s="98" t="str">
        <f t="shared" si="37"/>
        <v/>
      </c>
    </row>
    <row r="262" spans="1:32" x14ac:dyDescent="0.25">
      <c r="A262" s="102">
        <v>0.20833333333333334</v>
      </c>
      <c r="B262" s="29">
        <v>0.22916666666666666</v>
      </c>
      <c r="C262" s="96" t="e">
        <f t="shared" ref="C262:I262" si="49">AVERAGEIF($C$2:$AG$2,C$251,$C211:$AG211)</f>
        <v>#DIV/0!</v>
      </c>
      <c r="D262" s="97" t="e">
        <f t="shared" si="49"/>
        <v>#DIV/0!</v>
      </c>
      <c r="E262" s="97" t="e">
        <f t="shared" si="49"/>
        <v>#DIV/0!</v>
      </c>
      <c r="F262" s="97" t="e">
        <f t="shared" si="49"/>
        <v>#DIV/0!</v>
      </c>
      <c r="G262" s="97" t="e">
        <f t="shared" si="49"/>
        <v>#DIV/0!</v>
      </c>
      <c r="H262" s="97" t="e">
        <f t="shared" si="49"/>
        <v>#DIV/0!</v>
      </c>
      <c r="I262" s="98" t="e">
        <f t="shared" si="49"/>
        <v>#DIV/0!</v>
      </c>
      <c r="J262" s="96" t="e">
        <f t="shared" si="39"/>
        <v>#DIV/0!</v>
      </c>
      <c r="K262" s="97" t="e">
        <f t="shared" si="36"/>
        <v>#DIV/0!</v>
      </c>
      <c r="L262" s="97" t="e">
        <f t="shared" si="36"/>
        <v>#DIV/0!</v>
      </c>
      <c r="M262" s="97" t="e">
        <f t="shared" si="36"/>
        <v>#DIV/0!</v>
      </c>
      <c r="N262" s="97" t="e">
        <f t="shared" si="36"/>
        <v>#DIV/0!</v>
      </c>
      <c r="O262" s="97" t="e">
        <f t="shared" si="36"/>
        <v>#DIV/0!</v>
      </c>
      <c r="P262" s="98" t="e">
        <f t="shared" si="36"/>
        <v>#DIV/0!</v>
      </c>
      <c r="Q262"/>
      <c r="R262" s="96">
        <f>SUM('Распределение по графикам'!C14:AR14)</f>
        <v>0</v>
      </c>
      <c r="S262" s="97">
        <f>SUM('Распределение по графикам'!C65:AR65)</f>
        <v>0</v>
      </c>
      <c r="T262" s="97">
        <f>SUM('Распределение по графикам'!C116:AR116)</f>
        <v>0</v>
      </c>
      <c r="U262" s="97">
        <f>SUM('Распределение по графикам'!C167:AR167)</f>
        <v>0</v>
      </c>
      <c r="V262" s="97">
        <f>SUM('Распределение по графикам'!C218:AR218)</f>
        <v>0</v>
      </c>
      <c r="W262" s="97">
        <f>SUM('Распределение по графикам'!C269:AR269)</f>
        <v>0</v>
      </c>
      <c r="X262" s="98">
        <f>SUM('Распределение по графикам'!C320:AR320)</f>
        <v>0</v>
      </c>
      <c r="Z262" s="96" t="str">
        <f t="shared" si="40"/>
        <v/>
      </c>
      <c r="AA262" s="97" t="str">
        <f t="shared" si="37"/>
        <v/>
      </c>
      <c r="AB262" s="97" t="str">
        <f t="shared" si="37"/>
        <v/>
      </c>
      <c r="AC262" s="97" t="str">
        <f t="shared" si="37"/>
        <v/>
      </c>
      <c r="AD262" s="97" t="str">
        <f t="shared" si="37"/>
        <v/>
      </c>
      <c r="AE262" s="97" t="str">
        <f t="shared" si="37"/>
        <v/>
      </c>
      <c r="AF262" s="98" t="str">
        <f t="shared" si="37"/>
        <v/>
      </c>
    </row>
    <row r="263" spans="1:32" x14ac:dyDescent="0.25">
      <c r="A263" s="102">
        <v>0.22916666666666666</v>
      </c>
      <c r="B263" s="29">
        <v>0.25</v>
      </c>
      <c r="C263" s="96" t="e">
        <f t="shared" ref="C263:I263" si="50">AVERAGEIF($C$2:$AG$2,C$251,$C212:$AG212)</f>
        <v>#DIV/0!</v>
      </c>
      <c r="D263" s="97" t="e">
        <f t="shared" si="50"/>
        <v>#DIV/0!</v>
      </c>
      <c r="E263" s="97" t="e">
        <f t="shared" si="50"/>
        <v>#DIV/0!</v>
      </c>
      <c r="F263" s="97" t="e">
        <f t="shared" si="50"/>
        <v>#DIV/0!</v>
      </c>
      <c r="G263" s="97" t="e">
        <f t="shared" si="50"/>
        <v>#DIV/0!</v>
      </c>
      <c r="H263" s="97" t="e">
        <f t="shared" si="50"/>
        <v>#DIV/0!</v>
      </c>
      <c r="I263" s="98" t="e">
        <f t="shared" si="50"/>
        <v>#DIV/0!</v>
      </c>
      <c r="J263" s="96" t="e">
        <f t="shared" si="39"/>
        <v>#DIV/0!</v>
      </c>
      <c r="K263" s="97" t="e">
        <f t="shared" si="36"/>
        <v>#DIV/0!</v>
      </c>
      <c r="L263" s="97" t="e">
        <f t="shared" si="36"/>
        <v>#DIV/0!</v>
      </c>
      <c r="M263" s="97" t="e">
        <f t="shared" si="36"/>
        <v>#DIV/0!</v>
      </c>
      <c r="N263" s="97" t="e">
        <f t="shared" si="36"/>
        <v>#DIV/0!</v>
      </c>
      <c r="O263" s="97" t="e">
        <f t="shared" si="36"/>
        <v>#DIV/0!</v>
      </c>
      <c r="P263" s="98" t="e">
        <f t="shared" si="36"/>
        <v>#DIV/0!</v>
      </c>
      <c r="Q263"/>
      <c r="R263" s="96">
        <f>SUM('Распределение по графикам'!C15:AR15)</f>
        <v>0</v>
      </c>
      <c r="S263" s="97">
        <f>SUM('Распределение по графикам'!C66:AR66)</f>
        <v>0</v>
      </c>
      <c r="T263" s="97">
        <f>SUM('Распределение по графикам'!C117:AR117)</f>
        <v>0</v>
      </c>
      <c r="U263" s="97">
        <f>SUM('Распределение по графикам'!C168:AR168)</f>
        <v>0</v>
      </c>
      <c r="V263" s="97">
        <f>SUM('Распределение по графикам'!C219:AR219)</f>
        <v>0</v>
      </c>
      <c r="W263" s="97">
        <f>SUM('Распределение по графикам'!C270:AR270)</f>
        <v>0</v>
      </c>
      <c r="X263" s="98">
        <f>SUM('Распределение по графикам'!C321:AR321)</f>
        <v>0</v>
      </c>
      <c r="Z263" s="96" t="str">
        <f t="shared" si="40"/>
        <v/>
      </c>
      <c r="AA263" s="97" t="str">
        <f t="shared" si="37"/>
        <v/>
      </c>
      <c r="AB263" s="97" t="str">
        <f t="shared" si="37"/>
        <v/>
      </c>
      <c r="AC263" s="97" t="str">
        <f t="shared" si="37"/>
        <v/>
      </c>
      <c r="AD263" s="97" t="str">
        <f t="shared" si="37"/>
        <v/>
      </c>
      <c r="AE263" s="97" t="str">
        <f t="shared" si="37"/>
        <v/>
      </c>
      <c r="AF263" s="98" t="str">
        <f t="shared" si="37"/>
        <v/>
      </c>
    </row>
    <row r="264" spans="1:32" x14ac:dyDescent="0.25">
      <c r="A264" s="102">
        <v>0.25</v>
      </c>
      <c r="B264" s="29">
        <v>0.27083333333333331</v>
      </c>
      <c r="C264" s="96" t="e">
        <f t="shared" ref="C264:I264" si="51">AVERAGEIF($C$2:$AG$2,C$251,$C213:$AG213)</f>
        <v>#DIV/0!</v>
      </c>
      <c r="D264" s="97" t="e">
        <f t="shared" si="51"/>
        <v>#DIV/0!</v>
      </c>
      <c r="E264" s="97" t="e">
        <f t="shared" si="51"/>
        <v>#DIV/0!</v>
      </c>
      <c r="F264" s="97" t="e">
        <f t="shared" si="51"/>
        <v>#DIV/0!</v>
      </c>
      <c r="G264" s="97" t="e">
        <f t="shared" si="51"/>
        <v>#DIV/0!</v>
      </c>
      <c r="H264" s="97" t="e">
        <f t="shared" si="51"/>
        <v>#DIV/0!</v>
      </c>
      <c r="I264" s="98" t="e">
        <f t="shared" si="51"/>
        <v>#DIV/0!</v>
      </c>
      <c r="J264" s="96" t="e">
        <f t="shared" si="39"/>
        <v>#DIV/0!</v>
      </c>
      <c r="K264" s="97" t="e">
        <f t="shared" si="36"/>
        <v>#DIV/0!</v>
      </c>
      <c r="L264" s="97" t="e">
        <f t="shared" si="36"/>
        <v>#DIV/0!</v>
      </c>
      <c r="M264" s="97" t="e">
        <f t="shared" si="36"/>
        <v>#DIV/0!</v>
      </c>
      <c r="N264" s="97" t="e">
        <f t="shared" si="36"/>
        <v>#DIV/0!</v>
      </c>
      <c r="O264" s="97" t="e">
        <f t="shared" si="36"/>
        <v>#DIV/0!</v>
      </c>
      <c r="P264" s="98" t="e">
        <f t="shared" si="36"/>
        <v>#DIV/0!</v>
      </c>
      <c r="Q264"/>
      <c r="R264" s="96">
        <f>SUM('Распределение по графикам'!C16:AR16)</f>
        <v>0</v>
      </c>
      <c r="S264" s="97">
        <f>SUM('Распределение по графикам'!C67:AR67)</f>
        <v>0</v>
      </c>
      <c r="T264" s="97">
        <f>SUM('Распределение по графикам'!C118:AR118)</f>
        <v>0</v>
      </c>
      <c r="U264" s="97">
        <f>SUM('Распределение по графикам'!C169:AR169)</f>
        <v>0</v>
      </c>
      <c r="V264" s="97">
        <f>SUM('Распределение по графикам'!C220:AR220)</f>
        <v>0</v>
      </c>
      <c r="W264" s="97">
        <f>SUM('Распределение по графикам'!C271:AR271)</f>
        <v>0</v>
      </c>
      <c r="X264" s="98">
        <f>SUM('Распределение по графикам'!C322:AR322)</f>
        <v>0</v>
      </c>
      <c r="Z264" s="96" t="str">
        <f t="shared" si="40"/>
        <v/>
      </c>
      <c r="AA264" s="97" t="str">
        <f t="shared" si="37"/>
        <v/>
      </c>
      <c r="AB264" s="97" t="str">
        <f t="shared" si="37"/>
        <v/>
      </c>
      <c r="AC264" s="97" t="str">
        <f t="shared" si="37"/>
        <v/>
      </c>
      <c r="AD264" s="97" t="str">
        <f t="shared" si="37"/>
        <v/>
      </c>
      <c r="AE264" s="97" t="str">
        <f t="shared" si="37"/>
        <v/>
      </c>
      <c r="AF264" s="98" t="str">
        <f t="shared" si="37"/>
        <v/>
      </c>
    </row>
    <row r="265" spans="1:32" ht="15.75" thickBot="1" x14ac:dyDescent="0.3">
      <c r="A265" s="104">
        <v>0.27083333333333331</v>
      </c>
      <c r="B265" s="105">
        <v>0.29166666666666669</v>
      </c>
      <c r="C265" s="99" t="e">
        <f t="shared" ref="C265:I265" si="52">AVERAGEIF($C$2:$AG$2,C$251,$C214:$AG214)</f>
        <v>#DIV/0!</v>
      </c>
      <c r="D265" s="100" t="e">
        <f t="shared" si="52"/>
        <v>#DIV/0!</v>
      </c>
      <c r="E265" s="100" t="e">
        <f t="shared" si="52"/>
        <v>#DIV/0!</v>
      </c>
      <c r="F265" s="100" t="e">
        <f t="shared" si="52"/>
        <v>#DIV/0!</v>
      </c>
      <c r="G265" s="100" t="e">
        <f t="shared" si="52"/>
        <v>#DIV/0!</v>
      </c>
      <c r="H265" s="100" t="e">
        <f t="shared" si="52"/>
        <v>#DIV/0!</v>
      </c>
      <c r="I265" s="101" t="e">
        <f t="shared" si="52"/>
        <v>#DIV/0!</v>
      </c>
      <c r="J265" s="99" t="e">
        <f t="shared" si="39"/>
        <v>#DIV/0!</v>
      </c>
      <c r="K265" s="100" t="e">
        <f t="shared" si="36"/>
        <v>#DIV/0!</v>
      </c>
      <c r="L265" s="100" t="e">
        <f t="shared" si="36"/>
        <v>#DIV/0!</v>
      </c>
      <c r="M265" s="100" t="e">
        <f t="shared" si="36"/>
        <v>#DIV/0!</v>
      </c>
      <c r="N265" s="100" t="e">
        <f t="shared" si="36"/>
        <v>#DIV/0!</v>
      </c>
      <c r="O265" s="100" t="e">
        <f t="shared" si="36"/>
        <v>#DIV/0!</v>
      </c>
      <c r="P265" s="101" t="e">
        <f t="shared" si="36"/>
        <v>#DIV/0!</v>
      </c>
      <c r="Q265"/>
      <c r="R265" s="99">
        <f>SUM('Распределение по графикам'!C17:AR17)</f>
        <v>0</v>
      </c>
      <c r="S265" s="100">
        <f>SUM('Распределение по графикам'!C68:AR68)</f>
        <v>0</v>
      </c>
      <c r="T265" s="100">
        <f>SUM('Распределение по графикам'!C119:AR119)</f>
        <v>0</v>
      </c>
      <c r="U265" s="100">
        <f>SUM('Распределение по графикам'!C170:AR170)</f>
        <v>0</v>
      </c>
      <c r="V265" s="100">
        <f>SUM('Распределение по графикам'!C221:AR221)</f>
        <v>0</v>
      </c>
      <c r="W265" s="100">
        <f>SUM('Распределение по графикам'!C272:AR272)</f>
        <v>0</v>
      </c>
      <c r="X265" s="101">
        <f>SUM('Распределение по графикам'!C323:AR323)</f>
        <v>0</v>
      </c>
      <c r="Z265" s="99" t="str">
        <f t="shared" si="40"/>
        <v/>
      </c>
      <c r="AA265" s="100" t="str">
        <f t="shared" si="37"/>
        <v/>
      </c>
      <c r="AB265" s="100" t="str">
        <f t="shared" si="37"/>
        <v/>
      </c>
      <c r="AC265" s="100" t="str">
        <f t="shared" si="37"/>
        <v/>
      </c>
      <c r="AD265" s="100" t="str">
        <f t="shared" si="37"/>
        <v/>
      </c>
      <c r="AE265" s="100" t="str">
        <f t="shared" si="37"/>
        <v/>
      </c>
      <c r="AF265" s="101" t="str">
        <f t="shared" si="37"/>
        <v/>
      </c>
    </row>
    <row r="266" spans="1:32" x14ac:dyDescent="0.25">
      <c r="A266" s="106">
        <v>0.29166666666666669</v>
      </c>
      <c r="B266" s="107">
        <v>0.3125</v>
      </c>
      <c r="C266" s="33" t="e">
        <f t="shared" ref="C266:I266" si="53">AVERAGEIF($C$2:$AG$2,C$251,$C215:$AG215)</f>
        <v>#DIV/0!</v>
      </c>
      <c r="D266" s="32" t="e">
        <f t="shared" si="53"/>
        <v>#DIV/0!</v>
      </c>
      <c r="E266" s="32" t="e">
        <f t="shared" si="53"/>
        <v>#DIV/0!</v>
      </c>
      <c r="F266" s="32" t="e">
        <f t="shared" si="53"/>
        <v>#DIV/0!</v>
      </c>
      <c r="G266" s="32" t="e">
        <f t="shared" si="53"/>
        <v>#DIV/0!</v>
      </c>
      <c r="H266" s="32" t="e">
        <f t="shared" si="53"/>
        <v>#DIV/0!</v>
      </c>
      <c r="I266" s="34" t="e">
        <f t="shared" si="53"/>
        <v>#DIV/0!</v>
      </c>
      <c r="J266" s="50" t="e">
        <f t="shared" si="39"/>
        <v>#DIV/0!</v>
      </c>
      <c r="K266" s="51" t="e">
        <f t="shared" si="36"/>
        <v>#DIV/0!</v>
      </c>
      <c r="L266" s="51" t="e">
        <f t="shared" si="36"/>
        <v>#DIV/0!</v>
      </c>
      <c r="M266" s="51" t="e">
        <f t="shared" si="36"/>
        <v>#DIV/0!</v>
      </c>
      <c r="N266" s="51" t="e">
        <f t="shared" si="36"/>
        <v>#DIV/0!</v>
      </c>
      <c r="O266" s="51" t="e">
        <f t="shared" si="36"/>
        <v>#DIV/0!</v>
      </c>
      <c r="P266" s="52" t="e">
        <f t="shared" si="36"/>
        <v>#DIV/0!</v>
      </c>
      <c r="Q266"/>
      <c r="R266" s="50">
        <f>SUM('Распределение по графикам'!C18:AR18)</f>
        <v>0</v>
      </c>
      <c r="S266" s="51">
        <f>SUM('Распределение по графикам'!C69:AR69)</f>
        <v>0</v>
      </c>
      <c r="T266" s="51">
        <f>SUM('Распределение по графикам'!C120:AR120)</f>
        <v>0</v>
      </c>
      <c r="U266" s="51">
        <f>SUM('Распределение по графикам'!C171:AR171)</f>
        <v>0</v>
      </c>
      <c r="V266" s="51">
        <f>SUM('Распределение по графикам'!C222:AR222)</f>
        <v>0</v>
      </c>
      <c r="W266" s="51">
        <f>SUM('Распределение по графикам'!C273:AR273)</f>
        <v>0</v>
      </c>
      <c r="X266" s="52">
        <f>SUM('Распределение по графикам'!C324:AR324)</f>
        <v>0</v>
      </c>
      <c r="Z266" s="50" t="str">
        <f t="shared" si="40"/>
        <v/>
      </c>
      <c r="AA266" s="51" t="str">
        <f t="shared" si="37"/>
        <v/>
      </c>
      <c r="AB266" s="51" t="str">
        <f t="shared" si="37"/>
        <v/>
      </c>
      <c r="AC266" s="51" t="str">
        <f t="shared" si="37"/>
        <v/>
      </c>
      <c r="AD266" s="51" t="str">
        <f t="shared" si="37"/>
        <v/>
      </c>
      <c r="AE266" s="51" t="str">
        <f t="shared" si="37"/>
        <v/>
      </c>
      <c r="AF266" s="52" t="str">
        <f t="shared" si="37"/>
        <v/>
      </c>
    </row>
    <row r="267" spans="1:32" x14ac:dyDescent="0.25">
      <c r="A267" s="103">
        <v>0.3125</v>
      </c>
      <c r="B267" s="10">
        <v>0.33333333333333331</v>
      </c>
      <c r="C267" s="35" t="e">
        <f t="shared" ref="C267:I267" si="54">AVERAGEIF($C$2:$AG$2,C$251,$C216:$AG216)</f>
        <v>#DIV/0!</v>
      </c>
      <c r="D267" s="8" t="e">
        <f t="shared" si="54"/>
        <v>#DIV/0!</v>
      </c>
      <c r="E267" s="8" t="e">
        <f t="shared" si="54"/>
        <v>#DIV/0!</v>
      </c>
      <c r="F267" s="8" t="e">
        <f t="shared" si="54"/>
        <v>#DIV/0!</v>
      </c>
      <c r="G267" s="8" t="e">
        <f t="shared" si="54"/>
        <v>#DIV/0!</v>
      </c>
      <c r="H267" s="8" t="e">
        <f t="shared" si="54"/>
        <v>#DIV/0!</v>
      </c>
      <c r="I267" s="36" t="e">
        <f t="shared" si="54"/>
        <v>#DIV/0!</v>
      </c>
      <c r="J267" s="53" t="e">
        <f t="shared" si="39"/>
        <v>#DIV/0!</v>
      </c>
      <c r="K267" s="54" t="e">
        <f t="shared" si="36"/>
        <v>#DIV/0!</v>
      </c>
      <c r="L267" s="54" t="e">
        <f t="shared" si="36"/>
        <v>#DIV/0!</v>
      </c>
      <c r="M267" s="54" t="e">
        <f t="shared" si="36"/>
        <v>#DIV/0!</v>
      </c>
      <c r="N267" s="54" t="e">
        <f t="shared" si="36"/>
        <v>#DIV/0!</v>
      </c>
      <c r="O267" s="54" t="e">
        <f t="shared" si="36"/>
        <v>#DIV/0!</v>
      </c>
      <c r="P267" s="55" t="e">
        <f t="shared" si="36"/>
        <v>#DIV/0!</v>
      </c>
      <c r="Q267"/>
      <c r="R267" s="53">
        <f>SUM('Распределение по графикам'!C19:AR19)</f>
        <v>0</v>
      </c>
      <c r="S267" s="54">
        <f>SUM('Распределение по графикам'!C70:AR70)</f>
        <v>0</v>
      </c>
      <c r="T267" s="54">
        <f>SUM('Распределение по графикам'!C121:AR121)</f>
        <v>0</v>
      </c>
      <c r="U267" s="54">
        <f>SUM('Распределение по графикам'!C172:AR172)</f>
        <v>0</v>
      </c>
      <c r="V267" s="54">
        <f>SUM('Распределение по графикам'!C223:AR223)</f>
        <v>0</v>
      </c>
      <c r="W267" s="54">
        <f>SUM('Распределение по графикам'!C274:AR274)</f>
        <v>0</v>
      </c>
      <c r="X267" s="55">
        <f>SUM('Распределение по графикам'!C325:AR325)</f>
        <v>0</v>
      </c>
      <c r="Z267" s="53" t="str">
        <f t="shared" si="40"/>
        <v/>
      </c>
      <c r="AA267" s="54" t="str">
        <f t="shared" si="37"/>
        <v/>
      </c>
      <c r="AB267" s="54" t="str">
        <f t="shared" si="37"/>
        <v/>
      </c>
      <c r="AC267" s="54" t="str">
        <f t="shared" si="37"/>
        <v/>
      </c>
      <c r="AD267" s="54" t="str">
        <f t="shared" si="37"/>
        <v/>
      </c>
      <c r="AE267" s="54" t="str">
        <f t="shared" si="37"/>
        <v/>
      </c>
      <c r="AF267" s="55" t="str">
        <f t="shared" si="37"/>
        <v/>
      </c>
    </row>
    <row r="268" spans="1:32" x14ac:dyDescent="0.25">
      <c r="A268" s="103">
        <v>0.33333333333333331</v>
      </c>
      <c r="B268" s="10">
        <v>0.35416666666666669</v>
      </c>
      <c r="C268" s="35" t="e">
        <f t="shared" ref="C268:I268" si="55">AVERAGEIF($C$2:$AG$2,C$251,$C217:$AG217)</f>
        <v>#DIV/0!</v>
      </c>
      <c r="D268" s="8" t="e">
        <f t="shared" si="55"/>
        <v>#DIV/0!</v>
      </c>
      <c r="E268" s="8" t="e">
        <f t="shared" si="55"/>
        <v>#DIV/0!</v>
      </c>
      <c r="F268" s="8" t="e">
        <f t="shared" si="55"/>
        <v>#DIV/0!</v>
      </c>
      <c r="G268" s="8" t="e">
        <f t="shared" si="55"/>
        <v>#DIV/0!</v>
      </c>
      <c r="H268" s="8" t="e">
        <f t="shared" si="55"/>
        <v>#DIV/0!</v>
      </c>
      <c r="I268" s="36" t="e">
        <f t="shared" si="55"/>
        <v>#DIV/0!</v>
      </c>
      <c r="J268" s="53" t="e">
        <f t="shared" si="39"/>
        <v>#DIV/0!</v>
      </c>
      <c r="K268" s="54" t="e">
        <f t="shared" si="39"/>
        <v>#DIV/0!</v>
      </c>
      <c r="L268" s="54" t="e">
        <f t="shared" si="39"/>
        <v>#DIV/0!</v>
      </c>
      <c r="M268" s="54" t="e">
        <f t="shared" si="39"/>
        <v>#DIV/0!</v>
      </c>
      <c r="N268" s="54" t="e">
        <f t="shared" si="39"/>
        <v>#DIV/0!</v>
      </c>
      <c r="O268" s="54" t="e">
        <f t="shared" si="39"/>
        <v>#DIV/0!</v>
      </c>
      <c r="P268" s="55" t="e">
        <f t="shared" si="39"/>
        <v>#DIV/0!</v>
      </c>
      <c r="Q268"/>
      <c r="R268" s="53">
        <f>SUM('Распределение по графикам'!C20:AR20)</f>
        <v>0</v>
      </c>
      <c r="S268" s="54">
        <f>SUM('Распределение по графикам'!C71:AR71)</f>
        <v>0</v>
      </c>
      <c r="T268" s="54">
        <f>SUM('Распределение по графикам'!C122:AR122)</f>
        <v>0</v>
      </c>
      <c r="U268" s="54">
        <f>SUM('Распределение по графикам'!C173:AR173)</f>
        <v>0</v>
      </c>
      <c r="V268" s="54">
        <f>SUM('Распределение по графикам'!C224:AR224)</f>
        <v>0</v>
      </c>
      <c r="W268" s="54">
        <f>SUM('Распределение по графикам'!C275:AR275)</f>
        <v>0</v>
      </c>
      <c r="X268" s="55">
        <f>SUM('Распределение по графикам'!C326:AR326)</f>
        <v>0</v>
      </c>
      <c r="Z268" s="53" t="str">
        <f t="shared" si="40"/>
        <v/>
      </c>
      <c r="AA268" s="54" t="str">
        <f t="shared" si="40"/>
        <v/>
      </c>
      <c r="AB268" s="54" t="str">
        <f t="shared" si="40"/>
        <v/>
      </c>
      <c r="AC268" s="54" t="str">
        <f t="shared" si="40"/>
        <v/>
      </c>
      <c r="AD268" s="54" t="str">
        <f t="shared" si="40"/>
        <v/>
      </c>
      <c r="AE268" s="54" t="str">
        <f t="shared" si="40"/>
        <v/>
      </c>
      <c r="AF268" s="55" t="str">
        <f t="shared" si="40"/>
        <v/>
      </c>
    </row>
    <row r="269" spans="1:32" x14ac:dyDescent="0.25">
      <c r="A269" s="103">
        <v>0.35416666666666669</v>
      </c>
      <c r="B269" s="10">
        <v>0.375</v>
      </c>
      <c r="C269" s="35" t="e">
        <f t="shared" ref="C269:I269" si="56">AVERAGEIF($C$2:$AG$2,C$251,$C218:$AG218)</f>
        <v>#DIV/0!</v>
      </c>
      <c r="D269" s="8" t="e">
        <f t="shared" si="56"/>
        <v>#DIV/0!</v>
      </c>
      <c r="E269" s="8" t="e">
        <f t="shared" si="56"/>
        <v>#DIV/0!</v>
      </c>
      <c r="F269" s="8" t="e">
        <f t="shared" si="56"/>
        <v>#DIV/0!</v>
      </c>
      <c r="G269" s="8" t="e">
        <f t="shared" si="56"/>
        <v>#DIV/0!</v>
      </c>
      <c r="H269" s="8" t="e">
        <f t="shared" si="56"/>
        <v>#DIV/0!</v>
      </c>
      <c r="I269" s="36" t="e">
        <f t="shared" si="56"/>
        <v>#DIV/0!</v>
      </c>
      <c r="J269" s="53" t="e">
        <f t="shared" si="39"/>
        <v>#DIV/0!</v>
      </c>
      <c r="K269" s="54" t="e">
        <f t="shared" si="39"/>
        <v>#DIV/0!</v>
      </c>
      <c r="L269" s="54" t="e">
        <f t="shared" si="39"/>
        <v>#DIV/0!</v>
      </c>
      <c r="M269" s="54" t="e">
        <f t="shared" si="39"/>
        <v>#DIV/0!</v>
      </c>
      <c r="N269" s="54" t="e">
        <f t="shared" si="39"/>
        <v>#DIV/0!</v>
      </c>
      <c r="O269" s="54" t="e">
        <f t="shared" si="39"/>
        <v>#DIV/0!</v>
      </c>
      <c r="P269" s="55" t="e">
        <f t="shared" si="39"/>
        <v>#DIV/0!</v>
      </c>
      <c r="Q269"/>
      <c r="R269" s="53">
        <f>SUM('Распределение по графикам'!C21:AR21)</f>
        <v>0</v>
      </c>
      <c r="S269" s="54">
        <f>SUM('Распределение по графикам'!C72:AR72)</f>
        <v>0</v>
      </c>
      <c r="T269" s="54">
        <f>SUM('Распределение по графикам'!C123:AR123)</f>
        <v>0</v>
      </c>
      <c r="U269" s="54">
        <f>SUM('Распределение по графикам'!C174:AR174)</f>
        <v>0</v>
      </c>
      <c r="V269" s="54">
        <f>SUM('Распределение по графикам'!C225:AR225)</f>
        <v>0</v>
      </c>
      <c r="W269" s="54">
        <f>SUM('Распределение по графикам'!C276:AR276)</f>
        <v>0</v>
      </c>
      <c r="X269" s="55">
        <f>SUM('Распределение по графикам'!C327:AR327)</f>
        <v>0</v>
      </c>
      <c r="Z269" s="53" t="str">
        <f t="shared" si="40"/>
        <v/>
      </c>
      <c r="AA269" s="54" t="str">
        <f t="shared" si="40"/>
        <v/>
      </c>
      <c r="AB269" s="54" t="str">
        <f t="shared" si="40"/>
        <v/>
      </c>
      <c r="AC269" s="54" t="str">
        <f t="shared" si="40"/>
        <v/>
      </c>
      <c r="AD269" s="54" t="str">
        <f t="shared" si="40"/>
        <v/>
      </c>
      <c r="AE269" s="54" t="str">
        <f t="shared" si="40"/>
        <v/>
      </c>
      <c r="AF269" s="55" t="str">
        <f t="shared" si="40"/>
        <v/>
      </c>
    </row>
    <row r="270" spans="1:32" x14ac:dyDescent="0.25">
      <c r="A270" s="103">
        <v>0.375</v>
      </c>
      <c r="B270" s="10">
        <v>0.39583333333333331</v>
      </c>
      <c r="C270" s="35" t="e">
        <f t="shared" ref="C270:I270" si="57">AVERAGEIF($C$2:$AG$2,C$251,$C219:$AG219)</f>
        <v>#DIV/0!</v>
      </c>
      <c r="D270" s="8" t="e">
        <f t="shared" si="57"/>
        <v>#DIV/0!</v>
      </c>
      <c r="E270" s="8" t="e">
        <f t="shared" si="57"/>
        <v>#DIV/0!</v>
      </c>
      <c r="F270" s="8" t="e">
        <f t="shared" si="57"/>
        <v>#DIV/0!</v>
      </c>
      <c r="G270" s="8" t="e">
        <f t="shared" si="57"/>
        <v>#DIV/0!</v>
      </c>
      <c r="H270" s="8" t="e">
        <f t="shared" si="57"/>
        <v>#DIV/0!</v>
      </c>
      <c r="I270" s="36" t="e">
        <f t="shared" si="57"/>
        <v>#DIV/0!</v>
      </c>
      <c r="J270" s="53" t="e">
        <f t="shared" si="39"/>
        <v>#DIV/0!</v>
      </c>
      <c r="K270" s="54" t="e">
        <f t="shared" si="39"/>
        <v>#DIV/0!</v>
      </c>
      <c r="L270" s="54" t="e">
        <f t="shared" si="39"/>
        <v>#DIV/0!</v>
      </c>
      <c r="M270" s="54" t="e">
        <f t="shared" si="39"/>
        <v>#DIV/0!</v>
      </c>
      <c r="N270" s="54" t="e">
        <f t="shared" si="39"/>
        <v>#DIV/0!</v>
      </c>
      <c r="O270" s="54" t="e">
        <f t="shared" si="39"/>
        <v>#DIV/0!</v>
      </c>
      <c r="P270" s="55" t="e">
        <f t="shared" si="39"/>
        <v>#DIV/0!</v>
      </c>
      <c r="Q270"/>
      <c r="R270" s="53">
        <f>SUM('Распределение по графикам'!C22:AR22)</f>
        <v>0</v>
      </c>
      <c r="S270" s="54">
        <f>SUM('Распределение по графикам'!C73:AR73)</f>
        <v>0</v>
      </c>
      <c r="T270" s="54">
        <f>SUM('Распределение по графикам'!C124:AR124)</f>
        <v>0</v>
      </c>
      <c r="U270" s="54">
        <f>SUM('Распределение по графикам'!C175:AR175)</f>
        <v>0</v>
      </c>
      <c r="V270" s="54">
        <f>SUM('Распределение по графикам'!C226:AR226)</f>
        <v>0</v>
      </c>
      <c r="W270" s="54">
        <f>SUM('Распределение по графикам'!C277:AR277)</f>
        <v>0</v>
      </c>
      <c r="X270" s="55">
        <f>SUM('Распределение по графикам'!C328:AR328)</f>
        <v>0</v>
      </c>
      <c r="Z270" s="53" t="str">
        <f t="shared" si="40"/>
        <v/>
      </c>
      <c r="AA270" s="54" t="str">
        <f t="shared" si="40"/>
        <v/>
      </c>
      <c r="AB270" s="54" t="str">
        <f t="shared" si="40"/>
        <v/>
      </c>
      <c r="AC270" s="54" t="str">
        <f t="shared" si="40"/>
        <v/>
      </c>
      <c r="AD270" s="54" t="str">
        <f t="shared" si="40"/>
        <v/>
      </c>
      <c r="AE270" s="54" t="str">
        <f t="shared" si="40"/>
        <v/>
      </c>
      <c r="AF270" s="55" t="str">
        <f t="shared" si="40"/>
        <v/>
      </c>
    </row>
    <row r="271" spans="1:32" x14ac:dyDescent="0.25">
      <c r="A271" s="103">
        <v>0.39583333333333331</v>
      </c>
      <c r="B271" s="10">
        <v>0.41666666666666669</v>
      </c>
      <c r="C271" s="35" t="e">
        <f t="shared" ref="C271:I271" si="58">AVERAGEIF($C$2:$AG$2,C$251,$C220:$AG220)</f>
        <v>#DIV/0!</v>
      </c>
      <c r="D271" s="8" t="e">
        <f t="shared" si="58"/>
        <v>#DIV/0!</v>
      </c>
      <c r="E271" s="8" t="e">
        <f t="shared" si="58"/>
        <v>#DIV/0!</v>
      </c>
      <c r="F271" s="8" t="e">
        <f t="shared" si="58"/>
        <v>#DIV/0!</v>
      </c>
      <c r="G271" s="8" t="e">
        <f t="shared" si="58"/>
        <v>#DIV/0!</v>
      </c>
      <c r="H271" s="8" t="e">
        <f t="shared" si="58"/>
        <v>#DIV/0!</v>
      </c>
      <c r="I271" s="36" t="e">
        <f t="shared" si="58"/>
        <v>#DIV/0!</v>
      </c>
      <c r="J271" s="53" t="e">
        <f t="shared" si="39"/>
        <v>#DIV/0!</v>
      </c>
      <c r="K271" s="54" t="e">
        <f t="shared" si="39"/>
        <v>#DIV/0!</v>
      </c>
      <c r="L271" s="54" t="e">
        <f t="shared" si="39"/>
        <v>#DIV/0!</v>
      </c>
      <c r="M271" s="54" t="e">
        <f t="shared" si="39"/>
        <v>#DIV/0!</v>
      </c>
      <c r="N271" s="54" t="e">
        <f t="shared" si="39"/>
        <v>#DIV/0!</v>
      </c>
      <c r="O271" s="54" t="e">
        <f t="shared" si="39"/>
        <v>#DIV/0!</v>
      </c>
      <c r="P271" s="55" t="e">
        <f t="shared" si="39"/>
        <v>#DIV/0!</v>
      </c>
      <c r="Q271"/>
      <c r="R271" s="53">
        <f>SUM('Распределение по графикам'!C23:AR23)</f>
        <v>0</v>
      </c>
      <c r="S271" s="54">
        <f>SUM('Распределение по графикам'!C74:AR74)</f>
        <v>0</v>
      </c>
      <c r="T271" s="54">
        <f>SUM('Распределение по графикам'!C125:AR125)</f>
        <v>0</v>
      </c>
      <c r="U271" s="54">
        <f>SUM('Распределение по графикам'!C176:AR176)</f>
        <v>0</v>
      </c>
      <c r="V271" s="54">
        <f>SUM('Распределение по графикам'!C227:AR227)</f>
        <v>0</v>
      </c>
      <c r="W271" s="54">
        <f>SUM('Распределение по графикам'!C278:AR278)</f>
        <v>0</v>
      </c>
      <c r="X271" s="55">
        <f>SUM('Распределение по графикам'!C329:AR329)</f>
        <v>0</v>
      </c>
      <c r="Z271" s="53" t="str">
        <f t="shared" si="40"/>
        <v/>
      </c>
      <c r="AA271" s="54" t="str">
        <f t="shared" si="40"/>
        <v/>
      </c>
      <c r="AB271" s="54" t="str">
        <f t="shared" si="40"/>
        <v/>
      </c>
      <c r="AC271" s="54" t="str">
        <f t="shared" si="40"/>
        <v/>
      </c>
      <c r="AD271" s="54" t="str">
        <f t="shared" si="40"/>
        <v/>
      </c>
      <c r="AE271" s="54" t="str">
        <f t="shared" si="40"/>
        <v/>
      </c>
      <c r="AF271" s="55" t="str">
        <f t="shared" si="40"/>
        <v/>
      </c>
    </row>
    <row r="272" spans="1:32" x14ac:dyDescent="0.25">
      <c r="A272" s="103">
        <v>0.41666666666666669</v>
      </c>
      <c r="B272" s="10">
        <v>0.4375</v>
      </c>
      <c r="C272" s="35" t="e">
        <f t="shared" ref="C272:I272" si="59">AVERAGEIF($C$2:$AG$2,C$251,$C221:$AG221)</f>
        <v>#DIV/0!</v>
      </c>
      <c r="D272" s="8" t="e">
        <f t="shared" si="59"/>
        <v>#DIV/0!</v>
      </c>
      <c r="E272" s="8" t="e">
        <f t="shared" si="59"/>
        <v>#DIV/0!</v>
      </c>
      <c r="F272" s="8" t="e">
        <f t="shared" si="59"/>
        <v>#DIV/0!</v>
      </c>
      <c r="G272" s="8" t="e">
        <f t="shared" si="59"/>
        <v>#DIV/0!</v>
      </c>
      <c r="H272" s="8" t="e">
        <f t="shared" si="59"/>
        <v>#DIV/0!</v>
      </c>
      <c r="I272" s="36" t="e">
        <f t="shared" si="59"/>
        <v>#DIV/0!</v>
      </c>
      <c r="J272" s="53" t="e">
        <f t="shared" si="39"/>
        <v>#DIV/0!</v>
      </c>
      <c r="K272" s="54" t="e">
        <f t="shared" si="39"/>
        <v>#DIV/0!</v>
      </c>
      <c r="L272" s="54" t="e">
        <f t="shared" si="39"/>
        <v>#DIV/0!</v>
      </c>
      <c r="M272" s="54" t="e">
        <f t="shared" si="39"/>
        <v>#DIV/0!</v>
      </c>
      <c r="N272" s="54" t="e">
        <f t="shared" si="39"/>
        <v>#DIV/0!</v>
      </c>
      <c r="O272" s="54" t="e">
        <f t="shared" si="39"/>
        <v>#DIV/0!</v>
      </c>
      <c r="P272" s="55" t="e">
        <f t="shared" si="39"/>
        <v>#DIV/0!</v>
      </c>
      <c r="Q272"/>
      <c r="R272" s="53">
        <f>SUM('Распределение по графикам'!C24:AR24)</f>
        <v>0</v>
      </c>
      <c r="S272" s="54">
        <f>SUM('Распределение по графикам'!C75:AR75)</f>
        <v>0</v>
      </c>
      <c r="T272" s="54">
        <f>SUM('Распределение по графикам'!C126:AR126)</f>
        <v>0</v>
      </c>
      <c r="U272" s="54">
        <f>SUM('Распределение по графикам'!C177:AR177)</f>
        <v>0</v>
      </c>
      <c r="V272" s="54">
        <f>SUM('Распределение по графикам'!C228:AR228)</f>
        <v>0</v>
      </c>
      <c r="W272" s="54">
        <f>SUM('Распределение по графикам'!C279:AR279)</f>
        <v>0</v>
      </c>
      <c r="X272" s="55">
        <f>SUM('Распределение по графикам'!C330:AR330)</f>
        <v>0</v>
      </c>
      <c r="Z272" s="53" t="str">
        <f t="shared" si="40"/>
        <v/>
      </c>
      <c r="AA272" s="54" t="str">
        <f t="shared" si="40"/>
        <v/>
      </c>
      <c r="AB272" s="54" t="str">
        <f t="shared" si="40"/>
        <v/>
      </c>
      <c r="AC272" s="54" t="str">
        <f t="shared" si="40"/>
        <v/>
      </c>
      <c r="AD272" s="54" t="str">
        <f t="shared" si="40"/>
        <v/>
      </c>
      <c r="AE272" s="54" t="str">
        <f t="shared" si="40"/>
        <v/>
      </c>
      <c r="AF272" s="55" t="str">
        <f t="shared" si="40"/>
        <v/>
      </c>
    </row>
    <row r="273" spans="1:32" x14ac:dyDescent="0.25">
      <c r="A273" s="103">
        <v>0.4375</v>
      </c>
      <c r="B273" s="10">
        <v>0.45833333333333331</v>
      </c>
      <c r="C273" s="35" t="e">
        <f t="shared" ref="C273:I273" si="60">AVERAGEIF($C$2:$AG$2,C$251,$C222:$AG222)</f>
        <v>#DIV/0!</v>
      </c>
      <c r="D273" s="8" t="e">
        <f t="shared" si="60"/>
        <v>#DIV/0!</v>
      </c>
      <c r="E273" s="8" t="e">
        <f t="shared" si="60"/>
        <v>#DIV/0!</v>
      </c>
      <c r="F273" s="8" t="e">
        <f t="shared" si="60"/>
        <v>#DIV/0!</v>
      </c>
      <c r="G273" s="8" t="e">
        <f t="shared" si="60"/>
        <v>#DIV/0!</v>
      </c>
      <c r="H273" s="8" t="e">
        <f t="shared" si="60"/>
        <v>#DIV/0!</v>
      </c>
      <c r="I273" s="36" t="e">
        <f t="shared" si="60"/>
        <v>#DIV/0!</v>
      </c>
      <c r="J273" s="53" t="e">
        <f t="shared" si="39"/>
        <v>#DIV/0!</v>
      </c>
      <c r="K273" s="54" t="e">
        <f t="shared" si="39"/>
        <v>#DIV/0!</v>
      </c>
      <c r="L273" s="54" t="e">
        <f t="shared" si="39"/>
        <v>#DIV/0!</v>
      </c>
      <c r="M273" s="54" t="e">
        <f t="shared" si="39"/>
        <v>#DIV/0!</v>
      </c>
      <c r="N273" s="54" t="e">
        <f t="shared" si="39"/>
        <v>#DIV/0!</v>
      </c>
      <c r="O273" s="54" t="e">
        <f t="shared" si="39"/>
        <v>#DIV/0!</v>
      </c>
      <c r="P273" s="55" t="e">
        <f t="shared" si="39"/>
        <v>#DIV/0!</v>
      </c>
      <c r="Q273"/>
      <c r="R273" s="53">
        <f>SUM('Распределение по графикам'!C25:AR25)</f>
        <v>0</v>
      </c>
      <c r="S273" s="54">
        <f>SUM('Распределение по графикам'!C76:AR76)</f>
        <v>0</v>
      </c>
      <c r="T273" s="54">
        <f>SUM('Распределение по графикам'!C127:AR127)</f>
        <v>0</v>
      </c>
      <c r="U273" s="54">
        <f>SUM('Распределение по графикам'!C178:AR178)</f>
        <v>0</v>
      </c>
      <c r="V273" s="54">
        <f>SUM('Распределение по графикам'!C229:AR229)</f>
        <v>0</v>
      </c>
      <c r="W273" s="54">
        <f>SUM('Распределение по графикам'!C280:AR280)</f>
        <v>0</v>
      </c>
      <c r="X273" s="55">
        <f>SUM('Распределение по графикам'!C331:AR331)</f>
        <v>0</v>
      </c>
      <c r="Z273" s="53" t="str">
        <f t="shared" si="40"/>
        <v/>
      </c>
      <c r="AA273" s="54" t="str">
        <f t="shared" si="40"/>
        <v/>
      </c>
      <c r="AB273" s="54" t="str">
        <f t="shared" si="40"/>
        <v/>
      </c>
      <c r="AC273" s="54" t="str">
        <f t="shared" si="40"/>
        <v/>
      </c>
      <c r="AD273" s="54" t="str">
        <f t="shared" si="40"/>
        <v/>
      </c>
      <c r="AE273" s="54" t="str">
        <f t="shared" si="40"/>
        <v/>
      </c>
      <c r="AF273" s="55" t="str">
        <f t="shared" si="40"/>
        <v/>
      </c>
    </row>
    <row r="274" spans="1:32" x14ac:dyDescent="0.25">
      <c r="A274" s="103">
        <v>0.45833333333333331</v>
      </c>
      <c r="B274" s="10">
        <v>0.47916666666666669</v>
      </c>
      <c r="C274" s="35" t="e">
        <f t="shared" ref="C274:I274" si="61">AVERAGEIF($C$2:$AG$2,C$251,$C223:$AG223)</f>
        <v>#DIV/0!</v>
      </c>
      <c r="D274" s="8" t="e">
        <f t="shared" si="61"/>
        <v>#DIV/0!</v>
      </c>
      <c r="E274" s="8" t="e">
        <f t="shared" si="61"/>
        <v>#DIV/0!</v>
      </c>
      <c r="F274" s="8" t="e">
        <f t="shared" si="61"/>
        <v>#DIV/0!</v>
      </c>
      <c r="G274" s="8" t="e">
        <f t="shared" si="61"/>
        <v>#DIV/0!</v>
      </c>
      <c r="H274" s="8" t="e">
        <f t="shared" si="61"/>
        <v>#DIV/0!</v>
      </c>
      <c r="I274" s="36" t="e">
        <f t="shared" si="61"/>
        <v>#DIV/0!</v>
      </c>
      <c r="J274" s="53" t="e">
        <f t="shared" si="39"/>
        <v>#DIV/0!</v>
      </c>
      <c r="K274" s="54" t="e">
        <f t="shared" si="39"/>
        <v>#DIV/0!</v>
      </c>
      <c r="L274" s="54" t="e">
        <f t="shared" si="39"/>
        <v>#DIV/0!</v>
      </c>
      <c r="M274" s="54" t="e">
        <f t="shared" si="39"/>
        <v>#DIV/0!</v>
      </c>
      <c r="N274" s="54" t="e">
        <f t="shared" si="39"/>
        <v>#DIV/0!</v>
      </c>
      <c r="O274" s="54" t="e">
        <f t="shared" si="39"/>
        <v>#DIV/0!</v>
      </c>
      <c r="P274" s="55" t="e">
        <f t="shared" si="39"/>
        <v>#DIV/0!</v>
      </c>
      <c r="Q274"/>
      <c r="R274" s="53">
        <f>SUM('Распределение по графикам'!C26:AR26)</f>
        <v>0</v>
      </c>
      <c r="S274" s="54">
        <f>SUM('Распределение по графикам'!C77:AR77)</f>
        <v>0</v>
      </c>
      <c r="T274" s="54">
        <f>SUM('Распределение по графикам'!C128:AR128)</f>
        <v>0</v>
      </c>
      <c r="U274" s="54">
        <f>SUM('Распределение по графикам'!C179:AR179)</f>
        <v>0</v>
      </c>
      <c r="V274" s="54">
        <f>SUM('Распределение по графикам'!C230:AR230)</f>
        <v>0</v>
      </c>
      <c r="W274" s="54">
        <f>SUM('Распределение по графикам'!C281:AR281)</f>
        <v>0</v>
      </c>
      <c r="X274" s="55">
        <f>SUM('Распределение по графикам'!C332:AR332)</f>
        <v>0</v>
      </c>
      <c r="Z274" s="53" t="str">
        <f t="shared" si="40"/>
        <v/>
      </c>
      <c r="AA274" s="54" t="str">
        <f t="shared" si="40"/>
        <v/>
      </c>
      <c r="AB274" s="54" t="str">
        <f t="shared" si="40"/>
        <v/>
      </c>
      <c r="AC274" s="54" t="str">
        <f t="shared" si="40"/>
        <v/>
      </c>
      <c r="AD274" s="54" t="str">
        <f t="shared" si="40"/>
        <v/>
      </c>
      <c r="AE274" s="54" t="str">
        <f t="shared" si="40"/>
        <v/>
      </c>
      <c r="AF274" s="55" t="str">
        <f t="shared" si="40"/>
        <v/>
      </c>
    </row>
    <row r="275" spans="1:32" x14ac:dyDescent="0.25">
      <c r="A275" s="103">
        <v>0.47916666666666669</v>
      </c>
      <c r="B275" s="10">
        <v>0.5</v>
      </c>
      <c r="C275" s="35" t="e">
        <f t="shared" ref="C275:I275" si="62">AVERAGEIF($C$2:$AG$2,C$251,$C224:$AG224)</f>
        <v>#DIV/0!</v>
      </c>
      <c r="D275" s="8" t="e">
        <f t="shared" si="62"/>
        <v>#DIV/0!</v>
      </c>
      <c r="E275" s="8" t="e">
        <f t="shared" si="62"/>
        <v>#DIV/0!</v>
      </c>
      <c r="F275" s="8" t="e">
        <f t="shared" si="62"/>
        <v>#DIV/0!</v>
      </c>
      <c r="G275" s="8" t="e">
        <f t="shared" si="62"/>
        <v>#DIV/0!</v>
      </c>
      <c r="H275" s="8" t="e">
        <f t="shared" si="62"/>
        <v>#DIV/0!</v>
      </c>
      <c r="I275" s="36" t="e">
        <f t="shared" si="62"/>
        <v>#DIV/0!</v>
      </c>
      <c r="J275" s="53" t="e">
        <f t="shared" si="39"/>
        <v>#DIV/0!</v>
      </c>
      <c r="K275" s="54" t="e">
        <f t="shared" si="39"/>
        <v>#DIV/0!</v>
      </c>
      <c r="L275" s="54" t="e">
        <f t="shared" si="39"/>
        <v>#DIV/0!</v>
      </c>
      <c r="M275" s="54" t="e">
        <f t="shared" si="39"/>
        <v>#DIV/0!</v>
      </c>
      <c r="N275" s="54" t="e">
        <f t="shared" si="39"/>
        <v>#DIV/0!</v>
      </c>
      <c r="O275" s="54" t="e">
        <f t="shared" si="39"/>
        <v>#DIV/0!</v>
      </c>
      <c r="P275" s="55" t="e">
        <f t="shared" si="39"/>
        <v>#DIV/0!</v>
      </c>
      <c r="Q275"/>
      <c r="R275" s="53">
        <f>SUM('Распределение по графикам'!C27:AR27)</f>
        <v>0</v>
      </c>
      <c r="S275" s="54">
        <f>SUM('Распределение по графикам'!C78:AR78)</f>
        <v>0</v>
      </c>
      <c r="T275" s="54">
        <f>SUM('Распределение по графикам'!C129:AR129)</f>
        <v>0</v>
      </c>
      <c r="U275" s="54">
        <f>SUM('Распределение по графикам'!C180:AR180)</f>
        <v>0</v>
      </c>
      <c r="V275" s="54">
        <f>SUM('Распределение по графикам'!C231:AR231)</f>
        <v>0</v>
      </c>
      <c r="W275" s="54">
        <f>SUM('Распределение по графикам'!C282:AR282)</f>
        <v>0</v>
      </c>
      <c r="X275" s="55">
        <f>SUM('Распределение по графикам'!C333:AR333)</f>
        <v>0</v>
      </c>
      <c r="Z275" s="53" t="str">
        <f t="shared" si="40"/>
        <v/>
      </c>
      <c r="AA275" s="54" t="str">
        <f t="shared" si="40"/>
        <v/>
      </c>
      <c r="AB275" s="54" t="str">
        <f t="shared" si="40"/>
        <v/>
      </c>
      <c r="AC275" s="54" t="str">
        <f t="shared" si="40"/>
        <v/>
      </c>
      <c r="AD275" s="54" t="str">
        <f t="shared" si="40"/>
        <v/>
      </c>
      <c r="AE275" s="54" t="str">
        <f t="shared" si="40"/>
        <v/>
      </c>
      <c r="AF275" s="55" t="str">
        <f t="shared" si="40"/>
        <v/>
      </c>
    </row>
    <row r="276" spans="1:32" x14ac:dyDescent="0.25">
      <c r="A276" s="103">
        <v>0.5</v>
      </c>
      <c r="B276" s="10">
        <v>0.52083333333333337</v>
      </c>
      <c r="C276" s="35" t="e">
        <f t="shared" ref="C276:I276" si="63">AVERAGEIF($C$2:$AG$2,C$251,$C225:$AG225)</f>
        <v>#DIV/0!</v>
      </c>
      <c r="D276" s="8" t="e">
        <f t="shared" si="63"/>
        <v>#DIV/0!</v>
      </c>
      <c r="E276" s="8" t="e">
        <f t="shared" si="63"/>
        <v>#DIV/0!</v>
      </c>
      <c r="F276" s="8" t="e">
        <f t="shared" si="63"/>
        <v>#DIV/0!</v>
      </c>
      <c r="G276" s="8" t="e">
        <f t="shared" si="63"/>
        <v>#DIV/0!</v>
      </c>
      <c r="H276" s="8" t="e">
        <f t="shared" si="63"/>
        <v>#DIV/0!</v>
      </c>
      <c r="I276" s="36" t="e">
        <f t="shared" si="63"/>
        <v>#DIV/0!</v>
      </c>
      <c r="J276" s="53" t="e">
        <f t="shared" si="39"/>
        <v>#DIV/0!</v>
      </c>
      <c r="K276" s="54" t="e">
        <f t="shared" si="39"/>
        <v>#DIV/0!</v>
      </c>
      <c r="L276" s="54" t="e">
        <f t="shared" si="39"/>
        <v>#DIV/0!</v>
      </c>
      <c r="M276" s="54" t="e">
        <f t="shared" si="39"/>
        <v>#DIV/0!</v>
      </c>
      <c r="N276" s="54" t="e">
        <f t="shared" si="39"/>
        <v>#DIV/0!</v>
      </c>
      <c r="O276" s="54" t="e">
        <f t="shared" si="39"/>
        <v>#DIV/0!</v>
      </c>
      <c r="P276" s="55" t="e">
        <f t="shared" si="39"/>
        <v>#DIV/0!</v>
      </c>
      <c r="Q276"/>
      <c r="R276" s="53">
        <f>SUM('Распределение по графикам'!C28:AR28)</f>
        <v>0</v>
      </c>
      <c r="S276" s="54">
        <f>SUM('Распределение по графикам'!C79:AR79)</f>
        <v>0</v>
      </c>
      <c r="T276" s="54">
        <f>SUM('Распределение по графикам'!C130:AR130)</f>
        <v>0</v>
      </c>
      <c r="U276" s="54">
        <f>SUM('Распределение по графикам'!C181:AR181)</f>
        <v>0</v>
      </c>
      <c r="V276" s="54">
        <f>SUM('Распределение по графикам'!C232:AR232)</f>
        <v>0</v>
      </c>
      <c r="W276" s="54">
        <f>SUM('Распределение по графикам'!C283:AR283)</f>
        <v>0</v>
      </c>
      <c r="X276" s="55">
        <f>SUM('Распределение по графикам'!C334:AR334)</f>
        <v>0</v>
      </c>
      <c r="Z276" s="53" t="str">
        <f t="shared" si="40"/>
        <v/>
      </c>
      <c r="AA276" s="54" t="str">
        <f t="shared" si="40"/>
        <v/>
      </c>
      <c r="AB276" s="54" t="str">
        <f t="shared" si="40"/>
        <v/>
      </c>
      <c r="AC276" s="54" t="str">
        <f t="shared" si="40"/>
        <v/>
      </c>
      <c r="AD276" s="54" t="str">
        <f t="shared" si="40"/>
        <v/>
      </c>
      <c r="AE276" s="54" t="str">
        <f t="shared" si="40"/>
        <v/>
      </c>
      <c r="AF276" s="55" t="str">
        <f t="shared" si="40"/>
        <v/>
      </c>
    </row>
    <row r="277" spans="1:32" x14ac:dyDescent="0.25">
      <c r="A277" s="103">
        <v>0.52083333333333337</v>
      </c>
      <c r="B277" s="10">
        <v>0.54166666666666663</v>
      </c>
      <c r="C277" s="35" t="e">
        <f t="shared" ref="C277:I277" si="64">AVERAGEIF($C$2:$AG$2,C$251,$C226:$AG226)</f>
        <v>#DIV/0!</v>
      </c>
      <c r="D277" s="8" t="e">
        <f t="shared" si="64"/>
        <v>#DIV/0!</v>
      </c>
      <c r="E277" s="8" t="e">
        <f t="shared" si="64"/>
        <v>#DIV/0!</v>
      </c>
      <c r="F277" s="8" t="e">
        <f t="shared" si="64"/>
        <v>#DIV/0!</v>
      </c>
      <c r="G277" s="8" t="e">
        <f t="shared" si="64"/>
        <v>#DIV/0!</v>
      </c>
      <c r="H277" s="8" t="e">
        <f t="shared" si="64"/>
        <v>#DIV/0!</v>
      </c>
      <c r="I277" s="36" t="e">
        <f t="shared" si="64"/>
        <v>#DIV/0!</v>
      </c>
      <c r="J277" s="53" t="e">
        <f t="shared" si="39"/>
        <v>#DIV/0!</v>
      </c>
      <c r="K277" s="54" t="e">
        <f t="shared" si="39"/>
        <v>#DIV/0!</v>
      </c>
      <c r="L277" s="54" t="e">
        <f t="shared" si="39"/>
        <v>#DIV/0!</v>
      </c>
      <c r="M277" s="54" t="e">
        <f t="shared" si="39"/>
        <v>#DIV/0!</v>
      </c>
      <c r="N277" s="54" t="e">
        <f t="shared" si="39"/>
        <v>#DIV/0!</v>
      </c>
      <c r="O277" s="54" t="e">
        <f t="shared" si="39"/>
        <v>#DIV/0!</v>
      </c>
      <c r="P277" s="55" t="e">
        <f t="shared" si="39"/>
        <v>#DIV/0!</v>
      </c>
      <c r="Q277"/>
      <c r="R277" s="53">
        <f>SUM('Распределение по графикам'!C29:AR29)</f>
        <v>0</v>
      </c>
      <c r="S277" s="54">
        <f>SUM('Распределение по графикам'!C80:AR80)</f>
        <v>0</v>
      </c>
      <c r="T277" s="54">
        <f>SUM('Распределение по графикам'!C131:AR131)</f>
        <v>0</v>
      </c>
      <c r="U277" s="54">
        <f>SUM('Распределение по графикам'!C182:AR182)</f>
        <v>0</v>
      </c>
      <c r="V277" s="54">
        <f>SUM('Распределение по графикам'!C233:AR233)</f>
        <v>0</v>
      </c>
      <c r="W277" s="54">
        <f>SUM('Распределение по графикам'!C284:AR284)</f>
        <v>0</v>
      </c>
      <c r="X277" s="55">
        <f>SUM('Распределение по графикам'!C335:AR335)</f>
        <v>0</v>
      </c>
      <c r="Z277" s="53" t="str">
        <f t="shared" si="40"/>
        <v/>
      </c>
      <c r="AA277" s="54" t="str">
        <f t="shared" si="40"/>
        <v/>
      </c>
      <c r="AB277" s="54" t="str">
        <f t="shared" si="40"/>
        <v/>
      </c>
      <c r="AC277" s="54" t="str">
        <f t="shared" si="40"/>
        <v/>
      </c>
      <c r="AD277" s="54" t="str">
        <f t="shared" si="40"/>
        <v/>
      </c>
      <c r="AE277" s="54" t="str">
        <f t="shared" si="40"/>
        <v/>
      </c>
      <c r="AF277" s="55" t="str">
        <f t="shared" si="40"/>
        <v/>
      </c>
    </row>
    <row r="278" spans="1:32" x14ac:dyDescent="0.25">
      <c r="A278" s="103">
        <v>0.54166666666666663</v>
      </c>
      <c r="B278" s="10">
        <v>0.5625</v>
      </c>
      <c r="C278" s="35" t="e">
        <f t="shared" ref="C278:I278" si="65">AVERAGEIF($C$2:$AG$2,C$251,$C227:$AG227)</f>
        <v>#DIV/0!</v>
      </c>
      <c r="D278" s="8" t="e">
        <f t="shared" si="65"/>
        <v>#DIV/0!</v>
      </c>
      <c r="E278" s="8" t="e">
        <f t="shared" si="65"/>
        <v>#DIV/0!</v>
      </c>
      <c r="F278" s="8" t="e">
        <f t="shared" si="65"/>
        <v>#DIV/0!</v>
      </c>
      <c r="G278" s="8" t="e">
        <f t="shared" si="65"/>
        <v>#DIV/0!</v>
      </c>
      <c r="H278" s="8" t="e">
        <f t="shared" si="65"/>
        <v>#DIV/0!</v>
      </c>
      <c r="I278" s="36" t="e">
        <f t="shared" si="65"/>
        <v>#DIV/0!</v>
      </c>
      <c r="J278" s="53" t="e">
        <f t="shared" si="39"/>
        <v>#DIV/0!</v>
      </c>
      <c r="K278" s="54" t="e">
        <f t="shared" si="39"/>
        <v>#DIV/0!</v>
      </c>
      <c r="L278" s="54" t="e">
        <f t="shared" si="39"/>
        <v>#DIV/0!</v>
      </c>
      <c r="M278" s="54" t="e">
        <f t="shared" si="39"/>
        <v>#DIV/0!</v>
      </c>
      <c r="N278" s="54" t="e">
        <f t="shared" si="39"/>
        <v>#DIV/0!</v>
      </c>
      <c r="O278" s="54" t="e">
        <f t="shared" si="39"/>
        <v>#DIV/0!</v>
      </c>
      <c r="P278" s="55" t="e">
        <f t="shared" si="39"/>
        <v>#DIV/0!</v>
      </c>
      <c r="Q278"/>
      <c r="R278" s="53">
        <f>SUM('Распределение по графикам'!C30:AR30)</f>
        <v>0</v>
      </c>
      <c r="S278" s="54">
        <f>SUM('Распределение по графикам'!C81:AR81)</f>
        <v>0</v>
      </c>
      <c r="T278" s="54">
        <f>SUM('Распределение по графикам'!C132:AR132)</f>
        <v>0</v>
      </c>
      <c r="U278" s="54">
        <f>SUM('Распределение по графикам'!C183:AR183)</f>
        <v>0</v>
      </c>
      <c r="V278" s="54">
        <f>SUM('Распределение по графикам'!C234:AR234)</f>
        <v>0</v>
      </c>
      <c r="W278" s="54">
        <f>SUM('Распределение по графикам'!C285:AR285)</f>
        <v>0</v>
      </c>
      <c r="X278" s="55">
        <f>SUM('Распределение по графикам'!C336:AR336)</f>
        <v>0</v>
      </c>
      <c r="Z278" s="53" t="str">
        <f t="shared" si="40"/>
        <v/>
      </c>
      <c r="AA278" s="54" t="str">
        <f t="shared" si="40"/>
        <v/>
      </c>
      <c r="AB278" s="54" t="str">
        <f t="shared" si="40"/>
        <v/>
      </c>
      <c r="AC278" s="54" t="str">
        <f t="shared" si="40"/>
        <v/>
      </c>
      <c r="AD278" s="54" t="str">
        <f t="shared" si="40"/>
        <v/>
      </c>
      <c r="AE278" s="54" t="str">
        <f t="shared" si="40"/>
        <v/>
      </c>
      <c r="AF278" s="55" t="str">
        <f t="shared" si="40"/>
        <v/>
      </c>
    </row>
    <row r="279" spans="1:32" x14ac:dyDescent="0.25">
      <c r="A279" s="103">
        <v>0.5625</v>
      </c>
      <c r="B279" s="10">
        <v>0.58333333333333337</v>
      </c>
      <c r="C279" s="35" t="e">
        <f t="shared" ref="C279:I279" si="66">AVERAGEIF($C$2:$AG$2,C$251,$C228:$AG228)</f>
        <v>#DIV/0!</v>
      </c>
      <c r="D279" s="8" t="e">
        <f t="shared" si="66"/>
        <v>#DIV/0!</v>
      </c>
      <c r="E279" s="8" t="e">
        <f t="shared" si="66"/>
        <v>#DIV/0!</v>
      </c>
      <c r="F279" s="8" t="e">
        <f t="shared" si="66"/>
        <v>#DIV/0!</v>
      </c>
      <c r="G279" s="8" t="e">
        <f t="shared" si="66"/>
        <v>#DIV/0!</v>
      </c>
      <c r="H279" s="8" t="e">
        <f t="shared" si="66"/>
        <v>#DIV/0!</v>
      </c>
      <c r="I279" s="36" t="e">
        <f t="shared" si="66"/>
        <v>#DIV/0!</v>
      </c>
      <c r="J279" s="53" t="e">
        <f t="shared" si="39"/>
        <v>#DIV/0!</v>
      </c>
      <c r="K279" s="54" t="e">
        <f t="shared" si="39"/>
        <v>#DIV/0!</v>
      </c>
      <c r="L279" s="54" t="e">
        <f t="shared" si="39"/>
        <v>#DIV/0!</v>
      </c>
      <c r="M279" s="54" t="e">
        <f t="shared" si="39"/>
        <v>#DIV/0!</v>
      </c>
      <c r="N279" s="54" t="e">
        <f t="shared" si="39"/>
        <v>#DIV/0!</v>
      </c>
      <c r="O279" s="54" t="e">
        <f t="shared" si="39"/>
        <v>#DIV/0!</v>
      </c>
      <c r="P279" s="55" t="e">
        <f t="shared" si="39"/>
        <v>#DIV/0!</v>
      </c>
      <c r="Q279"/>
      <c r="R279" s="53">
        <f>SUM('Распределение по графикам'!C31:AR31)</f>
        <v>0</v>
      </c>
      <c r="S279" s="54">
        <f>SUM('Распределение по графикам'!C82:AR82)</f>
        <v>0</v>
      </c>
      <c r="T279" s="54">
        <f>SUM('Распределение по графикам'!C133:AR133)</f>
        <v>0</v>
      </c>
      <c r="U279" s="54">
        <f>SUM('Распределение по графикам'!C184:AR184)</f>
        <v>0</v>
      </c>
      <c r="V279" s="54">
        <f>SUM('Распределение по графикам'!C235:AR235)</f>
        <v>0</v>
      </c>
      <c r="W279" s="54">
        <f>SUM('Распределение по графикам'!C286:AR286)</f>
        <v>0</v>
      </c>
      <c r="X279" s="55">
        <f>SUM('Распределение по графикам'!C337:AR337)</f>
        <v>0</v>
      </c>
      <c r="Z279" s="53" t="str">
        <f t="shared" si="40"/>
        <v/>
      </c>
      <c r="AA279" s="54" t="str">
        <f t="shared" si="40"/>
        <v/>
      </c>
      <c r="AB279" s="54" t="str">
        <f t="shared" si="40"/>
        <v/>
      </c>
      <c r="AC279" s="54" t="str">
        <f t="shared" si="40"/>
        <v/>
      </c>
      <c r="AD279" s="54" t="str">
        <f t="shared" si="40"/>
        <v/>
      </c>
      <c r="AE279" s="54" t="str">
        <f t="shared" si="40"/>
        <v/>
      </c>
      <c r="AF279" s="55" t="str">
        <f t="shared" si="40"/>
        <v/>
      </c>
    </row>
    <row r="280" spans="1:32" x14ac:dyDescent="0.25">
      <c r="A280" s="103">
        <v>0.58333333333333337</v>
      </c>
      <c r="B280" s="10">
        <v>0.60416666666666663</v>
      </c>
      <c r="C280" s="35" t="e">
        <f t="shared" ref="C280:I280" si="67">AVERAGEIF($C$2:$AG$2,C$251,$C229:$AG229)</f>
        <v>#DIV/0!</v>
      </c>
      <c r="D280" s="8" t="e">
        <f t="shared" si="67"/>
        <v>#DIV/0!</v>
      </c>
      <c r="E280" s="8" t="e">
        <f t="shared" si="67"/>
        <v>#DIV/0!</v>
      </c>
      <c r="F280" s="8" t="e">
        <f t="shared" si="67"/>
        <v>#DIV/0!</v>
      </c>
      <c r="G280" s="8" t="e">
        <f t="shared" si="67"/>
        <v>#DIV/0!</v>
      </c>
      <c r="H280" s="8" t="e">
        <f t="shared" si="67"/>
        <v>#DIV/0!</v>
      </c>
      <c r="I280" s="36" t="e">
        <f t="shared" si="67"/>
        <v>#DIV/0!</v>
      </c>
      <c r="J280" s="53" t="e">
        <f t="shared" si="39"/>
        <v>#DIV/0!</v>
      </c>
      <c r="K280" s="54" t="e">
        <f t="shared" si="39"/>
        <v>#DIV/0!</v>
      </c>
      <c r="L280" s="54" t="e">
        <f t="shared" si="39"/>
        <v>#DIV/0!</v>
      </c>
      <c r="M280" s="54" t="e">
        <f t="shared" si="39"/>
        <v>#DIV/0!</v>
      </c>
      <c r="N280" s="54" t="e">
        <f t="shared" si="39"/>
        <v>#DIV/0!</v>
      </c>
      <c r="O280" s="54" t="e">
        <f t="shared" si="39"/>
        <v>#DIV/0!</v>
      </c>
      <c r="P280" s="55" t="e">
        <f t="shared" si="39"/>
        <v>#DIV/0!</v>
      </c>
      <c r="Q280"/>
      <c r="R280" s="53">
        <f>SUM('Распределение по графикам'!C32:AR32)</f>
        <v>0</v>
      </c>
      <c r="S280" s="54">
        <f>SUM('Распределение по графикам'!C83:AR83)</f>
        <v>0</v>
      </c>
      <c r="T280" s="54">
        <f>SUM('Распределение по графикам'!C134:AR134)</f>
        <v>0</v>
      </c>
      <c r="U280" s="54">
        <f>SUM('Распределение по графикам'!C185:AR185)</f>
        <v>0</v>
      </c>
      <c r="V280" s="54">
        <f>SUM('Распределение по графикам'!C236:AR236)</f>
        <v>0</v>
      </c>
      <c r="W280" s="54">
        <f>SUM('Распределение по графикам'!C287:AR287)</f>
        <v>0</v>
      </c>
      <c r="X280" s="55">
        <f>SUM('Распределение по графикам'!C338:AR338)</f>
        <v>0</v>
      </c>
      <c r="Z280" s="53" t="str">
        <f t="shared" si="40"/>
        <v/>
      </c>
      <c r="AA280" s="54" t="str">
        <f t="shared" si="40"/>
        <v/>
      </c>
      <c r="AB280" s="54" t="str">
        <f t="shared" si="40"/>
        <v/>
      </c>
      <c r="AC280" s="54" t="str">
        <f t="shared" si="40"/>
        <v/>
      </c>
      <c r="AD280" s="54" t="str">
        <f t="shared" si="40"/>
        <v/>
      </c>
      <c r="AE280" s="54" t="str">
        <f t="shared" si="40"/>
        <v/>
      </c>
      <c r="AF280" s="55" t="str">
        <f t="shared" si="40"/>
        <v/>
      </c>
    </row>
    <row r="281" spans="1:32" x14ac:dyDescent="0.25">
      <c r="A281" s="103">
        <v>0.60416666666666663</v>
      </c>
      <c r="B281" s="10">
        <v>0.625</v>
      </c>
      <c r="C281" s="35" t="e">
        <f t="shared" ref="C281:I281" si="68">AVERAGEIF($C$2:$AG$2,C$251,$C230:$AG230)</f>
        <v>#DIV/0!</v>
      </c>
      <c r="D281" s="8" t="e">
        <f t="shared" si="68"/>
        <v>#DIV/0!</v>
      </c>
      <c r="E281" s="8" t="e">
        <f t="shared" si="68"/>
        <v>#DIV/0!</v>
      </c>
      <c r="F281" s="8" t="e">
        <f t="shared" si="68"/>
        <v>#DIV/0!</v>
      </c>
      <c r="G281" s="8" t="e">
        <f t="shared" si="68"/>
        <v>#DIV/0!</v>
      </c>
      <c r="H281" s="8" t="e">
        <f t="shared" si="68"/>
        <v>#DIV/0!</v>
      </c>
      <c r="I281" s="36" t="e">
        <f t="shared" si="68"/>
        <v>#DIV/0!</v>
      </c>
      <c r="J281" s="53" t="e">
        <f t="shared" si="39"/>
        <v>#DIV/0!</v>
      </c>
      <c r="K281" s="54" t="e">
        <f t="shared" si="39"/>
        <v>#DIV/0!</v>
      </c>
      <c r="L281" s="54" t="e">
        <f t="shared" si="39"/>
        <v>#DIV/0!</v>
      </c>
      <c r="M281" s="54" t="e">
        <f t="shared" si="39"/>
        <v>#DIV/0!</v>
      </c>
      <c r="N281" s="54" t="e">
        <f t="shared" si="39"/>
        <v>#DIV/0!</v>
      </c>
      <c r="O281" s="54" t="e">
        <f t="shared" si="39"/>
        <v>#DIV/0!</v>
      </c>
      <c r="P281" s="55" t="e">
        <f t="shared" si="39"/>
        <v>#DIV/0!</v>
      </c>
      <c r="Q281"/>
      <c r="R281" s="53">
        <f>SUM('Распределение по графикам'!C33:AR33)</f>
        <v>0</v>
      </c>
      <c r="S281" s="54">
        <f>SUM('Распределение по графикам'!C84:AR84)</f>
        <v>0</v>
      </c>
      <c r="T281" s="54">
        <f>SUM('Распределение по графикам'!C135:AR135)</f>
        <v>0</v>
      </c>
      <c r="U281" s="54">
        <f>SUM('Распределение по графикам'!C186:AR186)</f>
        <v>0</v>
      </c>
      <c r="V281" s="54">
        <f>SUM('Распределение по графикам'!C237:AR237)</f>
        <v>0</v>
      </c>
      <c r="W281" s="54">
        <f>SUM('Распределение по графикам'!C288:AR288)</f>
        <v>0</v>
      </c>
      <c r="X281" s="55">
        <f>SUM('Распределение по графикам'!C339:AR339)</f>
        <v>0</v>
      </c>
      <c r="Z281" s="53" t="str">
        <f t="shared" si="40"/>
        <v/>
      </c>
      <c r="AA281" s="54" t="str">
        <f t="shared" si="40"/>
        <v/>
      </c>
      <c r="AB281" s="54" t="str">
        <f t="shared" si="40"/>
        <v/>
      </c>
      <c r="AC281" s="54" t="str">
        <f t="shared" si="40"/>
        <v/>
      </c>
      <c r="AD281" s="54" t="str">
        <f t="shared" si="40"/>
        <v/>
      </c>
      <c r="AE281" s="54" t="str">
        <f t="shared" si="40"/>
        <v/>
      </c>
      <c r="AF281" s="55" t="str">
        <f t="shared" si="40"/>
        <v/>
      </c>
    </row>
    <row r="282" spans="1:32" x14ac:dyDescent="0.25">
      <c r="A282" s="103">
        <v>0.625</v>
      </c>
      <c r="B282" s="10">
        <v>0.64583333333333337</v>
      </c>
      <c r="C282" s="35" t="e">
        <f t="shared" ref="C282:I282" si="69">AVERAGEIF($C$2:$AG$2,C$251,$C231:$AG231)</f>
        <v>#DIV/0!</v>
      </c>
      <c r="D282" s="8" t="e">
        <f t="shared" si="69"/>
        <v>#DIV/0!</v>
      </c>
      <c r="E282" s="8" t="e">
        <f t="shared" si="69"/>
        <v>#DIV/0!</v>
      </c>
      <c r="F282" s="8" t="e">
        <f t="shared" si="69"/>
        <v>#DIV/0!</v>
      </c>
      <c r="G282" s="8" t="e">
        <f t="shared" si="69"/>
        <v>#DIV/0!</v>
      </c>
      <c r="H282" s="8" t="e">
        <f t="shared" si="69"/>
        <v>#DIV/0!</v>
      </c>
      <c r="I282" s="36" t="e">
        <f t="shared" si="69"/>
        <v>#DIV/0!</v>
      </c>
      <c r="J282" s="53" t="e">
        <f t="shared" si="39"/>
        <v>#DIV/0!</v>
      </c>
      <c r="K282" s="54" t="e">
        <f t="shared" si="39"/>
        <v>#DIV/0!</v>
      </c>
      <c r="L282" s="54" t="e">
        <f t="shared" si="39"/>
        <v>#DIV/0!</v>
      </c>
      <c r="M282" s="54" t="e">
        <f t="shared" si="39"/>
        <v>#DIV/0!</v>
      </c>
      <c r="N282" s="54" t="e">
        <f t="shared" si="39"/>
        <v>#DIV/0!</v>
      </c>
      <c r="O282" s="54" t="e">
        <f t="shared" si="39"/>
        <v>#DIV/0!</v>
      </c>
      <c r="P282" s="55" t="e">
        <f t="shared" si="39"/>
        <v>#DIV/0!</v>
      </c>
      <c r="Q282"/>
      <c r="R282" s="53">
        <f>SUM('Распределение по графикам'!C34:AR34)</f>
        <v>0</v>
      </c>
      <c r="S282" s="54">
        <f>SUM('Распределение по графикам'!C85:AR85)</f>
        <v>0</v>
      </c>
      <c r="T282" s="54">
        <f>SUM('Распределение по графикам'!C136:AR136)</f>
        <v>0</v>
      </c>
      <c r="U282" s="54">
        <f>SUM('Распределение по графикам'!C187:AR187)</f>
        <v>0</v>
      </c>
      <c r="V282" s="54">
        <f>SUM('Распределение по графикам'!C238:AR238)</f>
        <v>0</v>
      </c>
      <c r="W282" s="54">
        <f>SUM('Распределение по графикам'!C289:AR289)</f>
        <v>0</v>
      </c>
      <c r="X282" s="55">
        <f>SUM('Распределение по графикам'!C340:AR340)</f>
        <v>0</v>
      </c>
      <c r="Z282" s="53" t="str">
        <f t="shared" si="40"/>
        <v/>
      </c>
      <c r="AA282" s="54" t="str">
        <f t="shared" si="40"/>
        <v/>
      </c>
      <c r="AB282" s="54" t="str">
        <f t="shared" si="40"/>
        <v/>
      </c>
      <c r="AC282" s="54" t="str">
        <f t="shared" si="40"/>
        <v/>
      </c>
      <c r="AD282" s="54" t="str">
        <f t="shared" si="40"/>
        <v/>
      </c>
      <c r="AE282" s="54" t="str">
        <f t="shared" si="40"/>
        <v/>
      </c>
      <c r="AF282" s="55" t="str">
        <f t="shared" si="40"/>
        <v/>
      </c>
    </row>
    <row r="283" spans="1:32" x14ac:dyDescent="0.25">
      <c r="A283" s="103">
        <v>0.64583333333333337</v>
      </c>
      <c r="B283" s="10">
        <v>0.66666666666666663</v>
      </c>
      <c r="C283" s="35" t="e">
        <f t="shared" ref="C283:I283" si="70">AVERAGEIF($C$2:$AG$2,C$251,$C232:$AG232)</f>
        <v>#DIV/0!</v>
      </c>
      <c r="D283" s="8" t="e">
        <f t="shared" si="70"/>
        <v>#DIV/0!</v>
      </c>
      <c r="E283" s="8" t="e">
        <f t="shared" si="70"/>
        <v>#DIV/0!</v>
      </c>
      <c r="F283" s="8" t="e">
        <f t="shared" si="70"/>
        <v>#DIV/0!</v>
      </c>
      <c r="G283" s="8" t="e">
        <f t="shared" si="70"/>
        <v>#DIV/0!</v>
      </c>
      <c r="H283" s="8" t="e">
        <f t="shared" si="70"/>
        <v>#DIV/0!</v>
      </c>
      <c r="I283" s="36" t="e">
        <f t="shared" si="70"/>
        <v>#DIV/0!</v>
      </c>
      <c r="J283" s="53" t="e">
        <f t="shared" si="39"/>
        <v>#DIV/0!</v>
      </c>
      <c r="K283" s="54" t="e">
        <f t="shared" si="39"/>
        <v>#DIV/0!</v>
      </c>
      <c r="L283" s="54" t="e">
        <f t="shared" si="39"/>
        <v>#DIV/0!</v>
      </c>
      <c r="M283" s="54" t="e">
        <f t="shared" si="39"/>
        <v>#DIV/0!</v>
      </c>
      <c r="N283" s="54" t="e">
        <f t="shared" si="39"/>
        <v>#DIV/0!</v>
      </c>
      <c r="O283" s="54" t="e">
        <f t="shared" si="39"/>
        <v>#DIV/0!</v>
      </c>
      <c r="P283" s="55" t="e">
        <f t="shared" si="39"/>
        <v>#DIV/0!</v>
      </c>
      <c r="Q283"/>
      <c r="R283" s="53">
        <f>SUM('Распределение по графикам'!C35:AR35)</f>
        <v>0</v>
      </c>
      <c r="S283" s="54">
        <f>SUM('Распределение по графикам'!C86:AR86)</f>
        <v>0</v>
      </c>
      <c r="T283" s="54">
        <f>SUM('Распределение по графикам'!C137:AR137)</f>
        <v>0</v>
      </c>
      <c r="U283" s="54">
        <f>SUM('Распределение по графикам'!C188:AR188)</f>
        <v>0</v>
      </c>
      <c r="V283" s="54">
        <f>SUM('Распределение по графикам'!C239:AR239)</f>
        <v>0</v>
      </c>
      <c r="W283" s="54">
        <f>SUM('Распределение по графикам'!C290:AR290)</f>
        <v>0</v>
      </c>
      <c r="X283" s="55">
        <f>SUM('Распределение по графикам'!C341:AR341)</f>
        <v>0</v>
      </c>
      <c r="Z283" s="53" t="str">
        <f t="shared" si="40"/>
        <v/>
      </c>
      <c r="AA283" s="54" t="str">
        <f t="shared" si="40"/>
        <v/>
      </c>
      <c r="AB283" s="54" t="str">
        <f t="shared" si="40"/>
        <v/>
      </c>
      <c r="AC283" s="54" t="str">
        <f t="shared" si="40"/>
        <v/>
      </c>
      <c r="AD283" s="54" t="str">
        <f t="shared" si="40"/>
        <v/>
      </c>
      <c r="AE283" s="54" t="str">
        <f t="shared" si="40"/>
        <v/>
      </c>
      <c r="AF283" s="55" t="str">
        <f t="shared" si="40"/>
        <v/>
      </c>
    </row>
    <row r="284" spans="1:32" x14ac:dyDescent="0.25">
      <c r="A284" s="103">
        <v>0.66666666666666663</v>
      </c>
      <c r="B284" s="10">
        <v>0.6875</v>
      </c>
      <c r="C284" s="35" t="e">
        <f t="shared" ref="C284:I284" si="71">AVERAGEIF($C$2:$AG$2,C$251,$C233:$AG233)</f>
        <v>#DIV/0!</v>
      </c>
      <c r="D284" s="8" t="e">
        <f t="shared" si="71"/>
        <v>#DIV/0!</v>
      </c>
      <c r="E284" s="8" t="e">
        <f t="shared" si="71"/>
        <v>#DIV/0!</v>
      </c>
      <c r="F284" s="8" t="e">
        <f t="shared" si="71"/>
        <v>#DIV/0!</v>
      </c>
      <c r="G284" s="8" t="e">
        <f t="shared" si="71"/>
        <v>#DIV/0!</v>
      </c>
      <c r="H284" s="8" t="e">
        <f t="shared" si="71"/>
        <v>#DIV/0!</v>
      </c>
      <c r="I284" s="36" t="e">
        <f t="shared" si="71"/>
        <v>#DIV/0!</v>
      </c>
      <c r="J284" s="53" t="e">
        <f t="shared" si="39"/>
        <v>#DIV/0!</v>
      </c>
      <c r="K284" s="54" t="e">
        <f t="shared" si="39"/>
        <v>#DIV/0!</v>
      </c>
      <c r="L284" s="54" t="e">
        <f t="shared" si="39"/>
        <v>#DIV/0!</v>
      </c>
      <c r="M284" s="54" t="e">
        <f t="shared" si="39"/>
        <v>#DIV/0!</v>
      </c>
      <c r="N284" s="54" t="e">
        <f t="shared" si="39"/>
        <v>#DIV/0!</v>
      </c>
      <c r="O284" s="54" t="e">
        <f t="shared" si="39"/>
        <v>#DIV/0!</v>
      </c>
      <c r="P284" s="55" t="e">
        <f t="shared" si="39"/>
        <v>#DIV/0!</v>
      </c>
      <c r="Q284"/>
      <c r="R284" s="53">
        <f>SUM('Распределение по графикам'!C36:AR36)</f>
        <v>0</v>
      </c>
      <c r="S284" s="54">
        <f>SUM('Распределение по графикам'!C87:AR87)</f>
        <v>0</v>
      </c>
      <c r="T284" s="54">
        <f>SUM('Распределение по графикам'!C138:AR138)</f>
        <v>0</v>
      </c>
      <c r="U284" s="54">
        <f>SUM('Распределение по графикам'!C189:AR189)</f>
        <v>0</v>
      </c>
      <c r="V284" s="54">
        <f>SUM('Распределение по графикам'!C240:AR240)</f>
        <v>0</v>
      </c>
      <c r="W284" s="54">
        <f>SUM('Распределение по графикам'!C291:AR291)</f>
        <v>0</v>
      </c>
      <c r="X284" s="55">
        <f>SUM('Распределение по графикам'!C342:AR342)</f>
        <v>0</v>
      </c>
      <c r="Z284" s="53" t="str">
        <f t="shared" si="40"/>
        <v/>
      </c>
      <c r="AA284" s="54" t="str">
        <f t="shared" si="40"/>
        <v/>
      </c>
      <c r="AB284" s="54" t="str">
        <f t="shared" si="40"/>
        <v/>
      </c>
      <c r="AC284" s="54" t="str">
        <f t="shared" si="40"/>
        <v/>
      </c>
      <c r="AD284" s="54" t="str">
        <f t="shared" si="40"/>
        <v/>
      </c>
      <c r="AE284" s="54" t="str">
        <f t="shared" si="40"/>
        <v/>
      </c>
      <c r="AF284" s="55" t="str">
        <f t="shared" si="40"/>
        <v/>
      </c>
    </row>
    <row r="285" spans="1:32" x14ac:dyDescent="0.25">
      <c r="A285" s="103">
        <v>0.6875</v>
      </c>
      <c r="B285" s="10">
        <v>0.70833333333333337</v>
      </c>
      <c r="C285" s="35" t="e">
        <f t="shared" ref="C285:I285" si="72">AVERAGEIF($C$2:$AG$2,C$251,$C234:$AG234)</f>
        <v>#DIV/0!</v>
      </c>
      <c r="D285" s="8" t="e">
        <f t="shared" si="72"/>
        <v>#DIV/0!</v>
      </c>
      <c r="E285" s="8" t="e">
        <f t="shared" si="72"/>
        <v>#DIV/0!</v>
      </c>
      <c r="F285" s="8" t="e">
        <f t="shared" si="72"/>
        <v>#DIV/0!</v>
      </c>
      <c r="G285" s="8" t="e">
        <f t="shared" si="72"/>
        <v>#DIV/0!</v>
      </c>
      <c r="H285" s="8" t="e">
        <f t="shared" si="72"/>
        <v>#DIV/0!</v>
      </c>
      <c r="I285" s="36" t="e">
        <f t="shared" si="72"/>
        <v>#DIV/0!</v>
      </c>
      <c r="J285" s="53" t="e">
        <f t="shared" si="39"/>
        <v>#DIV/0!</v>
      </c>
      <c r="K285" s="54" t="e">
        <f t="shared" si="39"/>
        <v>#DIV/0!</v>
      </c>
      <c r="L285" s="54" t="e">
        <f t="shared" si="39"/>
        <v>#DIV/0!</v>
      </c>
      <c r="M285" s="54" t="e">
        <f t="shared" si="39"/>
        <v>#DIV/0!</v>
      </c>
      <c r="N285" s="54" t="e">
        <f t="shared" si="39"/>
        <v>#DIV/0!</v>
      </c>
      <c r="O285" s="54" t="e">
        <f t="shared" si="39"/>
        <v>#DIV/0!</v>
      </c>
      <c r="P285" s="55" t="e">
        <f t="shared" si="39"/>
        <v>#DIV/0!</v>
      </c>
      <c r="Q285"/>
      <c r="R285" s="53">
        <f>SUM('Распределение по графикам'!C37:AR37)</f>
        <v>0</v>
      </c>
      <c r="S285" s="54">
        <f>SUM('Распределение по графикам'!C88:AR88)</f>
        <v>0</v>
      </c>
      <c r="T285" s="54">
        <f>SUM('Распределение по графикам'!C139:AR139)</f>
        <v>0</v>
      </c>
      <c r="U285" s="54">
        <f>SUM('Распределение по графикам'!C190:AR190)</f>
        <v>0</v>
      </c>
      <c r="V285" s="54">
        <f>SUM('Распределение по графикам'!C241:AR241)</f>
        <v>0</v>
      </c>
      <c r="W285" s="54">
        <f>SUM('Распределение по графикам'!C292:AR292)</f>
        <v>0</v>
      </c>
      <c r="X285" s="55">
        <f>SUM('Распределение по графикам'!C343:AR343)</f>
        <v>0</v>
      </c>
      <c r="Z285" s="53" t="str">
        <f t="shared" si="40"/>
        <v/>
      </c>
      <c r="AA285" s="54" t="str">
        <f t="shared" si="40"/>
        <v/>
      </c>
      <c r="AB285" s="54" t="str">
        <f t="shared" si="40"/>
        <v/>
      </c>
      <c r="AC285" s="54" t="str">
        <f t="shared" si="40"/>
        <v/>
      </c>
      <c r="AD285" s="54" t="str">
        <f t="shared" si="40"/>
        <v/>
      </c>
      <c r="AE285" s="54" t="str">
        <f t="shared" si="40"/>
        <v/>
      </c>
      <c r="AF285" s="55" t="str">
        <f t="shared" si="40"/>
        <v/>
      </c>
    </row>
    <row r="286" spans="1:32" x14ac:dyDescent="0.25">
      <c r="A286" s="103">
        <v>0.70833333333333337</v>
      </c>
      <c r="B286" s="10">
        <v>0.72916666666666663</v>
      </c>
      <c r="C286" s="35" t="e">
        <f t="shared" ref="C286:I286" si="73">AVERAGEIF($C$2:$AG$2,C$251,$C235:$AG235)</f>
        <v>#DIV/0!</v>
      </c>
      <c r="D286" s="8" t="e">
        <f t="shared" si="73"/>
        <v>#DIV/0!</v>
      </c>
      <c r="E286" s="8" t="e">
        <f t="shared" si="73"/>
        <v>#DIV/0!</v>
      </c>
      <c r="F286" s="8" t="e">
        <f t="shared" si="73"/>
        <v>#DIV/0!</v>
      </c>
      <c r="G286" s="8" t="e">
        <f t="shared" si="73"/>
        <v>#DIV/0!</v>
      </c>
      <c r="H286" s="8" t="e">
        <f t="shared" si="73"/>
        <v>#DIV/0!</v>
      </c>
      <c r="I286" s="36" t="e">
        <f t="shared" si="73"/>
        <v>#DIV/0!</v>
      </c>
      <c r="J286" s="53" t="e">
        <f t="shared" si="39"/>
        <v>#DIV/0!</v>
      </c>
      <c r="K286" s="54" t="e">
        <f t="shared" si="39"/>
        <v>#DIV/0!</v>
      </c>
      <c r="L286" s="54" t="e">
        <f t="shared" si="39"/>
        <v>#DIV/0!</v>
      </c>
      <c r="M286" s="54" t="e">
        <f t="shared" si="39"/>
        <v>#DIV/0!</v>
      </c>
      <c r="N286" s="54" t="e">
        <f t="shared" si="39"/>
        <v>#DIV/0!</v>
      </c>
      <c r="O286" s="54" t="e">
        <f t="shared" si="39"/>
        <v>#DIV/0!</v>
      </c>
      <c r="P286" s="55" t="e">
        <f t="shared" si="39"/>
        <v>#DIV/0!</v>
      </c>
      <c r="Q286"/>
      <c r="R286" s="53">
        <f>SUM('Распределение по графикам'!C38:AR38)</f>
        <v>0</v>
      </c>
      <c r="S286" s="54">
        <f>SUM('Распределение по графикам'!C89:AR89)</f>
        <v>0</v>
      </c>
      <c r="T286" s="54">
        <f>SUM('Распределение по графикам'!C140:AR140)</f>
        <v>0</v>
      </c>
      <c r="U286" s="54">
        <f>SUM('Распределение по графикам'!C191:AR191)</f>
        <v>0</v>
      </c>
      <c r="V286" s="54">
        <f>SUM('Распределение по графикам'!C242:AR242)</f>
        <v>0</v>
      </c>
      <c r="W286" s="54">
        <f>SUM('Распределение по графикам'!C293:AR293)</f>
        <v>0</v>
      </c>
      <c r="X286" s="55">
        <f>SUM('Распределение по графикам'!C344:AR344)</f>
        <v>0</v>
      </c>
      <c r="Z286" s="53" t="str">
        <f t="shared" si="40"/>
        <v/>
      </c>
      <c r="AA286" s="54" t="str">
        <f t="shared" si="40"/>
        <v/>
      </c>
      <c r="AB286" s="54" t="str">
        <f t="shared" si="40"/>
        <v/>
      </c>
      <c r="AC286" s="54" t="str">
        <f t="shared" si="40"/>
        <v/>
      </c>
      <c r="AD286" s="54" t="str">
        <f t="shared" si="40"/>
        <v/>
      </c>
      <c r="AE286" s="54" t="str">
        <f t="shared" si="40"/>
        <v/>
      </c>
      <c r="AF286" s="55" t="str">
        <f t="shared" si="40"/>
        <v/>
      </c>
    </row>
    <row r="287" spans="1:32" x14ac:dyDescent="0.25">
      <c r="A287" s="103">
        <v>0.72916666666666663</v>
      </c>
      <c r="B287" s="10">
        <v>0.75</v>
      </c>
      <c r="C287" s="35" t="e">
        <f t="shared" ref="C287:I287" si="74">AVERAGEIF($C$2:$AG$2,C$251,$C236:$AG236)</f>
        <v>#DIV/0!</v>
      </c>
      <c r="D287" s="8" t="e">
        <f t="shared" si="74"/>
        <v>#DIV/0!</v>
      </c>
      <c r="E287" s="8" t="e">
        <f t="shared" si="74"/>
        <v>#DIV/0!</v>
      </c>
      <c r="F287" s="8" t="e">
        <f t="shared" si="74"/>
        <v>#DIV/0!</v>
      </c>
      <c r="G287" s="8" t="e">
        <f t="shared" si="74"/>
        <v>#DIV/0!</v>
      </c>
      <c r="H287" s="8" t="e">
        <f t="shared" si="74"/>
        <v>#DIV/0!</v>
      </c>
      <c r="I287" s="36" t="e">
        <f t="shared" si="74"/>
        <v>#DIV/0!</v>
      </c>
      <c r="J287" s="53" t="e">
        <f t="shared" si="39"/>
        <v>#DIV/0!</v>
      </c>
      <c r="K287" s="54" t="e">
        <f t="shared" si="39"/>
        <v>#DIV/0!</v>
      </c>
      <c r="L287" s="54" t="e">
        <f t="shared" si="39"/>
        <v>#DIV/0!</v>
      </c>
      <c r="M287" s="54" t="e">
        <f t="shared" si="39"/>
        <v>#DIV/0!</v>
      </c>
      <c r="N287" s="54" t="e">
        <f t="shared" si="39"/>
        <v>#DIV/0!</v>
      </c>
      <c r="O287" s="54" t="e">
        <f t="shared" si="39"/>
        <v>#DIV/0!</v>
      </c>
      <c r="P287" s="55" t="e">
        <f t="shared" si="39"/>
        <v>#DIV/0!</v>
      </c>
      <c r="Q287"/>
      <c r="R287" s="53">
        <f>SUM('Распределение по графикам'!C39:AR39)</f>
        <v>0</v>
      </c>
      <c r="S287" s="54">
        <f>SUM('Распределение по графикам'!C90:AR90)</f>
        <v>0</v>
      </c>
      <c r="T287" s="54">
        <f>SUM('Распределение по графикам'!C141:AR141)</f>
        <v>0</v>
      </c>
      <c r="U287" s="54">
        <f>SUM('Распределение по графикам'!C192:AR192)</f>
        <v>0</v>
      </c>
      <c r="V287" s="54">
        <f>SUM('Распределение по графикам'!C243:AR243)</f>
        <v>0</v>
      </c>
      <c r="W287" s="54">
        <f>SUM('Распределение по графикам'!C294:AR294)</f>
        <v>0</v>
      </c>
      <c r="X287" s="55">
        <f>SUM('Распределение по графикам'!C345:AR345)</f>
        <v>0</v>
      </c>
      <c r="Z287" s="53" t="str">
        <f t="shared" si="40"/>
        <v/>
      </c>
      <c r="AA287" s="54" t="str">
        <f t="shared" si="40"/>
        <v/>
      </c>
      <c r="AB287" s="54" t="str">
        <f t="shared" si="40"/>
        <v/>
      </c>
      <c r="AC287" s="54" t="str">
        <f t="shared" si="40"/>
        <v/>
      </c>
      <c r="AD287" s="54" t="str">
        <f t="shared" si="40"/>
        <v/>
      </c>
      <c r="AE287" s="54" t="str">
        <f t="shared" si="40"/>
        <v/>
      </c>
      <c r="AF287" s="55" t="str">
        <f t="shared" si="40"/>
        <v/>
      </c>
    </row>
    <row r="288" spans="1:32" x14ac:dyDescent="0.25">
      <c r="A288" s="103">
        <v>0.75</v>
      </c>
      <c r="B288" s="10">
        <v>0.77083333333333337</v>
      </c>
      <c r="C288" s="35" t="e">
        <f t="shared" ref="C288:I288" si="75">AVERAGEIF($C$2:$AG$2,C$251,$C237:$AG237)</f>
        <v>#DIV/0!</v>
      </c>
      <c r="D288" s="8" t="e">
        <f t="shared" si="75"/>
        <v>#DIV/0!</v>
      </c>
      <c r="E288" s="8" t="e">
        <f t="shared" si="75"/>
        <v>#DIV/0!</v>
      </c>
      <c r="F288" s="8" t="e">
        <f t="shared" si="75"/>
        <v>#DIV/0!</v>
      </c>
      <c r="G288" s="8" t="e">
        <f t="shared" si="75"/>
        <v>#DIV/0!</v>
      </c>
      <c r="H288" s="8" t="e">
        <f t="shared" si="75"/>
        <v>#DIV/0!</v>
      </c>
      <c r="I288" s="36" t="e">
        <f t="shared" si="75"/>
        <v>#DIV/0!</v>
      </c>
      <c r="J288" s="53" t="e">
        <f t="shared" si="39"/>
        <v>#DIV/0!</v>
      </c>
      <c r="K288" s="54" t="e">
        <f t="shared" si="39"/>
        <v>#DIV/0!</v>
      </c>
      <c r="L288" s="54" t="e">
        <f t="shared" si="39"/>
        <v>#DIV/0!</v>
      </c>
      <c r="M288" s="54" t="e">
        <f t="shared" si="39"/>
        <v>#DIV/0!</v>
      </c>
      <c r="N288" s="54" t="e">
        <f t="shared" si="39"/>
        <v>#DIV/0!</v>
      </c>
      <c r="O288" s="54" t="e">
        <f t="shared" si="39"/>
        <v>#DIV/0!</v>
      </c>
      <c r="P288" s="55" t="e">
        <f t="shared" si="39"/>
        <v>#DIV/0!</v>
      </c>
      <c r="Q288"/>
      <c r="R288" s="53">
        <f>SUM('Распределение по графикам'!C40:AR40)</f>
        <v>0</v>
      </c>
      <c r="S288" s="54">
        <f>SUM('Распределение по графикам'!C91:AR91)</f>
        <v>0</v>
      </c>
      <c r="T288" s="54">
        <f>SUM('Распределение по графикам'!C142:AR142)</f>
        <v>0</v>
      </c>
      <c r="U288" s="54">
        <f>SUM('Распределение по графикам'!C193:AR193)</f>
        <v>0</v>
      </c>
      <c r="V288" s="54">
        <f>SUM('Распределение по графикам'!C244:AR244)</f>
        <v>0</v>
      </c>
      <c r="W288" s="54">
        <f>SUM('Распределение по графикам'!C295:AR295)</f>
        <v>0</v>
      </c>
      <c r="X288" s="55">
        <f>SUM('Распределение по графикам'!C346:AR346)</f>
        <v>0</v>
      </c>
      <c r="Z288" s="53" t="str">
        <f t="shared" si="40"/>
        <v/>
      </c>
      <c r="AA288" s="54" t="str">
        <f t="shared" si="40"/>
        <v/>
      </c>
      <c r="AB288" s="54" t="str">
        <f t="shared" si="40"/>
        <v/>
      </c>
      <c r="AC288" s="54" t="str">
        <f t="shared" si="40"/>
        <v/>
      </c>
      <c r="AD288" s="54" t="str">
        <f t="shared" si="40"/>
        <v/>
      </c>
      <c r="AE288" s="54" t="str">
        <f t="shared" si="40"/>
        <v/>
      </c>
      <c r="AF288" s="55" t="str">
        <f t="shared" si="40"/>
        <v/>
      </c>
    </row>
    <row r="289" spans="1:32" x14ac:dyDescent="0.25">
      <c r="A289" s="103">
        <v>0.77083333333333337</v>
      </c>
      <c r="B289" s="10">
        <v>0.79166666666666663</v>
      </c>
      <c r="C289" s="35" t="e">
        <f t="shared" ref="C289:I289" si="76">AVERAGEIF($C$2:$AG$2,C$251,$C238:$AG238)</f>
        <v>#DIV/0!</v>
      </c>
      <c r="D289" s="8" t="e">
        <f t="shared" si="76"/>
        <v>#DIV/0!</v>
      </c>
      <c r="E289" s="8" t="e">
        <f t="shared" si="76"/>
        <v>#DIV/0!</v>
      </c>
      <c r="F289" s="8" t="e">
        <f t="shared" si="76"/>
        <v>#DIV/0!</v>
      </c>
      <c r="G289" s="8" t="e">
        <f t="shared" si="76"/>
        <v>#DIV/0!</v>
      </c>
      <c r="H289" s="8" t="e">
        <f t="shared" si="76"/>
        <v>#DIV/0!</v>
      </c>
      <c r="I289" s="36" t="e">
        <f t="shared" si="76"/>
        <v>#DIV/0!</v>
      </c>
      <c r="J289" s="53" t="e">
        <f t="shared" si="39"/>
        <v>#DIV/0!</v>
      </c>
      <c r="K289" s="54" t="e">
        <f t="shared" si="39"/>
        <v>#DIV/0!</v>
      </c>
      <c r="L289" s="54" t="e">
        <f t="shared" si="39"/>
        <v>#DIV/0!</v>
      </c>
      <c r="M289" s="54" t="e">
        <f t="shared" si="39"/>
        <v>#DIV/0!</v>
      </c>
      <c r="N289" s="54" t="e">
        <f t="shared" si="39"/>
        <v>#DIV/0!</v>
      </c>
      <c r="O289" s="54" t="e">
        <f t="shared" si="39"/>
        <v>#DIV/0!</v>
      </c>
      <c r="P289" s="55" t="e">
        <f t="shared" si="39"/>
        <v>#DIV/0!</v>
      </c>
      <c r="Q289"/>
      <c r="R289" s="53">
        <f>SUM('Распределение по графикам'!C41:AR41)</f>
        <v>0</v>
      </c>
      <c r="S289" s="54">
        <f>SUM('Распределение по графикам'!C92:AR92)</f>
        <v>0</v>
      </c>
      <c r="T289" s="54">
        <f>SUM('Распределение по графикам'!C143:AR143)</f>
        <v>0</v>
      </c>
      <c r="U289" s="54">
        <f>SUM('Распределение по графикам'!C194:AR194)</f>
        <v>0</v>
      </c>
      <c r="V289" s="54">
        <f>SUM('Распределение по графикам'!C245:AR245)</f>
        <v>0</v>
      </c>
      <c r="W289" s="54">
        <f>SUM('Распределение по графикам'!C296:AR296)</f>
        <v>0</v>
      </c>
      <c r="X289" s="55">
        <f>SUM('Распределение по графикам'!C347:AR347)</f>
        <v>0</v>
      </c>
      <c r="Z289" s="53" t="str">
        <f t="shared" si="40"/>
        <v/>
      </c>
      <c r="AA289" s="54" t="str">
        <f t="shared" si="40"/>
        <v/>
      </c>
      <c r="AB289" s="54" t="str">
        <f t="shared" si="40"/>
        <v/>
      </c>
      <c r="AC289" s="54" t="str">
        <f t="shared" si="40"/>
        <v/>
      </c>
      <c r="AD289" s="54" t="str">
        <f t="shared" si="40"/>
        <v/>
      </c>
      <c r="AE289" s="54" t="str">
        <f t="shared" si="40"/>
        <v/>
      </c>
      <c r="AF289" s="55" t="str">
        <f t="shared" si="40"/>
        <v/>
      </c>
    </row>
    <row r="290" spans="1:32" x14ac:dyDescent="0.25">
      <c r="A290" s="103">
        <v>0.79166666666666663</v>
      </c>
      <c r="B290" s="10">
        <v>0.8125</v>
      </c>
      <c r="C290" s="35" t="e">
        <f t="shared" ref="C290:I290" si="77">AVERAGEIF($C$2:$AG$2,C$251,$C239:$AG239)</f>
        <v>#DIV/0!</v>
      </c>
      <c r="D290" s="8" t="e">
        <f t="shared" si="77"/>
        <v>#DIV/0!</v>
      </c>
      <c r="E290" s="8" t="e">
        <f t="shared" si="77"/>
        <v>#DIV/0!</v>
      </c>
      <c r="F290" s="8" t="e">
        <f t="shared" si="77"/>
        <v>#DIV/0!</v>
      </c>
      <c r="G290" s="8" t="e">
        <f t="shared" si="77"/>
        <v>#DIV/0!</v>
      </c>
      <c r="H290" s="8" t="e">
        <f t="shared" si="77"/>
        <v>#DIV/0!</v>
      </c>
      <c r="I290" s="36" t="e">
        <f t="shared" si="77"/>
        <v>#DIV/0!</v>
      </c>
      <c r="J290" s="53" t="e">
        <f t="shared" si="39"/>
        <v>#DIV/0!</v>
      </c>
      <c r="K290" s="54" t="e">
        <f t="shared" si="39"/>
        <v>#DIV/0!</v>
      </c>
      <c r="L290" s="54" t="e">
        <f t="shared" si="39"/>
        <v>#DIV/0!</v>
      </c>
      <c r="M290" s="54" t="e">
        <f t="shared" si="39"/>
        <v>#DIV/0!</v>
      </c>
      <c r="N290" s="54" t="e">
        <f t="shared" si="39"/>
        <v>#DIV/0!</v>
      </c>
      <c r="O290" s="54" t="e">
        <f t="shared" si="39"/>
        <v>#DIV/0!</v>
      </c>
      <c r="P290" s="55" t="e">
        <f t="shared" si="39"/>
        <v>#DIV/0!</v>
      </c>
      <c r="Q290"/>
      <c r="R290" s="53">
        <f>SUM('Распределение по графикам'!C42:AR42)</f>
        <v>0</v>
      </c>
      <c r="S290" s="54">
        <f>SUM('Распределение по графикам'!C93:AR93)</f>
        <v>0</v>
      </c>
      <c r="T290" s="54">
        <f>SUM('Распределение по графикам'!C144:AR144)</f>
        <v>0</v>
      </c>
      <c r="U290" s="54">
        <f>SUM('Распределение по графикам'!C195:AR195)</f>
        <v>0</v>
      </c>
      <c r="V290" s="54">
        <f>SUM('Распределение по графикам'!C246:AR246)</f>
        <v>0</v>
      </c>
      <c r="W290" s="54">
        <f>SUM('Распределение по графикам'!C297:AR297)</f>
        <v>0</v>
      </c>
      <c r="X290" s="55">
        <f>SUM('Распределение по графикам'!C348:AR348)</f>
        <v>0</v>
      </c>
      <c r="Z290" s="53" t="str">
        <f t="shared" si="40"/>
        <v/>
      </c>
      <c r="AA290" s="54" t="str">
        <f t="shared" si="40"/>
        <v/>
      </c>
      <c r="AB290" s="54" t="str">
        <f t="shared" si="40"/>
        <v/>
      </c>
      <c r="AC290" s="54" t="str">
        <f t="shared" si="40"/>
        <v/>
      </c>
      <c r="AD290" s="54" t="str">
        <f t="shared" si="40"/>
        <v/>
      </c>
      <c r="AE290" s="54" t="str">
        <f t="shared" si="40"/>
        <v/>
      </c>
      <c r="AF290" s="55" t="str">
        <f t="shared" si="40"/>
        <v/>
      </c>
    </row>
    <row r="291" spans="1:32" x14ac:dyDescent="0.25">
      <c r="A291" s="103">
        <v>0.8125</v>
      </c>
      <c r="B291" s="10">
        <v>0.83333333333333337</v>
      </c>
      <c r="C291" s="35" t="e">
        <f t="shared" ref="C291:I291" si="78">AVERAGEIF($C$2:$AG$2,C$251,$C240:$AG240)</f>
        <v>#DIV/0!</v>
      </c>
      <c r="D291" s="8" t="e">
        <f t="shared" si="78"/>
        <v>#DIV/0!</v>
      </c>
      <c r="E291" s="8" t="e">
        <f t="shared" si="78"/>
        <v>#DIV/0!</v>
      </c>
      <c r="F291" s="8" t="e">
        <f t="shared" si="78"/>
        <v>#DIV/0!</v>
      </c>
      <c r="G291" s="8" t="e">
        <f t="shared" si="78"/>
        <v>#DIV/0!</v>
      </c>
      <c r="H291" s="8" t="e">
        <f t="shared" si="78"/>
        <v>#DIV/0!</v>
      </c>
      <c r="I291" s="36" t="e">
        <f t="shared" si="78"/>
        <v>#DIV/0!</v>
      </c>
      <c r="J291" s="53" t="e">
        <f t="shared" si="39"/>
        <v>#DIV/0!</v>
      </c>
      <c r="K291" s="54" t="e">
        <f t="shared" si="39"/>
        <v>#DIV/0!</v>
      </c>
      <c r="L291" s="54" t="e">
        <f t="shared" si="39"/>
        <v>#DIV/0!</v>
      </c>
      <c r="M291" s="54" t="e">
        <f t="shared" si="39"/>
        <v>#DIV/0!</v>
      </c>
      <c r="N291" s="54" t="e">
        <f t="shared" si="39"/>
        <v>#DIV/0!</v>
      </c>
      <c r="O291" s="54" t="e">
        <f t="shared" si="39"/>
        <v>#DIV/0!</v>
      </c>
      <c r="P291" s="55" t="e">
        <f t="shared" si="39"/>
        <v>#DIV/0!</v>
      </c>
      <c r="Q291"/>
      <c r="R291" s="53">
        <f>SUM('Распределение по графикам'!C43:AR43)</f>
        <v>0</v>
      </c>
      <c r="S291" s="54">
        <f>SUM('Распределение по графикам'!C94:AR94)</f>
        <v>0</v>
      </c>
      <c r="T291" s="54">
        <f>SUM('Распределение по графикам'!C145:AR145)</f>
        <v>0</v>
      </c>
      <c r="U291" s="54">
        <f>SUM('Распределение по графикам'!C196:AR196)</f>
        <v>0</v>
      </c>
      <c r="V291" s="54">
        <f>SUM('Распределение по графикам'!C247:AR247)</f>
        <v>0</v>
      </c>
      <c r="W291" s="54">
        <f>SUM('Распределение по графикам'!C298:AR298)</f>
        <v>0</v>
      </c>
      <c r="X291" s="55">
        <f>SUM('Распределение по графикам'!C349:AR349)</f>
        <v>0</v>
      </c>
      <c r="Z291" s="53" t="str">
        <f t="shared" si="40"/>
        <v/>
      </c>
      <c r="AA291" s="54" t="str">
        <f t="shared" si="40"/>
        <v/>
      </c>
      <c r="AB291" s="54" t="str">
        <f t="shared" si="40"/>
        <v/>
      </c>
      <c r="AC291" s="54" t="str">
        <f t="shared" si="40"/>
        <v/>
      </c>
      <c r="AD291" s="54" t="str">
        <f t="shared" si="40"/>
        <v/>
      </c>
      <c r="AE291" s="54" t="str">
        <f t="shared" si="40"/>
        <v/>
      </c>
      <c r="AF291" s="55" t="str">
        <f t="shared" si="40"/>
        <v/>
      </c>
    </row>
    <row r="292" spans="1:32" x14ac:dyDescent="0.25">
      <c r="A292" s="103">
        <v>0.83333333333333337</v>
      </c>
      <c r="B292" s="10">
        <v>0.85416666666666663</v>
      </c>
      <c r="C292" s="35" t="e">
        <f t="shared" ref="C292:I292" si="79">AVERAGEIF($C$2:$AG$2,C$251,$C241:$AG241)</f>
        <v>#DIV/0!</v>
      </c>
      <c r="D292" s="8" t="e">
        <f t="shared" si="79"/>
        <v>#DIV/0!</v>
      </c>
      <c r="E292" s="8" t="e">
        <f t="shared" si="79"/>
        <v>#DIV/0!</v>
      </c>
      <c r="F292" s="8" t="e">
        <f t="shared" si="79"/>
        <v>#DIV/0!</v>
      </c>
      <c r="G292" s="8" t="e">
        <f t="shared" si="79"/>
        <v>#DIV/0!</v>
      </c>
      <c r="H292" s="8" t="e">
        <f t="shared" si="79"/>
        <v>#DIV/0!</v>
      </c>
      <c r="I292" s="36" t="e">
        <f t="shared" si="79"/>
        <v>#DIV/0!</v>
      </c>
      <c r="J292" s="53" t="e">
        <f t="shared" si="39"/>
        <v>#DIV/0!</v>
      </c>
      <c r="K292" s="54" t="e">
        <f t="shared" si="39"/>
        <v>#DIV/0!</v>
      </c>
      <c r="L292" s="54" t="e">
        <f t="shared" si="39"/>
        <v>#DIV/0!</v>
      </c>
      <c r="M292" s="54" t="e">
        <f t="shared" si="39"/>
        <v>#DIV/0!</v>
      </c>
      <c r="N292" s="54" t="e">
        <f t="shared" si="39"/>
        <v>#DIV/0!</v>
      </c>
      <c r="O292" s="54" t="e">
        <f t="shared" si="39"/>
        <v>#DIV/0!</v>
      </c>
      <c r="P292" s="55" t="e">
        <f t="shared" si="39"/>
        <v>#DIV/0!</v>
      </c>
      <c r="Q292"/>
      <c r="R292" s="53">
        <f>SUM('Распределение по графикам'!C44:AR44)</f>
        <v>0</v>
      </c>
      <c r="S292" s="54">
        <f>SUM('Распределение по графикам'!C95:AR95)</f>
        <v>0</v>
      </c>
      <c r="T292" s="54">
        <f>SUM('Распределение по графикам'!C146:AR146)</f>
        <v>0</v>
      </c>
      <c r="U292" s="54">
        <f>SUM('Распределение по графикам'!C197:AR197)</f>
        <v>0</v>
      </c>
      <c r="V292" s="54">
        <f>SUM('Распределение по графикам'!C248:AR248)</f>
        <v>0</v>
      </c>
      <c r="W292" s="54">
        <f>SUM('Распределение по графикам'!C299:AR299)</f>
        <v>0</v>
      </c>
      <c r="X292" s="55">
        <f>SUM('Распределение по графикам'!C350:AR350)</f>
        <v>0</v>
      </c>
      <c r="Z292" s="53" t="str">
        <f t="shared" si="40"/>
        <v/>
      </c>
      <c r="AA292" s="54" t="str">
        <f t="shared" si="40"/>
        <v/>
      </c>
      <c r="AB292" s="54" t="str">
        <f t="shared" si="40"/>
        <v/>
      </c>
      <c r="AC292" s="54" t="str">
        <f t="shared" si="40"/>
        <v/>
      </c>
      <c r="AD292" s="54" t="str">
        <f t="shared" si="40"/>
        <v/>
      </c>
      <c r="AE292" s="54" t="str">
        <f t="shared" si="40"/>
        <v/>
      </c>
      <c r="AF292" s="55" t="str">
        <f t="shared" si="40"/>
        <v/>
      </c>
    </row>
    <row r="293" spans="1:32" x14ac:dyDescent="0.25">
      <c r="A293" s="103">
        <v>0.85416666666666663</v>
      </c>
      <c r="B293" s="10">
        <v>0.875</v>
      </c>
      <c r="C293" s="35" t="e">
        <f t="shared" ref="C293:I293" si="80">AVERAGEIF($C$2:$AG$2,C$251,$C242:$AG242)</f>
        <v>#DIV/0!</v>
      </c>
      <c r="D293" s="8" t="e">
        <f t="shared" si="80"/>
        <v>#DIV/0!</v>
      </c>
      <c r="E293" s="8" t="e">
        <f t="shared" si="80"/>
        <v>#DIV/0!</v>
      </c>
      <c r="F293" s="8" t="e">
        <f t="shared" si="80"/>
        <v>#DIV/0!</v>
      </c>
      <c r="G293" s="8" t="e">
        <f t="shared" si="80"/>
        <v>#DIV/0!</v>
      </c>
      <c r="H293" s="8" t="e">
        <f t="shared" si="80"/>
        <v>#DIV/0!</v>
      </c>
      <c r="I293" s="36" t="e">
        <f t="shared" si="80"/>
        <v>#DIV/0!</v>
      </c>
      <c r="J293" s="53" t="e">
        <f t="shared" si="39"/>
        <v>#DIV/0!</v>
      </c>
      <c r="K293" s="54" t="e">
        <f t="shared" si="39"/>
        <v>#DIV/0!</v>
      </c>
      <c r="L293" s="54" t="e">
        <f t="shared" si="39"/>
        <v>#DIV/0!</v>
      </c>
      <c r="M293" s="54" t="e">
        <f t="shared" si="39"/>
        <v>#DIV/0!</v>
      </c>
      <c r="N293" s="54" t="e">
        <f t="shared" si="39"/>
        <v>#DIV/0!</v>
      </c>
      <c r="O293" s="54" t="e">
        <f t="shared" si="39"/>
        <v>#DIV/0!</v>
      </c>
      <c r="P293" s="55" t="e">
        <f t="shared" si="39"/>
        <v>#DIV/0!</v>
      </c>
      <c r="Q293"/>
      <c r="R293" s="53">
        <f>SUM('Распределение по графикам'!C45:AR45)</f>
        <v>0</v>
      </c>
      <c r="S293" s="54">
        <f>SUM('Распределение по графикам'!C96:AR96)</f>
        <v>0</v>
      </c>
      <c r="T293" s="54">
        <f>SUM('Распределение по графикам'!C147:AR147)</f>
        <v>0</v>
      </c>
      <c r="U293" s="54">
        <f>SUM('Распределение по графикам'!C198:AR198)</f>
        <v>0</v>
      </c>
      <c r="V293" s="54">
        <f>SUM('Распределение по графикам'!C249:AR249)</f>
        <v>0</v>
      </c>
      <c r="W293" s="54">
        <f>SUM('Распределение по графикам'!C300:AR300)</f>
        <v>0</v>
      </c>
      <c r="X293" s="55">
        <f>SUM('Распределение по графикам'!C351:AR351)</f>
        <v>0</v>
      </c>
      <c r="Z293" s="53" t="str">
        <f t="shared" si="40"/>
        <v/>
      </c>
      <c r="AA293" s="54" t="str">
        <f t="shared" si="40"/>
        <v/>
      </c>
      <c r="AB293" s="54" t="str">
        <f t="shared" si="40"/>
        <v/>
      </c>
      <c r="AC293" s="54" t="str">
        <f t="shared" si="40"/>
        <v/>
      </c>
      <c r="AD293" s="54" t="str">
        <f t="shared" si="40"/>
        <v/>
      </c>
      <c r="AE293" s="54" t="str">
        <f t="shared" si="40"/>
        <v/>
      </c>
      <c r="AF293" s="55" t="str">
        <f t="shared" si="40"/>
        <v/>
      </c>
    </row>
    <row r="294" spans="1:32" x14ac:dyDescent="0.25">
      <c r="A294" s="103">
        <v>0.875</v>
      </c>
      <c r="B294" s="10">
        <v>0.89583333333333337</v>
      </c>
      <c r="C294" s="35" t="e">
        <f t="shared" ref="C294:I294" si="81">AVERAGEIF($C$2:$AG$2,C$251,$C243:$AG243)</f>
        <v>#DIV/0!</v>
      </c>
      <c r="D294" s="8" t="e">
        <f t="shared" si="81"/>
        <v>#DIV/0!</v>
      </c>
      <c r="E294" s="8" t="e">
        <f t="shared" si="81"/>
        <v>#DIV/0!</v>
      </c>
      <c r="F294" s="8" t="e">
        <f t="shared" si="81"/>
        <v>#DIV/0!</v>
      </c>
      <c r="G294" s="8" t="e">
        <f t="shared" si="81"/>
        <v>#DIV/0!</v>
      </c>
      <c r="H294" s="8" t="e">
        <f t="shared" si="81"/>
        <v>#DIV/0!</v>
      </c>
      <c r="I294" s="36" t="e">
        <f t="shared" si="81"/>
        <v>#DIV/0!</v>
      </c>
      <c r="J294" s="53" t="e">
        <f t="shared" si="39"/>
        <v>#DIV/0!</v>
      </c>
      <c r="K294" s="54" t="e">
        <f t="shared" si="39"/>
        <v>#DIV/0!</v>
      </c>
      <c r="L294" s="54" t="e">
        <f t="shared" si="39"/>
        <v>#DIV/0!</v>
      </c>
      <c r="M294" s="54" t="e">
        <f t="shared" si="39"/>
        <v>#DIV/0!</v>
      </c>
      <c r="N294" s="54" t="e">
        <f t="shared" si="39"/>
        <v>#DIV/0!</v>
      </c>
      <c r="O294" s="54" t="e">
        <f t="shared" si="39"/>
        <v>#DIV/0!</v>
      </c>
      <c r="P294" s="55" t="e">
        <f t="shared" si="39"/>
        <v>#DIV/0!</v>
      </c>
      <c r="Q294"/>
      <c r="R294" s="53">
        <f>SUM('Распределение по графикам'!C46:AR46)</f>
        <v>0</v>
      </c>
      <c r="S294" s="54">
        <f>SUM('Распределение по графикам'!C97:AR97)</f>
        <v>0</v>
      </c>
      <c r="T294" s="54">
        <f>SUM('Распределение по графикам'!C148:AR148)</f>
        <v>0</v>
      </c>
      <c r="U294" s="54">
        <f>SUM('Распределение по графикам'!C199:AR199)</f>
        <v>0</v>
      </c>
      <c r="V294" s="54">
        <f>SUM('Распределение по графикам'!C250:AR250)</f>
        <v>0</v>
      </c>
      <c r="W294" s="54">
        <f>SUM('Распределение по графикам'!C301:AR301)</f>
        <v>0</v>
      </c>
      <c r="X294" s="55">
        <f>SUM('Распределение по графикам'!C352:AR352)</f>
        <v>0</v>
      </c>
      <c r="Z294" s="53" t="str">
        <f t="shared" si="40"/>
        <v/>
      </c>
      <c r="AA294" s="54" t="str">
        <f t="shared" si="40"/>
        <v/>
      </c>
      <c r="AB294" s="54" t="str">
        <f t="shared" si="40"/>
        <v/>
      </c>
      <c r="AC294" s="54" t="str">
        <f t="shared" si="40"/>
        <v/>
      </c>
      <c r="AD294" s="54" t="str">
        <f t="shared" si="40"/>
        <v/>
      </c>
      <c r="AE294" s="54" t="str">
        <f t="shared" si="40"/>
        <v/>
      </c>
      <c r="AF294" s="55" t="str">
        <f t="shared" si="40"/>
        <v/>
      </c>
    </row>
    <row r="295" spans="1:32" ht="15.75" thickBot="1" x14ac:dyDescent="0.3">
      <c r="A295" s="113">
        <v>0.89583333333333337</v>
      </c>
      <c r="B295" s="114">
        <v>0.91666666666666663</v>
      </c>
      <c r="C295" s="115" t="e">
        <f t="shared" ref="C295:I295" si="82">AVERAGEIF($C$2:$AG$2,C$251,$C244:$AG244)</f>
        <v>#DIV/0!</v>
      </c>
      <c r="D295" s="116" t="e">
        <f t="shared" si="82"/>
        <v>#DIV/0!</v>
      </c>
      <c r="E295" s="116" t="e">
        <f t="shared" si="82"/>
        <v>#DIV/0!</v>
      </c>
      <c r="F295" s="116" t="e">
        <f t="shared" si="82"/>
        <v>#DIV/0!</v>
      </c>
      <c r="G295" s="116" t="e">
        <f t="shared" si="82"/>
        <v>#DIV/0!</v>
      </c>
      <c r="H295" s="116" t="e">
        <f t="shared" si="82"/>
        <v>#DIV/0!</v>
      </c>
      <c r="I295" s="117" t="e">
        <f t="shared" si="82"/>
        <v>#DIV/0!</v>
      </c>
      <c r="J295" s="118" t="e">
        <f t="shared" si="39"/>
        <v>#DIV/0!</v>
      </c>
      <c r="K295" s="119" t="e">
        <f t="shared" si="39"/>
        <v>#DIV/0!</v>
      </c>
      <c r="L295" s="119" t="e">
        <f t="shared" si="39"/>
        <v>#DIV/0!</v>
      </c>
      <c r="M295" s="119" t="e">
        <f t="shared" si="39"/>
        <v>#DIV/0!</v>
      </c>
      <c r="N295" s="119" t="e">
        <f t="shared" si="39"/>
        <v>#DIV/0!</v>
      </c>
      <c r="O295" s="119" t="e">
        <f t="shared" si="39"/>
        <v>#DIV/0!</v>
      </c>
      <c r="P295" s="120" t="e">
        <f t="shared" si="39"/>
        <v>#DIV/0!</v>
      </c>
      <c r="Q295"/>
      <c r="R295" s="118">
        <f>SUM('Распределение по графикам'!C47:AR47)</f>
        <v>0</v>
      </c>
      <c r="S295" s="119">
        <f>SUM('Распределение по графикам'!C98:AR98)</f>
        <v>0</v>
      </c>
      <c r="T295" s="119">
        <f>SUM('Распределение по графикам'!C149:AR149)</f>
        <v>0</v>
      </c>
      <c r="U295" s="119">
        <f>SUM('Распределение по графикам'!C200:AR200)</f>
        <v>0</v>
      </c>
      <c r="V295" s="119">
        <f>SUM('Распределение по графикам'!C251:AR251)</f>
        <v>0</v>
      </c>
      <c r="W295" s="119">
        <f>SUM('Распределение по графикам'!C302:AR302)</f>
        <v>0</v>
      </c>
      <c r="X295" s="120">
        <f>SUM('Распределение по графикам'!C353:AR353)</f>
        <v>0</v>
      </c>
      <c r="Z295" s="118" t="str">
        <f t="shared" si="40"/>
        <v/>
      </c>
      <c r="AA295" s="119" t="str">
        <f t="shared" si="40"/>
        <v/>
      </c>
      <c r="AB295" s="119" t="str">
        <f t="shared" si="40"/>
        <v/>
      </c>
      <c r="AC295" s="119" t="str">
        <f t="shared" si="40"/>
        <v/>
      </c>
      <c r="AD295" s="119" t="str">
        <f t="shared" si="40"/>
        <v/>
      </c>
      <c r="AE295" s="119" t="str">
        <f t="shared" si="40"/>
        <v/>
      </c>
      <c r="AF295" s="120" t="str">
        <f t="shared" si="40"/>
        <v/>
      </c>
    </row>
    <row r="296" spans="1:32" x14ac:dyDescent="0.25">
      <c r="A296" s="108">
        <v>0.91666666666666663</v>
      </c>
      <c r="B296" s="109">
        <v>0.9375</v>
      </c>
      <c r="C296" s="110" t="e">
        <f t="shared" ref="C296:I296" si="83">AVERAGEIF($C$2:$AG$2,C$251,$C245:$AG245)</f>
        <v>#DIV/0!</v>
      </c>
      <c r="D296" s="111" t="e">
        <f t="shared" si="83"/>
        <v>#DIV/0!</v>
      </c>
      <c r="E296" s="111" t="e">
        <f t="shared" si="83"/>
        <v>#DIV/0!</v>
      </c>
      <c r="F296" s="111" t="e">
        <f t="shared" si="83"/>
        <v>#DIV/0!</v>
      </c>
      <c r="G296" s="111" t="e">
        <f t="shared" si="83"/>
        <v>#DIV/0!</v>
      </c>
      <c r="H296" s="111" t="e">
        <f t="shared" si="83"/>
        <v>#DIV/0!</v>
      </c>
      <c r="I296" s="112" t="e">
        <f t="shared" si="83"/>
        <v>#DIV/0!</v>
      </c>
      <c r="J296" s="110" t="e">
        <f t="shared" si="39"/>
        <v>#DIV/0!</v>
      </c>
      <c r="K296" s="111" t="e">
        <f t="shared" si="39"/>
        <v>#DIV/0!</v>
      </c>
      <c r="L296" s="111" t="e">
        <f t="shared" si="39"/>
        <v>#DIV/0!</v>
      </c>
      <c r="M296" s="111" t="e">
        <f t="shared" si="39"/>
        <v>#DIV/0!</v>
      </c>
      <c r="N296" s="111" t="e">
        <f t="shared" si="39"/>
        <v>#DIV/0!</v>
      </c>
      <c r="O296" s="111" t="e">
        <f t="shared" si="39"/>
        <v>#DIV/0!</v>
      </c>
      <c r="P296" s="112" t="e">
        <f t="shared" si="39"/>
        <v>#DIV/0!</v>
      </c>
      <c r="Q296"/>
      <c r="R296" s="110">
        <f>SUM('Распределение по графикам'!C48:AR48)</f>
        <v>0</v>
      </c>
      <c r="S296" s="111">
        <f>SUM('Распределение по графикам'!C99:AR99)</f>
        <v>0</v>
      </c>
      <c r="T296" s="111">
        <f>SUM('Распределение по графикам'!C150:AR150)</f>
        <v>0</v>
      </c>
      <c r="U296" s="111">
        <f>SUM('Распределение по графикам'!C201:AR201)</f>
        <v>0</v>
      </c>
      <c r="V296" s="111">
        <f>SUM('Распределение по графикам'!C252:AR252)</f>
        <v>0</v>
      </c>
      <c r="W296" s="111">
        <f>SUM('Распределение по графикам'!C303:AR303)</f>
        <v>0</v>
      </c>
      <c r="X296" s="112">
        <f>SUM('Распределение по графикам'!C354:AR354)</f>
        <v>0</v>
      </c>
      <c r="Z296" s="110" t="str">
        <f t="shared" si="40"/>
        <v/>
      </c>
      <c r="AA296" s="111" t="str">
        <f t="shared" si="40"/>
        <v/>
      </c>
      <c r="AB296" s="111" t="str">
        <f t="shared" si="40"/>
        <v/>
      </c>
      <c r="AC296" s="111" t="str">
        <f t="shared" si="40"/>
        <v/>
      </c>
      <c r="AD296" s="111" t="str">
        <f t="shared" si="40"/>
        <v/>
      </c>
      <c r="AE296" s="111" t="str">
        <f t="shared" si="40"/>
        <v/>
      </c>
      <c r="AF296" s="112" t="str">
        <f t="shared" si="40"/>
        <v/>
      </c>
    </row>
    <row r="297" spans="1:32" x14ac:dyDescent="0.25">
      <c r="A297" s="102">
        <v>0.9375</v>
      </c>
      <c r="B297" s="29">
        <v>0.95833333333333337</v>
      </c>
      <c r="C297" s="96" t="e">
        <f t="shared" ref="C297:I297" si="84">AVERAGEIF($C$2:$AG$2,C$251,$C246:$AG246)</f>
        <v>#DIV/0!</v>
      </c>
      <c r="D297" s="97" t="e">
        <f t="shared" si="84"/>
        <v>#DIV/0!</v>
      </c>
      <c r="E297" s="97" t="e">
        <f t="shared" si="84"/>
        <v>#DIV/0!</v>
      </c>
      <c r="F297" s="97" t="e">
        <f t="shared" si="84"/>
        <v>#DIV/0!</v>
      </c>
      <c r="G297" s="97" t="e">
        <f t="shared" si="84"/>
        <v>#DIV/0!</v>
      </c>
      <c r="H297" s="97" t="e">
        <f t="shared" si="84"/>
        <v>#DIV/0!</v>
      </c>
      <c r="I297" s="98" t="e">
        <f t="shared" si="84"/>
        <v>#DIV/0!</v>
      </c>
      <c r="J297" s="96" t="e">
        <f t="shared" si="39"/>
        <v>#DIV/0!</v>
      </c>
      <c r="K297" s="97" t="e">
        <f t="shared" si="39"/>
        <v>#DIV/0!</v>
      </c>
      <c r="L297" s="97" t="e">
        <f t="shared" si="39"/>
        <v>#DIV/0!</v>
      </c>
      <c r="M297" s="97" t="e">
        <f t="shared" si="39"/>
        <v>#DIV/0!</v>
      </c>
      <c r="N297" s="97" t="e">
        <f t="shared" si="39"/>
        <v>#DIV/0!</v>
      </c>
      <c r="O297" s="97" t="e">
        <f t="shared" si="39"/>
        <v>#DIV/0!</v>
      </c>
      <c r="P297" s="98" t="e">
        <f t="shared" si="39"/>
        <v>#DIV/0!</v>
      </c>
      <c r="Q297"/>
      <c r="R297" s="96">
        <f>SUM('Распределение по графикам'!C49:AR49)</f>
        <v>0</v>
      </c>
      <c r="S297" s="97">
        <f>SUM('Распределение по графикам'!C100:AR100)</f>
        <v>0</v>
      </c>
      <c r="T297" s="97">
        <f>SUM('Распределение по графикам'!C151:AR151)</f>
        <v>0</v>
      </c>
      <c r="U297" s="97">
        <f>SUM('Распределение по графикам'!C202:AR202)</f>
        <v>0</v>
      </c>
      <c r="V297" s="97">
        <f>SUM('Распределение по графикам'!C253:AR253)</f>
        <v>0</v>
      </c>
      <c r="W297" s="97">
        <f>SUM('Распределение по графикам'!C304:AR304)</f>
        <v>0</v>
      </c>
      <c r="X297" s="98">
        <f>SUM('Распределение по графикам'!C355:AR355)</f>
        <v>0</v>
      </c>
      <c r="Z297" s="96" t="str">
        <f t="shared" si="40"/>
        <v/>
      </c>
      <c r="AA297" s="97" t="str">
        <f t="shared" si="40"/>
        <v/>
      </c>
      <c r="AB297" s="97" t="str">
        <f t="shared" si="40"/>
        <v/>
      </c>
      <c r="AC297" s="97" t="str">
        <f t="shared" si="40"/>
        <v/>
      </c>
      <c r="AD297" s="97" t="str">
        <f t="shared" si="40"/>
        <v/>
      </c>
      <c r="AE297" s="97" t="str">
        <f t="shared" si="40"/>
        <v/>
      </c>
      <c r="AF297" s="98" t="str">
        <f t="shared" si="40"/>
        <v/>
      </c>
    </row>
    <row r="298" spans="1:32" x14ac:dyDescent="0.25">
      <c r="A298" s="102">
        <v>0.95833333333333337</v>
      </c>
      <c r="B298" s="29">
        <v>0.97916666666666663</v>
      </c>
      <c r="C298" s="96" t="e">
        <f t="shared" ref="C298:I298" si="85">AVERAGEIF($C$2:$AG$2,C$251,$C247:$AG247)</f>
        <v>#DIV/0!</v>
      </c>
      <c r="D298" s="97" t="e">
        <f t="shared" si="85"/>
        <v>#DIV/0!</v>
      </c>
      <c r="E298" s="97" t="e">
        <f t="shared" si="85"/>
        <v>#DIV/0!</v>
      </c>
      <c r="F298" s="97" t="e">
        <f t="shared" si="85"/>
        <v>#DIV/0!</v>
      </c>
      <c r="G298" s="97" t="e">
        <f t="shared" si="85"/>
        <v>#DIV/0!</v>
      </c>
      <c r="H298" s="97" t="e">
        <f t="shared" si="85"/>
        <v>#DIV/0!</v>
      </c>
      <c r="I298" s="98" t="e">
        <f t="shared" si="85"/>
        <v>#DIV/0!</v>
      </c>
      <c r="J298" s="96" t="e">
        <f t="shared" si="39"/>
        <v>#DIV/0!</v>
      </c>
      <c r="K298" s="97" t="e">
        <f t="shared" si="39"/>
        <v>#DIV/0!</v>
      </c>
      <c r="L298" s="97" t="e">
        <f t="shared" si="39"/>
        <v>#DIV/0!</v>
      </c>
      <c r="M298" s="97" t="e">
        <f t="shared" si="39"/>
        <v>#DIV/0!</v>
      </c>
      <c r="N298" s="97" t="e">
        <f t="shared" si="39"/>
        <v>#DIV/0!</v>
      </c>
      <c r="O298" s="97" t="e">
        <f t="shared" si="39"/>
        <v>#DIV/0!</v>
      </c>
      <c r="P298" s="98" t="e">
        <f t="shared" si="39"/>
        <v>#DIV/0!</v>
      </c>
      <c r="Q298"/>
      <c r="R298" s="96">
        <f>SUM('Распределение по графикам'!C50:AR50)</f>
        <v>0</v>
      </c>
      <c r="S298" s="97">
        <f>SUM('Распределение по графикам'!C101:AR101)</f>
        <v>0</v>
      </c>
      <c r="T298" s="97">
        <f>SUM('Распределение по графикам'!C152:AR152)</f>
        <v>0</v>
      </c>
      <c r="U298" s="97">
        <f>SUM('Распределение по графикам'!C203:AR203)</f>
        <v>0</v>
      </c>
      <c r="V298" s="97">
        <f>SUM('Распределение по графикам'!C254:AR254)</f>
        <v>0</v>
      </c>
      <c r="W298" s="97">
        <f>SUM('Распределение по графикам'!C305:AR305)</f>
        <v>0</v>
      </c>
      <c r="X298" s="98">
        <f>SUM('Распределение по графикам'!C356:AR356)</f>
        <v>0</v>
      </c>
      <c r="Z298" s="96" t="str">
        <f t="shared" si="40"/>
        <v/>
      </c>
      <c r="AA298" s="97" t="str">
        <f t="shared" si="40"/>
        <v/>
      </c>
      <c r="AB298" s="97" t="str">
        <f t="shared" si="40"/>
        <v/>
      </c>
      <c r="AC298" s="97" t="str">
        <f t="shared" si="40"/>
        <v/>
      </c>
      <c r="AD298" s="97" t="str">
        <f t="shared" si="40"/>
        <v/>
      </c>
      <c r="AE298" s="97" t="str">
        <f t="shared" si="40"/>
        <v/>
      </c>
      <c r="AF298" s="98" t="str">
        <f t="shared" si="40"/>
        <v/>
      </c>
    </row>
    <row r="299" spans="1:32" ht="15.75" thickBot="1" x14ac:dyDescent="0.3">
      <c r="A299" s="104">
        <v>0.97916666666666663</v>
      </c>
      <c r="B299" s="105">
        <v>0</v>
      </c>
      <c r="C299" s="99" t="e">
        <f t="shared" ref="C299:I299" si="86">AVERAGEIF($C$2:$AG$2,C$251,$C248:$AG248)</f>
        <v>#DIV/0!</v>
      </c>
      <c r="D299" s="100" t="e">
        <f t="shared" si="86"/>
        <v>#DIV/0!</v>
      </c>
      <c r="E299" s="100" t="e">
        <f t="shared" si="86"/>
        <v>#DIV/0!</v>
      </c>
      <c r="F299" s="100" t="e">
        <f t="shared" si="86"/>
        <v>#DIV/0!</v>
      </c>
      <c r="G299" s="100" t="e">
        <f t="shared" si="86"/>
        <v>#DIV/0!</v>
      </c>
      <c r="H299" s="100" t="e">
        <f t="shared" si="86"/>
        <v>#DIV/0!</v>
      </c>
      <c r="I299" s="101" t="e">
        <f t="shared" si="86"/>
        <v>#DIV/0!</v>
      </c>
      <c r="J299" s="99" t="e">
        <f t="shared" si="39"/>
        <v>#DIV/0!</v>
      </c>
      <c r="K299" s="100" t="e">
        <f t="shared" si="39"/>
        <v>#DIV/0!</v>
      </c>
      <c r="L299" s="100" t="e">
        <f t="shared" si="39"/>
        <v>#DIV/0!</v>
      </c>
      <c r="M299" s="100" t="e">
        <f t="shared" si="39"/>
        <v>#DIV/0!</v>
      </c>
      <c r="N299" s="100" t="e">
        <f t="shared" si="39"/>
        <v>#DIV/0!</v>
      </c>
      <c r="O299" s="100" t="e">
        <f t="shared" si="39"/>
        <v>#DIV/0!</v>
      </c>
      <c r="P299" s="101" t="e">
        <f t="shared" si="39"/>
        <v>#DIV/0!</v>
      </c>
      <c r="Q299"/>
      <c r="R299" s="99">
        <f>SUM('Распределение по графикам'!C51:AR51)</f>
        <v>0</v>
      </c>
      <c r="S299" s="100">
        <f>SUM('Распределение по графикам'!C102:AR102)</f>
        <v>0</v>
      </c>
      <c r="T299" s="100">
        <f>SUM('Распределение по графикам'!C153:AR153)</f>
        <v>0</v>
      </c>
      <c r="U299" s="100">
        <f>SUM('Распределение по графикам'!C204:AR204)</f>
        <v>0</v>
      </c>
      <c r="V299" s="100">
        <f>SUM('Распределение по графикам'!C255:AR255)</f>
        <v>0</v>
      </c>
      <c r="W299" s="100">
        <f>SUM('Распределение по графикам'!C306:AR306)</f>
        <v>0</v>
      </c>
      <c r="X299" s="101">
        <f>SUM('Распределение по графикам'!C357:AR357)</f>
        <v>0</v>
      </c>
      <c r="Z299" s="99" t="str">
        <f t="shared" si="40"/>
        <v/>
      </c>
      <c r="AA299" s="100" t="str">
        <f t="shared" si="40"/>
        <v/>
      </c>
      <c r="AB299" s="100" t="str">
        <f t="shared" si="40"/>
        <v/>
      </c>
      <c r="AC299" s="100" t="str">
        <f t="shared" si="40"/>
        <v/>
      </c>
      <c r="AD299" s="100" t="str">
        <f t="shared" si="40"/>
        <v/>
      </c>
      <c r="AE299" s="100" t="str">
        <f t="shared" si="40"/>
        <v/>
      </c>
      <c r="AF299" s="101" t="str">
        <f t="shared" si="40"/>
        <v/>
      </c>
    </row>
    <row r="321" ht="15" customHeight="1" x14ac:dyDescent="0.25"/>
    <row r="322" ht="15" customHeight="1" x14ac:dyDescent="0.25"/>
    <row r="323" ht="15" customHeight="1" x14ac:dyDescent="0.25"/>
    <row r="324" ht="15.75" customHeight="1" x14ac:dyDescent="0.25"/>
  </sheetData>
  <mergeCells count="18">
    <mergeCell ref="A250:B251"/>
    <mergeCell ref="C53:AG53"/>
    <mergeCell ref="C151:AG151"/>
    <mergeCell ref="A151:B151"/>
    <mergeCell ref="C200:AG200"/>
    <mergeCell ref="A200:B200"/>
    <mergeCell ref="C250:I250"/>
    <mergeCell ref="J250:P250"/>
    <mergeCell ref="A53:B53"/>
    <mergeCell ref="A102:B102"/>
    <mergeCell ref="C102:AG102"/>
    <mergeCell ref="R250:X250"/>
    <mergeCell ref="Z250:AF250"/>
    <mergeCell ref="A52:B52"/>
    <mergeCell ref="C3:AG3"/>
    <mergeCell ref="A1:B1"/>
    <mergeCell ref="A2:B2"/>
    <mergeCell ref="A3:B3"/>
  </mergeCells>
  <conditionalFormatting sqref="C2:AG2">
    <cfRule type="cellIs" dxfId="6" priority="23" operator="equal">
      <formula>"Вс"</formula>
    </cfRule>
    <cfRule type="cellIs" dxfId="5" priority="24" operator="equal">
      <formula>"Сб"</formula>
    </cfRule>
    <cfRule type="cellIs" dxfId="4" priority="25" operator="equal">
      <formula>"Пт"</formula>
    </cfRule>
    <cfRule type="cellIs" dxfId="3" priority="26" operator="equal">
      <formula>"Чт"</formula>
    </cfRule>
    <cfRule type="cellIs" dxfId="2" priority="27" operator="equal">
      <formula>"Ср"</formula>
    </cfRule>
    <cfRule type="cellIs" dxfId="1" priority="28" operator="equal">
      <formula>"Вт"</formula>
    </cfRule>
    <cfRule type="cellIs" dxfId="0" priority="29" operator="equal">
      <formula>"Пн"</formula>
    </cfRule>
  </conditionalFormatting>
  <conditionalFormatting sqref="J266:J29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66:K295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66:P29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66:L295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6:M29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66:N295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66:O295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66:R295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6:X29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66:S29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66:T29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66:U295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66:V29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6:W29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6:Z295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6:AF29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6:AA29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6:AB29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6:AC29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6:AD29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6:AE29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:AG5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AX104"/>
  <sheetViews>
    <sheetView zoomScale="70" zoomScaleNormal="70" workbookViewId="0">
      <pane xSplit="3" ySplit="2" topLeftCell="D21" activePane="bottomRight" state="frozen"/>
      <selection pane="topRight" activeCell="D1" sqref="D1"/>
      <selection pane="bottomLeft" activeCell="A3" sqref="A3"/>
      <selection pane="bottomRight" activeCell="F51" sqref="F51"/>
    </sheetView>
  </sheetViews>
  <sheetFormatPr defaultRowHeight="15" x14ac:dyDescent="0.25"/>
  <cols>
    <col min="1" max="16384" width="9.140625" style="23"/>
  </cols>
  <sheetData>
    <row r="1" spans="1:50" ht="21.75" thickBot="1" x14ac:dyDescent="0.4">
      <c r="A1" s="249" t="s">
        <v>0</v>
      </c>
      <c r="H1" s="228">
        <v>0</v>
      </c>
      <c r="I1" s="229">
        <v>0</v>
      </c>
      <c r="J1" s="229">
        <v>0</v>
      </c>
      <c r="K1" s="229">
        <v>0</v>
      </c>
      <c r="L1" s="229">
        <v>0</v>
      </c>
      <c r="M1" s="229">
        <v>0</v>
      </c>
      <c r="N1" s="229">
        <v>0</v>
      </c>
      <c r="O1" s="229">
        <v>0</v>
      </c>
      <c r="P1" s="229">
        <v>0</v>
      </c>
      <c r="Q1" s="229">
        <v>0</v>
      </c>
      <c r="R1" s="229">
        <v>0</v>
      </c>
      <c r="S1" s="229">
        <v>0</v>
      </c>
      <c r="T1" s="238">
        <v>0</v>
      </c>
      <c r="U1" s="234">
        <v>3</v>
      </c>
      <c r="V1" s="230">
        <v>0</v>
      </c>
      <c r="W1" s="230">
        <v>0</v>
      </c>
      <c r="X1" s="230">
        <v>2</v>
      </c>
      <c r="Y1" s="230">
        <v>0</v>
      </c>
      <c r="Z1" s="230">
        <v>1</v>
      </c>
      <c r="AA1" s="239">
        <v>4</v>
      </c>
      <c r="AB1" s="247">
        <v>0</v>
      </c>
      <c r="AC1" s="231">
        <v>0</v>
      </c>
      <c r="AD1" s="231">
        <v>0</v>
      </c>
      <c r="AE1" s="231">
        <v>0</v>
      </c>
      <c r="AF1" s="231">
        <v>0</v>
      </c>
      <c r="AG1" s="231">
        <v>0</v>
      </c>
      <c r="AH1" s="231">
        <v>0</v>
      </c>
      <c r="AI1" s="231">
        <v>0</v>
      </c>
      <c r="AJ1" s="231">
        <v>0</v>
      </c>
      <c r="AK1" s="231">
        <v>0</v>
      </c>
      <c r="AL1" s="231">
        <v>0</v>
      </c>
      <c r="AM1" s="231">
        <v>0</v>
      </c>
      <c r="AN1" s="231">
        <v>0</v>
      </c>
      <c r="AO1" s="231">
        <v>0</v>
      </c>
      <c r="AP1" s="231">
        <v>0</v>
      </c>
      <c r="AQ1" s="231">
        <v>0</v>
      </c>
      <c r="AR1" s="231">
        <v>0</v>
      </c>
      <c r="AS1" s="231">
        <v>0</v>
      </c>
      <c r="AT1" s="231">
        <v>0</v>
      </c>
      <c r="AU1" s="231">
        <v>0</v>
      </c>
      <c r="AV1" s="231">
        <v>0</v>
      </c>
      <c r="AW1" s="248">
        <v>0</v>
      </c>
      <c r="AX1" s="243">
        <v>0</v>
      </c>
    </row>
    <row r="2" spans="1:50" x14ac:dyDescent="0.25">
      <c r="A2" s="108">
        <v>0</v>
      </c>
      <c r="B2" s="125">
        <v>2.0833333333333332E-2</v>
      </c>
      <c r="C2" s="226" t="e">
        <f>HLOOKUP($A$1,Расчеты!$J$251:$P$299,MATCH(A2,Расчеты!$A$252:$A$299,0)+1,0)</f>
        <v>#DIV/0!</v>
      </c>
      <c r="D2" s="222" t="e">
        <f t="shared" ref="D2:D49" si="0">ROUND(C2,0)</f>
        <v>#DIV/0!</v>
      </c>
      <c r="E2" s="80">
        <f t="shared" ref="E2:E49" si="1">SUMPRODUCT($H$1:$AX$1,H2:AX2)</f>
        <v>0</v>
      </c>
      <c r="F2" s="223" t="e">
        <f t="shared" ref="F2:F15" si="2">E2-D2</f>
        <v>#DIV/0!</v>
      </c>
      <c r="H2" s="232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233"/>
      <c r="U2" s="235"/>
      <c r="V2" s="46"/>
      <c r="W2" s="46"/>
      <c r="X2" s="46"/>
      <c r="Y2" s="46"/>
      <c r="Z2" s="46"/>
      <c r="AA2" s="240"/>
      <c r="AB2" s="232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233"/>
      <c r="AX2" s="244"/>
    </row>
    <row r="3" spans="1:50" x14ac:dyDescent="0.25">
      <c r="A3" s="102">
        <v>2.0833333333333332E-2</v>
      </c>
      <c r="B3" s="128">
        <v>4.1666666666666664E-2</v>
      </c>
      <c r="C3" s="143" t="e">
        <f>HLOOKUP($A$1,Расчеты!$J$251:$P$299,MATCH(A3,Расчеты!$A$252:$A$299,0)+1,0)</f>
        <v>#DIV/0!</v>
      </c>
      <c r="D3" s="4" t="e">
        <f t="shared" si="0"/>
        <v>#DIV/0!</v>
      </c>
      <c r="E3" s="2">
        <f t="shared" si="1"/>
        <v>0</v>
      </c>
      <c r="F3" s="142" t="e">
        <f>E3-D3</f>
        <v>#DIV/0!</v>
      </c>
      <c r="H3" s="232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233"/>
      <c r="U3" s="235"/>
      <c r="V3" s="46"/>
      <c r="W3" s="46"/>
      <c r="X3" s="46"/>
      <c r="Y3" s="46"/>
      <c r="Z3" s="46"/>
      <c r="AA3" s="240"/>
      <c r="AB3" s="232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233"/>
      <c r="AX3" s="244"/>
    </row>
    <row r="4" spans="1:50" x14ac:dyDescent="0.25">
      <c r="A4" s="102">
        <v>4.1666666666666664E-2</v>
      </c>
      <c r="B4" s="128">
        <v>6.25E-2</v>
      </c>
      <c r="C4" s="143" t="e">
        <f>HLOOKUP($A$1,Расчеты!$J$251:$P$299,MATCH(A4,Расчеты!$A$252:$A$299,0)+1,0)</f>
        <v>#DIV/0!</v>
      </c>
      <c r="D4" s="4" t="e">
        <f t="shared" si="0"/>
        <v>#DIV/0!</v>
      </c>
      <c r="E4" s="2">
        <f t="shared" si="1"/>
        <v>0</v>
      </c>
      <c r="F4" s="142" t="e">
        <f t="shared" si="2"/>
        <v>#DIV/0!</v>
      </c>
      <c r="H4" s="232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233"/>
      <c r="U4" s="235"/>
      <c r="V4" s="46"/>
      <c r="W4" s="46"/>
      <c r="X4" s="46"/>
      <c r="Y4" s="46"/>
      <c r="Z4" s="46"/>
      <c r="AA4" s="240"/>
      <c r="AB4" s="232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233"/>
      <c r="AX4" s="244"/>
    </row>
    <row r="5" spans="1:50" x14ac:dyDescent="0.25">
      <c r="A5" s="102">
        <v>6.25E-2</v>
      </c>
      <c r="B5" s="128">
        <v>8.3333333333333329E-2</v>
      </c>
      <c r="C5" s="143" t="e">
        <f>HLOOKUP($A$1,Расчеты!$J$251:$P$299,MATCH(A5,Расчеты!$A$252:$A$299,0)+1,0)</f>
        <v>#DIV/0!</v>
      </c>
      <c r="D5" s="4" t="e">
        <f t="shared" si="0"/>
        <v>#DIV/0!</v>
      </c>
      <c r="E5" s="2">
        <f t="shared" si="1"/>
        <v>0</v>
      </c>
      <c r="F5" s="142" t="e">
        <f t="shared" si="2"/>
        <v>#DIV/0!</v>
      </c>
      <c r="H5" s="232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233"/>
      <c r="U5" s="235"/>
      <c r="V5" s="46"/>
      <c r="W5" s="46"/>
      <c r="X5" s="46"/>
      <c r="Y5" s="46"/>
      <c r="Z5" s="46"/>
      <c r="AA5" s="240"/>
      <c r="AB5" s="232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233"/>
      <c r="AX5" s="244"/>
    </row>
    <row r="6" spans="1:50" x14ac:dyDescent="0.25">
      <c r="A6" s="102">
        <v>8.3333333333333329E-2</v>
      </c>
      <c r="B6" s="128">
        <v>0.10416666666666667</v>
      </c>
      <c r="C6" s="143" t="e">
        <f>HLOOKUP($A$1,Расчеты!$J$251:$P$299,MATCH(A6,Расчеты!$A$252:$A$299,0)+1,0)</f>
        <v>#DIV/0!</v>
      </c>
      <c r="D6" s="4" t="e">
        <f t="shared" si="0"/>
        <v>#DIV/0!</v>
      </c>
      <c r="E6" s="2">
        <f t="shared" si="1"/>
        <v>0</v>
      </c>
      <c r="F6" s="142" t="e">
        <f t="shared" si="2"/>
        <v>#DIV/0!</v>
      </c>
      <c r="H6" s="232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233"/>
      <c r="U6" s="235"/>
      <c r="V6" s="46"/>
      <c r="W6" s="46"/>
      <c r="X6" s="46"/>
      <c r="Y6" s="46"/>
      <c r="Z6" s="46"/>
      <c r="AA6" s="240"/>
      <c r="AB6" s="232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233"/>
      <c r="AX6" s="244"/>
    </row>
    <row r="7" spans="1:50" x14ac:dyDescent="0.25">
      <c r="A7" s="102">
        <v>0.10416666666666667</v>
      </c>
      <c r="B7" s="128">
        <v>0.125</v>
      </c>
      <c r="C7" s="143" t="e">
        <f>HLOOKUP($A$1,Расчеты!$J$251:$P$299,MATCH(A7,Расчеты!$A$252:$A$299,0)+1,0)</f>
        <v>#DIV/0!</v>
      </c>
      <c r="D7" s="4" t="e">
        <f t="shared" si="0"/>
        <v>#DIV/0!</v>
      </c>
      <c r="E7" s="2">
        <f t="shared" si="1"/>
        <v>0</v>
      </c>
      <c r="F7" s="142" t="e">
        <f t="shared" si="2"/>
        <v>#DIV/0!</v>
      </c>
      <c r="H7" s="232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233"/>
      <c r="U7" s="235"/>
      <c r="V7" s="46"/>
      <c r="W7" s="46"/>
      <c r="X7" s="46"/>
      <c r="Y7" s="46"/>
      <c r="Z7" s="46"/>
      <c r="AA7" s="240"/>
      <c r="AB7" s="232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233"/>
      <c r="AX7" s="244"/>
    </row>
    <row r="8" spans="1:50" x14ac:dyDescent="0.25">
      <c r="A8" s="102">
        <v>0.125</v>
      </c>
      <c r="B8" s="128">
        <v>0.14583333333333334</v>
      </c>
      <c r="C8" s="143" t="e">
        <f>HLOOKUP($A$1,Расчеты!$J$251:$P$299,MATCH(A8,Расчеты!$A$252:$A$299,0)+1,0)</f>
        <v>#DIV/0!</v>
      </c>
      <c r="D8" s="4" t="e">
        <f t="shared" si="0"/>
        <v>#DIV/0!</v>
      </c>
      <c r="E8" s="2">
        <f t="shared" si="1"/>
        <v>0</v>
      </c>
      <c r="F8" s="142" t="e">
        <f t="shared" si="2"/>
        <v>#DIV/0!</v>
      </c>
      <c r="H8" s="232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233"/>
      <c r="U8" s="235"/>
      <c r="V8" s="46"/>
      <c r="W8" s="46"/>
      <c r="X8" s="46"/>
      <c r="Y8" s="46"/>
      <c r="Z8" s="46"/>
      <c r="AA8" s="240"/>
      <c r="AB8" s="232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233"/>
      <c r="AX8" s="244"/>
    </row>
    <row r="9" spans="1:50" x14ac:dyDescent="0.25">
      <c r="A9" s="102">
        <v>0.14583333333333334</v>
      </c>
      <c r="B9" s="128">
        <v>0.16666666666666666</v>
      </c>
      <c r="C9" s="143" t="e">
        <f>HLOOKUP($A$1,Расчеты!$J$251:$P$299,MATCH(A9,Расчеты!$A$252:$A$299,0)+1,0)</f>
        <v>#DIV/0!</v>
      </c>
      <c r="D9" s="4" t="e">
        <f t="shared" si="0"/>
        <v>#DIV/0!</v>
      </c>
      <c r="E9" s="2">
        <f t="shared" si="1"/>
        <v>0</v>
      </c>
      <c r="F9" s="142" t="e">
        <f t="shared" si="2"/>
        <v>#DIV/0!</v>
      </c>
      <c r="H9" s="232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233"/>
      <c r="U9" s="235"/>
      <c r="V9" s="46"/>
      <c r="W9" s="46"/>
      <c r="X9" s="46"/>
      <c r="Y9" s="46"/>
      <c r="Z9" s="46"/>
      <c r="AA9" s="240"/>
      <c r="AB9" s="232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233"/>
      <c r="AX9" s="244"/>
    </row>
    <row r="10" spans="1:50" x14ac:dyDescent="0.25">
      <c r="A10" s="102">
        <v>0.16666666666666666</v>
      </c>
      <c r="B10" s="128">
        <v>0.1875</v>
      </c>
      <c r="C10" s="143" t="e">
        <f>HLOOKUP($A$1,Расчеты!$J$251:$P$299,MATCH(A10,Расчеты!$A$252:$A$299,0)+1,0)</f>
        <v>#DIV/0!</v>
      </c>
      <c r="D10" s="4" t="e">
        <f t="shared" si="0"/>
        <v>#DIV/0!</v>
      </c>
      <c r="E10" s="2">
        <f t="shared" si="1"/>
        <v>0</v>
      </c>
      <c r="F10" s="142" t="e">
        <f t="shared" si="2"/>
        <v>#DIV/0!</v>
      </c>
      <c r="H10" s="232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233"/>
      <c r="U10" s="235"/>
      <c r="V10" s="46"/>
      <c r="W10" s="46"/>
      <c r="X10" s="46"/>
      <c r="Y10" s="46"/>
      <c r="Z10" s="46"/>
      <c r="AA10" s="240"/>
      <c r="AB10" s="232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233"/>
      <c r="AX10" s="244"/>
    </row>
    <row r="11" spans="1:50" x14ac:dyDescent="0.25">
      <c r="A11" s="102">
        <v>0.1875</v>
      </c>
      <c r="B11" s="128">
        <v>0.20833333333333334</v>
      </c>
      <c r="C11" s="143" t="e">
        <f>HLOOKUP($A$1,Расчеты!$J$251:$P$299,MATCH(A11,Расчеты!$A$252:$A$299,0)+1,0)</f>
        <v>#DIV/0!</v>
      </c>
      <c r="D11" s="4" t="e">
        <f t="shared" si="0"/>
        <v>#DIV/0!</v>
      </c>
      <c r="E11" s="2">
        <f t="shared" si="1"/>
        <v>0</v>
      </c>
      <c r="F11" s="142" t="e">
        <f t="shared" si="2"/>
        <v>#DIV/0!</v>
      </c>
      <c r="H11" s="232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233"/>
      <c r="U11" s="235"/>
      <c r="V11" s="46"/>
      <c r="W11" s="46"/>
      <c r="X11" s="46"/>
      <c r="Y11" s="46"/>
      <c r="Z11" s="46"/>
      <c r="AA11" s="240"/>
      <c r="AB11" s="232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233"/>
      <c r="AX11" s="244"/>
    </row>
    <row r="12" spans="1:50" x14ac:dyDescent="0.25">
      <c r="A12" s="102">
        <v>0.20833333333333334</v>
      </c>
      <c r="B12" s="128">
        <v>0.22916666666666666</v>
      </c>
      <c r="C12" s="143" t="e">
        <f>HLOOKUP($A$1,Расчеты!$J$251:$P$299,MATCH(A12,Расчеты!$A$252:$A$299,0)+1,0)</f>
        <v>#DIV/0!</v>
      </c>
      <c r="D12" s="4" t="e">
        <f t="shared" si="0"/>
        <v>#DIV/0!</v>
      </c>
      <c r="E12" s="2">
        <f t="shared" si="1"/>
        <v>0</v>
      </c>
      <c r="F12" s="142" t="e">
        <f t="shared" si="2"/>
        <v>#DIV/0!</v>
      </c>
      <c r="H12" s="232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233"/>
      <c r="U12" s="235"/>
      <c r="V12" s="46"/>
      <c r="W12" s="46"/>
      <c r="X12" s="46"/>
      <c r="Y12" s="46"/>
      <c r="Z12" s="46"/>
      <c r="AA12" s="240"/>
      <c r="AB12" s="232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233"/>
      <c r="AX12" s="244"/>
    </row>
    <row r="13" spans="1:50" x14ac:dyDescent="0.25">
      <c r="A13" s="102">
        <v>0.22916666666666666</v>
      </c>
      <c r="B13" s="128">
        <v>0.25</v>
      </c>
      <c r="C13" s="143" t="e">
        <f>HLOOKUP($A$1,Расчеты!$J$251:$P$299,MATCH(A13,Расчеты!$A$252:$A$299,0)+1,0)</f>
        <v>#DIV/0!</v>
      </c>
      <c r="D13" s="4" t="e">
        <f t="shared" si="0"/>
        <v>#DIV/0!</v>
      </c>
      <c r="E13" s="2">
        <f t="shared" si="1"/>
        <v>0</v>
      </c>
      <c r="F13" s="142" t="e">
        <f t="shared" si="2"/>
        <v>#DIV/0!</v>
      </c>
      <c r="H13" s="232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233"/>
      <c r="U13" s="235"/>
      <c r="V13" s="46"/>
      <c r="W13" s="46"/>
      <c r="X13" s="46"/>
      <c r="Y13" s="46"/>
      <c r="Z13" s="46"/>
      <c r="AA13" s="240"/>
      <c r="AB13" s="232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233"/>
      <c r="AX13" s="244"/>
    </row>
    <row r="14" spans="1:50" x14ac:dyDescent="0.25">
      <c r="A14" s="102">
        <v>0.25</v>
      </c>
      <c r="B14" s="128">
        <v>0.27083333333333331</v>
      </c>
      <c r="C14" s="143" t="e">
        <f>HLOOKUP($A$1,Расчеты!$J$251:$P$299,MATCH(A14,Расчеты!$A$252:$A$299,0)+1,0)</f>
        <v>#DIV/0!</v>
      </c>
      <c r="D14" s="4" t="e">
        <f t="shared" ref="D14:D15" si="3">IF(C14&lt;&gt;"",ROUND(C14,0),CEILING(MAX(C13,C15),1))</f>
        <v>#DIV/0!</v>
      </c>
      <c r="E14" s="2">
        <f t="shared" si="1"/>
        <v>0</v>
      </c>
      <c r="F14" s="142" t="e">
        <f t="shared" si="2"/>
        <v>#DIV/0!</v>
      </c>
      <c r="H14" s="232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233"/>
      <c r="U14" s="235"/>
      <c r="V14" s="46"/>
      <c r="W14" s="46"/>
      <c r="X14" s="46"/>
      <c r="Y14" s="46"/>
      <c r="Z14" s="46"/>
      <c r="AA14" s="240"/>
      <c r="AB14" s="232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233"/>
      <c r="AX14" s="244"/>
    </row>
    <row r="15" spans="1:50" ht="15.75" thickBot="1" x14ac:dyDescent="0.3">
      <c r="A15" s="104">
        <v>0.27083333333333331</v>
      </c>
      <c r="B15" s="131">
        <v>0.29166666666666669</v>
      </c>
      <c r="C15" s="227" t="e">
        <f>HLOOKUP($A$1,Расчеты!$J$251:$P$299,MATCH(A15,Расчеты!$A$252:$A$299,0)+1,0)</f>
        <v>#DIV/0!</v>
      </c>
      <c r="D15" s="224" t="e">
        <f t="shared" si="3"/>
        <v>#DIV/0!</v>
      </c>
      <c r="E15" s="60">
        <f t="shared" si="1"/>
        <v>0</v>
      </c>
      <c r="F15" s="225" t="e">
        <f t="shared" si="2"/>
        <v>#DIV/0!</v>
      </c>
      <c r="H15" s="232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233"/>
      <c r="U15" s="235"/>
      <c r="V15" s="46"/>
      <c r="W15" s="46"/>
      <c r="X15" s="46"/>
      <c r="Y15" s="46"/>
      <c r="Z15" s="46"/>
      <c r="AA15" s="240"/>
      <c r="AB15" s="232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233"/>
      <c r="AX15" s="244"/>
    </row>
    <row r="16" spans="1:50" x14ac:dyDescent="0.25">
      <c r="A16" s="106">
        <v>0.29166666666666669</v>
      </c>
      <c r="B16" s="124">
        <v>0.3125</v>
      </c>
      <c r="C16" s="144" t="e">
        <f>HLOOKUP($A$1,Расчеты!$J$251:$P$299,MATCH(A16,Расчеты!$A$252:$A$299,0)+1,0)</f>
        <v>#DIV/0!</v>
      </c>
      <c r="D16" s="141" t="e">
        <f>IF(C16&lt;&gt;"",ROUND(C16,0),CEILING(AVERAGE(C15,C17),1))</f>
        <v>#DIV/0!</v>
      </c>
      <c r="E16" s="68">
        <f t="shared" si="1"/>
        <v>3</v>
      </c>
      <c r="F16" s="145" t="e">
        <f>E16-D16</f>
        <v>#DIV/0!</v>
      </c>
      <c r="H16" s="63">
        <v>1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57"/>
      <c r="U16" s="236">
        <v>1</v>
      </c>
      <c r="V16" s="2"/>
      <c r="W16" s="2"/>
      <c r="X16" s="2"/>
      <c r="Y16" s="2"/>
      <c r="Z16" s="2"/>
      <c r="AA16" s="241"/>
      <c r="AB16" s="63">
        <v>1</v>
      </c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57"/>
      <c r="AX16" s="245"/>
    </row>
    <row r="17" spans="1:50" x14ac:dyDescent="0.25">
      <c r="A17" s="103">
        <v>0.3125</v>
      </c>
      <c r="B17" s="123">
        <v>0.33333333333333331</v>
      </c>
      <c r="C17" s="143" t="e">
        <f>HLOOKUP($A$1,Расчеты!$J$251:$P$299,MATCH(A17,Расчеты!$A$252:$A$299,0)+1,0)</f>
        <v>#DIV/0!</v>
      </c>
      <c r="D17" s="4" t="e">
        <f>IF(C17&lt;&gt;"",ROUND(C17,0),CEILING(AVERAGE(C16,C18),1))</f>
        <v>#DIV/0!</v>
      </c>
      <c r="E17" s="2">
        <f t="shared" si="1"/>
        <v>3</v>
      </c>
      <c r="F17" s="142" t="e">
        <f t="shared" ref="F17:F49" si="4">E17-D17</f>
        <v>#DIV/0!</v>
      </c>
      <c r="H17" s="63">
        <v>1</v>
      </c>
      <c r="I17" s="2">
        <v>1</v>
      </c>
      <c r="J17" s="2"/>
      <c r="K17" s="2"/>
      <c r="L17" s="2"/>
      <c r="M17" s="2"/>
      <c r="N17" s="2"/>
      <c r="O17" s="2"/>
      <c r="P17" s="2"/>
      <c r="Q17" s="2"/>
      <c r="R17" s="2"/>
      <c r="S17" s="2"/>
      <c r="T17" s="57"/>
      <c r="U17" s="236">
        <v>1</v>
      </c>
      <c r="V17" s="2">
        <v>1</v>
      </c>
      <c r="W17" s="2"/>
      <c r="X17" s="2"/>
      <c r="Y17" s="2"/>
      <c r="Z17" s="2"/>
      <c r="AA17" s="241"/>
      <c r="AB17" s="63">
        <v>1</v>
      </c>
      <c r="AC17" s="2">
        <v>1</v>
      </c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57"/>
      <c r="AX17" s="245"/>
    </row>
    <row r="18" spans="1:50" x14ac:dyDescent="0.25">
      <c r="A18" s="103">
        <v>0.33333333333333331</v>
      </c>
      <c r="B18" s="123">
        <v>0.35416666666666669</v>
      </c>
      <c r="C18" s="143" t="e">
        <f>HLOOKUP($A$1,Расчеты!$J$251:$P$299,MATCH(A18,Расчеты!$A$252:$A$299,0)+1,0)</f>
        <v>#DIV/0!</v>
      </c>
      <c r="D18" s="4" t="e">
        <f t="shared" ref="D18:D45" si="5">IF(C18&lt;&gt;"",ROUND(C18,0),CEILING(AVERAGE(C17,C19),1))</f>
        <v>#DIV/0!</v>
      </c>
      <c r="E18" s="2">
        <f t="shared" si="1"/>
        <v>3</v>
      </c>
      <c r="F18" s="142" t="e">
        <f t="shared" si="4"/>
        <v>#DIV/0!</v>
      </c>
      <c r="H18" s="63">
        <v>1</v>
      </c>
      <c r="I18" s="2">
        <v>1</v>
      </c>
      <c r="J18" s="2">
        <v>1</v>
      </c>
      <c r="K18" s="2"/>
      <c r="L18" s="2"/>
      <c r="M18" s="2"/>
      <c r="N18" s="2"/>
      <c r="O18" s="2"/>
      <c r="P18" s="2"/>
      <c r="Q18" s="2"/>
      <c r="R18" s="2"/>
      <c r="S18" s="2"/>
      <c r="T18" s="57"/>
      <c r="U18" s="236">
        <v>1</v>
      </c>
      <c r="V18" s="2">
        <v>1</v>
      </c>
      <c r="W18" s="2">
        <v>1</v>
      </c>
      <c r="X18" s="2"/>
      <c r="Y18" s="2"/>
      <c r="Z18" s="2"/>
      <c r="AA18" s="241"/>
      <c r="AB18" s="63">
        <v>1</v>
      </c>
      <c r="AC18" s="2">
        <v>1</v>
      </c>
      <c r="AD18" s="2">
        <v>1</v>
      </c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57"/>
      <c r="AX18" s="245"/>
    </row>
    <row r="19" spans="1:50" x14ac:dyDescent="0.25">
      <c r="A19" s="103">
        <v>0.35416666666666669</v>
      </c>
      <c r="B19" s="123">
        <v>0.375</v>
      </c>
      <c r="C19" s="143" t="e">
        <f>HLOOKUP($A$1,Расчеты!$J$251:$P$299,MATCH(A19,Расчеты!$A$252:$A$299,0)+1,0)</f>
        <v>#DIV/0!</v>
      </c>
      <c r="D19" s="4" t="e">
        <f t="shared" si="5"/>
        <v>#DIV/0!</v>
      </c>
      <c r="E19" s="2">
        <f t="shared" si="1"/>
        <v>5</v>
      </c>
      <c r="F19" s="142" t="e">
        <f t="shared" si="4"/>
        <v>#DIV/0!</v>
      </c>
      <c r="H19" s="63">
        <v>1</v>
      </c>
      <c r="I19" s="2">
        <v>1</v>
      </c>
      <c r="J19" s="2">
        <v>1</v>
      </c>
      <c r="K19" s="2">
        <v>1</v>
      </c>
      <c r="L19" s="2"/>
      <c r="M19" s="2"/>
      <c r="N19" s="2"/>
      <c r="O19" s="2"/>
      <c r="P19" s="2"/>
      <c r="Q19" s="2"/>
      <c r="R19" s="2"/>
      <c r="S19" s="2"/>
      <c r="T19" s="57"/>
      <c r="U19" s="236">
        <v>1</v>
      </c>
      <c r="V19" s="2">
        <v>1</v>
      </c>
      <c r="W19" s="2">
        <v>1</v>
      </c>
      <c r="X19" s="2">
        <v>1</v>
      </c>
      <c r="Y19" s="2"/>
      <c r="Z19" s="2"/>
      <c r="AA19" s="241"/>
      <c r="AB19" s="63">
        <v>1</v>
      </c>
      <c r="AC19" s="2">
        <v>1</v>
      </c>
      <c r="AD19" s="2">
        <v>1</v>
      </c>
      <c r="AE19" s="2">
        <v>1</v>
      </c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57"/>
      <c r="AX19" s="245"/>
    </row>
    <row r="20" spans="1:50" x14ac:dyDescent="0.25">
      <c r="A20" s="103">
        <v>0.375</v>
      </c>
      <c r="B20" s="123">
        <v>0.39583333333333331</v>
      </c>
      <c r="C20" s="143" t="e">
        <f>HLOOKUP($A$1,Расчеты!$J$251:$P$299,MATCH(A20,Расчеты!$A$252:$A$299,0)+1,0)</f>
        <v>#DIV/0!</v>
      </c>
      <c r="D20" s="4" t="e">
        <f t="shared" si="5"/>
        <v>#DIV/0!</v>
      </c>
      <c r="E20" s="2">
        <f t="shared" si="1"/>
        <v>5</v>
      </c>
      <c r="F20" s="142" t="e">
        <f t="shared" si="4"/>
        <v>#DIV/0!</v>
      </c>
      <c r="H20" s="63">
        <v>1</v>
      </c>
      <c r="I20" s="2">
        <v>1</v>
      </c>
      <c r="J20" s="2">
        <v>1</v>
      </c>
      <c r="K20" s="2">
        <v>1</v>
      </c>
      <c r="L20" s="2">
        <v>1</v>
      </c>
      <c r="M20" s="2"/>
      <c r="N20" s="2"/>
      <c r="O20" s="2"/>
      <c r="P20" s="2"/>
      <c r="Q20" s="2"/>
      <c r="R20" s="2"/>
      <c r="S20" s="2"/>
      <c r="T20" s="57"/>
      <c r="U20" s="236">
        <v>1</v>
      </c>
      <c r="V20" s="2">
        <v>1</v>
      </c>
      <c r="W20" s="2">
        <v>1</v>
      </c>
      <c r="X20" s="2">
        <v>1</v>
      </c>
      <c r="Y20" s="2">
        <v>1</v>
      </c>
      <c r="Z20" s="2"/>
      <c r="AA20" s="241"/>
      <c r="AB20" s="63">
        <v>1</v>
      </c>
      <c r="AC20" s="2">
        <v>1</v>
      </c>
      <c r="AD20" s="2">
        <v>1</v>
      </c>
      <c r="AE20" s="2">
        <v>1</v>
      </c>
      <c r="AF20" s="2">
        <v>1</v>
      </c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57"/>
      <c r="AX20" s="245"/>
    </row>
    <row r="21" spans="1:50" x14ac:dyDescent="0.25">
      <c r="A21" s="103">
        <v>0.39583333333333331</v>
      </c>
      <c r="B21" s="123">
        <v>0.41666666666666669</v>
      </c>
      <c r="C21" s="143" t="e">
        <f>HLOOKUP($A$1,Расчеты!$J$251:$P$299,MATCH(A21,Расчеты!$A$252:$A$299,0)+1,0)</f>
        <v>#DIV/0!</v>
      </c>
      <c r="D21" s="4" t="e">
        <f t="shared" si="5"/>
        <v>#DIV/0!</v>
      </c>
      <c r="E21" s="2">
        <f t="shared" si="1"/>
        <v>6</v>
      </c>
      <c r="F21" s="142" t="e">
        <f t="shared" si="4"/>
        <v>#DIV/0!</v>
      </c>
      <c r="H21" s="63">
        <v>1</v>
      </c>
      <c r="I21" s="2">
        <v>1</v>
      </c>
      <c r="J21" s="2">
        <v>1</v>
      </c>
      <c r="K21" s="2">
        <v>1</v>
      </c>
      <c r="L21" s="2">
        <v>1</v>
      </c>
      <c r="M21" s="2">
        <v>1</v>
      </c>
      <c r="N21" s="2"/>
      <c r="O21" s="2"/>
      <c r="P21" s="2"/>
      <c r="Q21" s="2"/>
      <c r="R21" s="2"/>
      <c r="S21" s="2"/>
      <c r="T21" s="57"/>
      <c r="U21" s="236">
        <v>1</v>
      </c>
      <c r="V21" s="2">
        <v>1</v>
      </c>
      <c r="W21" s="2">
        <v>1</v>
      </c>
      <c r="X21" s="2">
        <v>1</v>
      </c>
      <c r="Y21" s="2">
        <v>1</v>
      </c>
      <c r="Z21" s="2">
        <v>1</v>
      </c>
      <c r="AA21" s="241"/>
      <c r="AB21" s="63">
        <v>1</v>
      </c>
      <c r="AC21" s="2">
        <v>1</v>
      </c>
      <c r="AD21" s="2">
        <v>1</v>
      </c>
      <c r="AE21" s="2">
        <v>1</v>
      </c>
      <c r="AF21" s="2">
        <v>1</v>
      </c>
      <c r="AG21" s="2">
        <v>1</v>
      </c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57"/>
      <c r="AX21" s="245"/>
    </row>
    <row r="22" spans="1:50" x14ac:dyDescent="0.25">
      <c r="A22" s="103">
        <v>0.41666666666666669</v>
      </c>
      <c r="B22" s="123">
        <v>0.4375</v>
      </c>
      <c r="C22" s="143" t="e">
        <f>HLOOKUP($A$1,Расчеты!$J$251:$P$299,MATCH(A22,Расчеты!$A$252:$A$299,0)+1,0)</f>
        <v>#DIV/0!</v>
      </c>
      <c r="D22" s="4" t="e">
        <f t="shared" si="5"/>
        <v>#DIV/0!</v>
      </c>
      <c r="E22" s="2">
        <f t="shared" si="1"/>
        <v>10</v>
      </c>
      <c r="F22" s="142" t="e">
        <f t="shared" si="4"/>
        <v>#DIV/0!</v>
      </c>
      <c r="H22" s="63">
        <v>1</v>
      </c>
      <c r="I22" s="2">
        <v>1</v>
      </c>
      <c r="J22" s="2">
        <v>1</v>
      </c>
      <c r="K22" s="2">
        <v>1</v>
      </c>
      <c r="L22" s="2">
        <v>1</v>
      </c>
      <c r="M22" s="2">
        <v>1</v>
      </c>
      <c r="N22" s="2">
        <v>1</v>
      </c>
      <c r="O22" s="2"/>
      <c r="P22" s="2"/>
      <c r="Q22" s="2"/>
      <c r="R22" s="2"/>
      <c r="S22" s="2"/>
      <c r="T22" s="57"/>
      <c r="U22" s="236">
        <v>1</v>
      </c>
      <c r="V22" s="2">
        <v>1</v>
      </c>
      <c r="W22" s="2">
        <v>1</v>
      </c>
      <c r="X22" s="2">
        <v>1</v>
      </c>
      <c r="Y22" s="2">
        <v>1</v>
      </c>
      <c r="Z22" s="2">
        <v>1</v>
      </c>
      <c r="AA22" s="241">
        <v>1</v>
      </c>
      <c r="AB22" s="63">
        <v>1</v>
      </c>
      <c r="AC22" s="2">
        <v>1</v>
      </c>
      <c r="AD22" s="2">
        <v>1</v>
      </c>
      <c r="AE22" s="2">
        <v>1</v>
      </c>
      <c r="AF22" s="2">
        <v>1</v>
      </c>
      <c r="AG22" s="2">
        <v>1</v>
      </c>
      <c r="AH22" s="2">
        <v>1</v>
      </c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57"/>
      <c r="AX22" s="245"/>
    </row>
    <row r="23" spans="1:50" x14ac:dyDescent="0.25">
      <c r="A23" s="103">
        <v>0.4375</v>
      </c>
      <c r="B23" s="123">
        <v>0.45833333333333331</v>
      </c>
      <c r="C23" s="143" t="e">
        <f>HLOOKUP($A$1,Расчеты!$J$251:$P$299,MATCH(A23,Расчеты!$A$252:$A$299,0)+1,0)</f>
        <v>#DIV/0!</v>
      </c>
      <c r="D23" s="4" t="e">
        <f t="shared" si="5"/>
        <v>#DIV/0!</v>
      </c>
      <c r="E23" s="2">
        <f t="shared" si="1"/>
        <v>10</v>
      </c>
      <c r="F23" s="142" t="e">
        <f t="shared" si="4"/>
        <v>#DIV/0!</v>
      </c>
      <c r="H23" s="63">
        <v>1</v>
      </c>
      <c r="I23" s="2">
        <v>1</v>
      </c>
      <c r="J23" s="2">
        <v>1</v>
      </c>
      <c r="K23" s="2">
        <v>1</v>
      </c>
      <c r="L23" s="2">
        <v>1</v>
      </c>
      <c r="M23" s="2">
        <v>1</v>
      </c>
      <c r="N23" s="2">
        <v>1</v>
      </c>
      <c r="O23" s="2">
        <v>1</v>
      </c>
      <c r="P23" s="2"/>
      <c r="Q23" s="2"/>
      <c r="R23" s="2"/>
      <c r="S23" s="2"/>
      <c r="T23" s="57"/>
      <c r="U23" s="236">
        <v>1</v>
      </c>
      <c r="V23" s="2">
        <v>1</v>
      </c>
      <c r="W23" s="2">
        <v>1</v>
      </c>
      <c r="X23" s="2">
        <v>1</v>
      </c>
      <c r="Y23" s="2">
        <v>1</v>
      </c>
      <c r="Z23" s="2">
        <v>1</v>
      </c>
      <c r="AA23" s="241">
        <v>1</v>
      </c>
      <c r="AB23" s="63">
        <v>1</v>
      </c>
      <c r="AC23" s="2">
        <v>1</v>
      </c>
      <c r="AD23" s="2">
        <v>1</v>
      </c>
      <c r="AE23" s="2">
        <v>1</v>
      </c>
      <c r="AF23" s="2">
        <v>1</v>
      </c>
      <c r="AG23" s="2">
        <v>1</v>
      </c>
      <c r="AH23" s="2">
        <v>1</v>
      </c>
      <c r="AI23" s="2">
        <v>1</v>
      </c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57"/>
      <c r="AX23" s="245"/>
    </row>
    <row r="24" spans="1:50" x14ac:dyDescent="0.25">
      <c r="A24" s="103">
        <v>0.45833333333333331</v>
      </c>
      <c r="B24" s="123">
        <v>0.47916666666666669</v>
      </c>
      <c r="C24" s="143" t="e">
        <f>HLOOKUP($A$1,Расчеты!$J$251:$P$299,MATCH(A24,Расчеты!$A$252:$A$299,0)+1,0)</f>
        <v>#DIV/0!</v>
      </c>
      <c r="D24" s="4" t="e">
        <f t="shared" si="5"/>
        <v>#DIV/0!</v>
      </c>
      <c r="E24" s="2">
        <f t="shared" si="1"/>
        <v>10</v>
      </c>
      <c r="F24" s="142" t="e">
        <f t="shared" si="4"/>
        <v>#DIV/0!</v>
      </c>
      <c r="H24" s="63">
        <v>1</v>
      </c>
      <c r="I24" s="2">
        <v>1</v>
      </c>
      <c r="J24" s="2">
        <v>1</v>
      </c>
      <c r="K24" s="2">
        <v>1</v>
      </c>
      <c r="L24" s="2">
        <v>1</v>
      </c>
      <c r="M24" s="2">
        <v>1</v>
      </c>
      <c r="N24" s="2">
        <v>1</v>
      </c>
      <c r="O24" s="2">
        <v>1</v>
      </c>
      <c r="P24" s="2">
        <v>1</v>
      </c>
      <c r="Q24" s="2"/>
      <c r="R24" s="2"/>
      <c r="S24" s="2"/>
      <c r="T24" s="57"/>
      <c r="U24" s="236">
        <v>1</v>
      </c>
      <c r="V24" s="2">
        <v>1</v>
      </c>
      <c r="W24" s="2">
        <v>1</v>
      </c>
      <c r="X24" s="2">
        <v>1</v>
      </c>
      <c r="Y24" s="2">
        <v>1</v>
      </c>
      <c r="Z24" s="2">
        <v>1</v>
      </c>
      <c r="AA24" s="241">
        <v>1</v>
      </c>
      <c r="AB24" s="63">
        <v>1</v>
      </c>
      <c r="AC24" s="2">
        <v>1</v>
      </c>
      <c r="AD24" s="2">
        <v>1</v>
      </c>
      <c r="AE24" s="2">
        <v>1</v>
      </c>
      <c r="AF24" s="2">
        <v>1</v>
      </c>
      <c r="AG24" s="2">
        <v>1</v>
      </c>
      <c r="AH24" s="2">
        <v>1</v>
      </c>
      <c r="AI24" s="2">
        <v>1</v>
      </c>
      <c r="AJ24" s="2">
        <v>1</v>
      </c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57"/>
      <c r="AX24" s="245"/>
    </row>
    <row r="25" spans="1:50" x14ac:dyDescent="0.25">
      <c r="A25" s="103">
        <v>0.47916666666666669</v>
      </c>
      <c r="B25" s="123">
        <v>0.5</v>
      </c>
      <c r="C25" s="143" t="e">
        <f>HLOOKUP($A$1,Расчеты!$J$251:$P$299,MATCH(A25,Расчеты!$A$252:$A$299,0)+1,0)</f>
        <v>#DIV/0!</v>
      </c>
      <c r="D25" s="4" t="e">
        <f t="shared" si="5"/>
        <v>#DIV/0!</v>
      </c>
      <c r="E25" s="2">
        <f t="shared" si="1"/>
        <v>10</v>
      </c>
      <c r="F25" s="142" t="e">
        <f t="shared" si="4"/>
        <v>#DIV/0!</v>
      </c>
      <c r="H25" s="63">
        <v>1</v>
      </c>
      <c r="I25" s="2">
        <v>1</v>
      </c>
      <c r="J25" s="2">
        <v>1</v>
      </c>
      <c r="K25" s="2">
        <v>1</v>
      </c>
      <c r="L25" s="2">
        <v>1</v>
      </c>
      <c r="M25" s="2">
        <v>1</v>
      </c>
      <c r="N25" s="2">
        <v>1</v>
      </c>
      <c r="O25" s="2">
        <v>1</v>
      </c>
      <c r="P25" s="2">
        <v>1</v>
      </c>
      <c r="Q25" s="2">
        <v>1</v>
      </c>
      <c r="R25" s="2"/>
      <c r="S25" s="2"/>
      <c r="T25" s="57"/>
      <c r="U25" s="236">
        <v>1</v>
      </c>
      <c r="V25" s="2">
        <v>1</v>
      </c>
      <c r="W25" s="2">
        <v>1</v>
      </c>
      <c r="X25" s="2">
        <v>1</v>
      </c>
      <c r="Y25" s="2">
        <v>1</v>
      </c>
      <c r="Z25" s="2">
        <v>1</v>
      </c>
      <c r="AA25" s="241">
        <v>1</v>
      </c>
      <c r="AB25" s="63"/>
      <c r="AC25" s="2">
        <v>1</v>
      </c>
      <c r="AD25" s="2">
        <v>1</v>
      </c>
      <c r="AE25" s="2">
        <v>1</v>
      </c>
      <c r="AF25" s="2">
        <v>1</v>
      </c>
      <c r="AG25" s="2">
        <v>1</v>
      </c>
      <c r="AH25" s="2">
        <v>1</v>
      </c>
      <c r="AI25" s="2">
        <v>1</v>
      </c>
      <c r="AJ25" s="2">
        <v>1</v>
      </c>
      <c r="AK25" s="2">
        <v>1</v>
      </c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57"/>
      <c r="AX25" s="245"/>
    </row>
    <row r="26" spans="1:50" x14ac:dyDescent="0.25">
      <c r="A26" s="103">
        <v>0.5</v>
      </c>
      <c r="B26" s="123">
        <v>0.52083333333333337</v>
      </c>
      <c r="C26" s="143" t="e">
        <f>HLOOKUP($A$1,Расчеты!$J$251:$P$299,MATCH(A26,Расчеты!$A$252:$A$299,0)+1,0)</f>
        <v>#DIV/0!</v>
      </c>
      <c r="D26" s="4" t="e">
        <f t="shared" si="5"/>
        <v>#DIV/0!</v>
      </c>
      <c r="E26" s="2">
        <f t="shared" si="1"/>
        <v>10</v>
      </c>
      <c r="F26" s="142" t="e">
        <f t="shared" si="4"/>
        <v>#DIV/0!</v>
      </c>
      <c r="H26" s="63">
        <v>1</v>
      </c>
      <c r="I26" s="2">
        <v>1</v>
      </c>
      <c r="J26" s="2">
        <v>1</v>
      </c>
      <c r="K26" s="2">
        <v>1</v>
      </c>
      <c r="L26" s="2">
        <v>1</v>
      </c>
      <c r="M26" s="2">
        <v>1</v>
      </c>
      <c r="N26" s="2">
        <v>1</v>
      </c>
      <c r="O26" s="2">
        <v>1</v>
      </c>
      <c r="P26" s="2">
        <v>1</v>
      </c>
      <c r="Q26" s="2">
        <v>1</v>
      </c>
      <c r="R26" s="2">
        <v>1</v>
      </c>
      <c r="S26" s="2"/>
      <c r="T26" s="57"/>
      <c r="U26" s="236">
        <v>1</v>
      </c>
      <c r="V26" s="2">
        <v>1</v>
      </c>
      <c r="W26" s="2">
        <v>1</v>
      </c>
      <c r="X26" s="2">
        <v>1</v>
      </c>
      <c r="Y26" s="2">
        <v>1</v>
      </c>
      <c r="Z26" s="2">
        <v>1</v>
      </c>
      <c r="AA26" s="241">
        <v>1</v>
      </c>
      <c r="AB26" s="63"/>
      <c r="AC26" s="2"/>
      <c r="AD26" s="2">
        <v>1</v>
      </c>
      <c r="AE26" s="2">
        <v>1</v>
      </c>
      <c r="AF26" s="2">
        <v>1</v>
      </c>
      <c r="AG26" s="2">
        <v>1</v>
      </c>
      <c r="AH26" s="2">
        <v>1</v>
      </c>
      <c r="AI26" s="2">
        <v>1</v>
      </c>
      <c r="AJ26" s="2">
        <v>1</v>
      </c>
      <c r="AK26" s="2">
        <v>1</v>
      </c>
      <c r="AL26" s="2">
        <v>1</v>
      </c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57"/>
      <c r="AX26" s="245"/>
    </row>
    <row r="27" spans="1:50" x14ac:dyDescent="0.25">
      <c r="A27" s="103">
        <v>0.52083333333333337</v>
      </c>
      <c r="B27" s="123">
        <v>0.54166666666666663</v>
      </c>
      <c r="C27" s="143" t="e">
        <f>HLOOKUP($A$1,Расчеты!$J$251:$P$299,MATCH(A27,Расчеты!$A$252:$A$299,0)+1,0)</f>
        <v>#DIV/0!</v>
      </c>
      <c r="D27" s="4" t="e">
        <f t="shared" si="5"/>
        <v>#DIV/0!</v>
      </c>
      <c r="E27" s="2">
        <f t="shared" si="1"/>
        <v>10</v>
      </c>
      <c r="F27" s="142" t="e">
        <f t="shared" si="4"/>
        <v>#DIV/0!</v>
      </c>
      <c r="H27" s="63">
        <v>1</v>
      </c>
      <c r="I27" s="2">
        <v>1</v>
      </c>
      <c r="J27" s="2">
        <v>1</v>
      </c>
      <c r="K27" s="2">
        <v>1</v>
      </c>
      <c r="L27" s="2">
        <v>1</v>
      </c>
      <c r="M27" s="2">
        <v>1</v>
      </c>
      <c r="N27" s="2">
        <v>1</v>
      </c>
      <c r="O27" s="2">
        <v>1</v>
      </c>
      <c r="P27" s="2">
        <v>1</v>
      </c>
      <c r="Q27" s="2">
        <v>1</v>
      </c>
      <c r="R27" s="2">
        <v>1</v>
      </c>
      <c r="S27" s="2">
        <v>1</v>
      </c>
      <c r="T27" s="57"/>
      <c r="U27" s="236">
        <v>1</v>
      </c>
      <c r="V27" s="2">
        <v>1</v>
      </c>
      <c r="W27" s="2">
        <v>1</v>
      </c>
      <c r="X27" s="2">
        <v>1</v>
      </c>
      <c r="Y27" s="2">
        <v>1</v>
      </c>
      <c r="Z27" s="2">
        <v>1</v>
      </c>
      <c r="AA27" s="241">
        <v>1</v>
      </c>
      <c r="AB27" s="63"/>
      <c r="AC27" s="2"/>
      <c r="AD27" s="2"/>
      <c r="AE27" s="2">
        <v>1</v>
      </c>
      <c r="AF27" s="2">
        <v>1</v>
      </c>
      <c r="AG27" s="2">
        <v>1</v>
      </c>
      <c r="AH27" s="2">
        <v>1</v>
      </c>
      <c r="AI27" s="2">
        <v>1</v>
      </c>
      <c r="AJ27" s="2">
        <v>1</v>
      </c>
      <c r="AK27" s="2">
        <v>1</v>
      </c>
      <c r="AL27" s="2">
        <v>1</v>
      </c>
      <c r="AM27" s="2">
        <v>1</v>
      </c>
      <c r="AN27" s="2"/>
      <c r="AO27" s="2"/>
      <c r="AP27" s="2"/>
      <c r="AQ27" s="2"/>
      <c r="AR27" s="2"/>
      <c r="AS27" s="2"/>
      <c r="AT27" s="2"/>
      <c r="AU27" s="2"/>
      <c r="AV27" s="2"/>
      <c r="AW27" s="57"/>
      <c r="AX27" s="245"/>
    </row>
    <row r="28" spans="1:50" x14ac:dyDescent="0.25">
      <c r="A28" s="103">
        <v>0.54166666666666663</v>
      </c>
      <c r="B28" s="123">
        <v>0.5625</v>
      </c>
      <c r="C28" s="143" t="e">
        <f>HLOOKUP($A$1,Расчеты!$J$251:$P$299,MATCH(A28,Расчеты!$A$252:$A$299,0)+1,0)</f>
        <v>#DIV/0!</v>
      </c>
      <c r="D28" s="4" t="e">
        <f t="shared" si="5"/>
        <v>#DIV/0!</v>
      </c>
      <c r="E28" s="2">
        <f t="shared" si="1"/>
        <v>10</v>
      </c>
      <c r="F28" s="142" t="e">
        <f t="shared" si="4"/>
        <v>#DIV/0!</v>
      </c>
      <c r="H28" s="63">
        <v>1</v>
      </c>
      <c r="I28" s="2">
        <v>1</v>
      </c>
      <c r="J28" s="2">
        <v>1</v>
      </c>
      <c r="K28" s="2">
        <v>1</v>
      </c>
      <c r="L28" s="2">
        <v>1</v>
      </c>
      <c r="M28" s="2">
        <v>1</v>
      </c>
      <c r="N28" s="2">
        <v>1</v>
      </c>
      <c r="O28" s="2">
        <v>1</v>
      </c>
      <c r="P28" s="2">
        <v>1</v>
      </c>
      <c r="Q28" s="2">
        <v>1</v>
      </c>
      <c r="R28" s="2">
        <v>1</v>
      </c>
      <c r="S28" s="2">
        <v>1</v>
      </c>
      <c r="T28" s="57">
        <v>1</v>
      </c>
      <c r="U28" s="236">
        <v>1</v>
      </c>
      <c r="V28" s="2">
        <v>1</v>
      </c>
      <c r="W28" s="2">
        <v>1</v>
      </c>
      <c r="X28" s="2">
        <v>1</v>
      </c>
      <c r="Y28" s="2">
        <v>1</v>
      </c>
      <c r="Z28" s="2">
        <v>1</v>
      </c>
      <c r="AA28" s="241">
        <v>1</v>
      </c>
      <c r="AB28" s="63"/>
      <c r="AC28" s="2"/>
      <c r="AD28" s="2"/>
      <c r="AE28" s="2"/>
      <c r="AF28" s="2">
        <v>1</v>
      </c>
      <c r="AG28" s="2">
        <v>1</v>
      </c>
      <c r="AH28" s="2">
        <v>1</v>
      </c>
      <c r="AI28" s="2">
        <v>1</v>
      </c>
      <c r="AJ28" s="2">
        <v>1</v>
      </c>
      <c r="AK28" s="2">
        <v>1</v>
      </c>
      <c r="AL28" s="2">
        <v>1</v>
      </c>
      <c r="AM28" s="2">
        <v>1</v>
      </c>
      <c r="AN28" s="2">
        <v>1</v>
      </c>
      <c r="AO28" s="2"/>
      <c r="AP28" s="2"/>
      <c r="AQ28" s="2"/>
      <c r="AR28" s="2"/>
      <c r="AS28" s="2"/>
      <c r="AT28" s="2"/>
      <c r="AU28" s="2"/>
      <c r="AV28" s="2"/>
      <c r="AW28" s="57"/>
      <c r="AX28" s="245"/>
    </row>
    <row r="29" spans="1:50" x14ac:dyDescent="0.25">
      <c r="A29" s="103">
        <v>0.5625</v>
      </c>
      <c r="B29" s="123">
        <v>0.58333333333333337</v>
      </c>
      <c r="C29" s="143" t="e">
        <f>HLOOKUP($A$1,Расчеты!$J$251:$P$299,MATCH(A29,Расчеты!$A$252:$A$299,0)+1,0)</f>
        <v>#DIV/0!</v>
      </c>
      <c r="D29" s="4" t="e">
        <f t="shared" si="5"/>
        <v>#DIV/0!</v>
      </c>
      <c r="E29" s="2">
        <f t="shared" si="1"/>
        <v>10</v>
      </c>
      <c r="F29" s="142" t="e">
        <f t="shared" si="4"/>
        <v>#DIV/0!</v>
      </c>
      <c r="H29" s="63">
        <v>1</v>
      </c>
      <c r="I29" s="2">
        <v>1</v>
      </c>
      <c r="J29" s="2">
        <v>1</v>
      </c>
      <c r="K29" s="2">
        <v>1</v>
      </c>
      <c r="L29" s="2">
        <v>1</v>
      </c>
      <c r="M29" s="2">
        <v>1</v>
      </c>
      <c r="N29" s="2">
        <v>1</v>
      </c>
      <c r="O29" s="2">
        <v>1</v>
      </c>
      <c r="P29" s="2">
        <v>1</v>
      </c>
      <c r="Q29" s="2">
        <v>1</v>
      </c>
      <c r="R29" s="2">
        <v>1</v>
      </c>
      <c r="S29" s="2">
        <v>1</v>
      </c>
      <c r="T29" s="57">
        <v>1</v>
      </c>
      <c r="U29" s="236">
        <v>1</v>
      </c>
      <c r="V29" s="2">
        <v>1</v>
      </c>
      <c r="W29" s="2">
        <v>1</v>
      </c>
      <c r="X29" s="2">
        <v>1</v>
      </c>
      <c r="Y29" s="2">
        <v>1</v>
      </c>
      <c r="Z29" s="2">
        <v>1</v>
      </c>
      <c r="AA29" s="241">
        <v>1</v>
      </c>
      <c r="AB29" s="63"/>
      <c r="AC29" s="2"/>
      <c r="AD29" s="2"/>
      <c r="AE29" s="2"/>
      <c r="AF29" s="2"/>
      <c r="AG29" s="2">
        <v>1</v>
      </c>
      <c r="AH29" s="2">
        <v>1</v>
      </c>
      <c r="AI29" s="2">
        <v>1</v>
      </c>
      <c r="AJ29" s="2">
        <v>1</v>
      </c>
      <c r="AK29" s="2">
        <v>1</v>
      </c>
      <c r="AL29" s="2">
        <v>1</v>
      </c>
      <c r="AM29" s="2">
        <v>1</v>
      </c>
      <c r="AN29" s="2">
        <v>1</v>
      </c>
      <c r="AO29" s="2">
        <v>1</v>
      </c>
      <c r="AP29" s="2"/>
      <c r="AQ29" s="2"/>
      <c r="AR29" s="2"/>
      <c r="AS29" s="2"/>
      <c r="AT29" s="2"/>
      <c r="AU29" s="2"/>
      <c r="AV29" s="2"/>
      <c r="AW29" s="57"/>
      <c r="AX29" s="245"/>
    </row>
    <row r="30" spans="1:50" x14ac:dyDescent="0.25">
      <c r="A30" s="103">
        <v>0.58333333333333337</v>
      </c>
      <c r="B30" s="123">
        <v>0.60416666666666663</v>
      </c>
      <c r="C30" s="143" t="e">
        <f>HLOOKUP($A$1,Расчеты!$J$251:$P$299,MATCH(A30,Расчеты!$A$252:$A$299,0)+1,0)</f>
        <v>#DIV/0!</v>
      </c>
      <c r="D30" s="4" t="e">
        <f t="shared" si="5"/>
        <v>#DIV/0!</v>
      </c>
      <c r="E30" s="2">
        <f t="shared" si="1"/>
        <v>10</v>
      </c>
      <c r="F30" s="142" t="e">
        <f t="shared" si="4"/>
        <v>#DIV/0!</v>
      </c>
      <c r="H30" s="63">
        <v>1</v>
      </c>
      <c r="I30" s="2">
        <v>1</v>
      </c>
      <c r="J30" s="2">
        <v>1</v>
      </c>
      <c r="K30" s="2">
        <v>1</v>
      </c>
      <c r="L30" s="2">
        <v>1</v>
      </c>
      <c r="M30" s="2">
        <v>1</v>
      </c>
      <c r="N30" s="2">
        <v>1</v>
      </c>
      <c r="O30" s="2">
        <v>1</v>
      </c>
      <c r="P30" s="2">
        <v>1</v>
      </c>
      <c r="Q30" s="2">
        <v>1</v>
      </c>
      <c r="R30" s="2">
        <v>1</v>
      </c>
      <c r="S30" s="2">
        <v>1</v>
      </c>
      <c r="T30" s="57">
        <v>1</v>
      </c>
      <c r="U30" s="236">
        <v>1</v>
      </c>
      <c r="V30" s="2">
        <v>1</v>
      </c>
      <c r="W30" s="2">
        <v>1</v>
      </c>
      <c r="X30" s="2">
        <v>1</v>
      </c>
      <c r="Y30" s="2">
        <v>1</v>
      </c>
      <c r="Z30" s="2">
        <v>1</v>
      </c>
      <c r="AA30" s="241">
        <v>1</v>
      </c>
      <c r="AB30" s="63"/>
      <c r="AC30" s="2"/>
      <c r="AD30" s="2"/>
      <c r="AE30" s="2"/>
      <c r="AF30" s="2"/>
      <c r="AG30" s="2"/>
      <c r="AH30" s="2">
        <v>1</v>
      </c>
      <c r="AI30" s="2">
        <v>1</v>
      </c>
      <c r="AJ30" s="2">
        <v>1</v>
      </c>
      <c r="AK30" s="2">
        <v>1</v>
      </c>
      <c r="AL30" s="2">
        <v>1</v>
      </c>
      <c r="AM30" s="2">
        <v>1</v>
      </c>
      <c r="AN30" s="2">
        <v>1</v>
      </c>
      <c r="AO30" s="2">
        <v>1</v>
      </c>
      <c r="AP30" s="2">
        <v>1</v>
      </c>
      <c r="AQ30" s="2"/>
      <c r="AR30" s="2"/>
      <c r="AS30" s="2"/>
      <c r="AT30" s="2"/>
      <c r="AU30" s="2"/>
      <c r="AV30" s="2"/>
      <c r="AW30" s="57"/>
      <c r="AX30" s="245"/>
    </row>
    <row r="31" spans="1:50" x14ac:dyDescent="0.25">
      <c r="A31" s="103">
        <v>0.60416666666666663</v>
      </c>
      <c r="B31" s="123">
        <v>0.625</v>
      </c>
      <c r="C31" s="143" t="e">
        <f>HLOOKUP($A$1,Расчеты!$J$251:$P$299,MATCH(A31,Расчеты!$A$252:$A$299,0)+1,0)</f>
        <v>#DIV/0!</v>
      </c>
      <c r="D31" s="4" t="e">
        <f t="shared" si="5"/>
        <v>#DIV/0!</v>
      </c>
      <c r="E31" s="2">
        <f t="shared" si="1"/>
        <v>10</v>
      </c>
      <c r="F31" s="142" t="e">
        <f t="shared" si="4"/>
        <v>#DIV/0!</v>
      </c>
      <c r="H31" s="63">
        <v>1</v>
      </c>
      <c r="I31" s="2">
        <v>1</v>
      </c>
      <c r="J31" s="2">
        <v>1</v>
      </c>
      <c r="K31" s="2">
        <v>1</v>
      </c>
      <c r="L31" s="2">
        <v>1</v>
      </c>
      <c r="M31" s="2">
        <v>1</v>
      </c>
      <c r="N31" s="2">
        <v>1</v>
      </c>
      <c r="O31" s="2">
        <v>1</v>
      </c>
      <c r="P31" s="2">
        <v>1</v>
      </c>
      <c r="Q31" s="2">
        <v>1</v>
      </c>
      <c r="R31" s="2">
        <v>1</v>
      </c>
      <c r="S31" s="2">
        <v>1</v>
      </c>
      <c r="T31" s="57">
        <v>1</v>
      </c>
      <c r="U31" s="236">
        <v>1</v>
      </c>
      <c r="V31" s="2">
        <v>1</v>
      </c>
      <c r="W31" s="2">
        <v>1</v>
      </c>
      <c r="X31" s="2">
        <v>1</v>
      </c>
      <c r="Y31" s="2">
        <v>1</v>
      </c>
      <c r="Z31" s="2">
        <v>1</v>
      </c>
      <c r="AA31" s="241">
        <v>1</v>
      </c>
      <c r="AB31" s="63"/>
      <c r="AC31" s="2"/>
      <c r="AD31" s="2"/>
      <c r="AE31" s="2"/>
      <c r="AF31" s="2"/>
      <c r="AG31" s="2"/>
      <c r="AH31" s="2"/>
      <c r="AI31" s="2">
        <v>1</v>
      </c>
      <c r="AJ31" s="2">
        <v>1</v>
      </c>
      <c r="AK31" s="2">
        <v>1</v>
      </c>
      <c r="AL31" s="2">
        <v>1</v>
      </c>
      <c r="AM31" s="2">
        <v>1</v>
      </c>
      <c r="AN31" s="2">
        <v>1</v>
      </c>
      <c r="AO31" s="2">
        <v>1</v>
      </c>
      <c r="AP31" s="2">
        <v>1</v>
      </c>
      <c r="AQ31" s="2">
        <v>1</v>
      </c>
      <c r="AR31" s="2"/>
      <c r="AS31" s="2"/>
      <c r="AT31" s="2"/>
      <c r="AU31" s="2"/>
      <c r="AV31" s="2"/>
      <c r="AW31" s="57"/>
      <c r="AX31" s="245"/>
    </row>
    <row r="32" spans="1:50" x14ac:dyDescent="0.25">
      <c r="A32" s="103">
        <v>0.625</v>
      </c>
      <c r="B32" s="123">
        <v>0.64583333333333337</v>
      </c>
      <c r="C32" s="143" t="e">
        <f>HLOOKUP($A$1,Расчеты!$J$251:$P$299,MATCH(A32,Расчеты!$A$252:$A$299,0)+1,0)</f>
        <v>#DIV/0!</v>
      </c>
      <c r="D32" s="4" t="e">
        <f t="shared" si="5"/>
        <v>#DIV/0!</v>
      </c>
      <c r="E32" s="2">
        <f t="shared" si="1"/>
        <v>10</v>
      </c>
      <c r="F32" s="142" t="e">
        <f t="shared" si="4"/>
        <v>#DIV/0!</v>
      </c>
      <c r="H32" s="63">
        <v>1</v>
      </c>
      <c r="I32" s="2">
        <v>1</v>
      </c>
      <c r="J32" s="2">
        <v>1</v>
      </c>
      <c r="K32" s="2">
        <v>1</v>
      </c>
      <c r="L32" s="2">
        <v>1</v>
      </c>
      <c r="M32" s="2">
        <v>1</v>
      </c>
      <c r="N32" s="2">
        <v>1</v>
      </c>
      <c r="O32" s="2">
        <v>1</v>
      </c>
      <c r="P32" s="2">
        <v>1</v>
      </c>
      <c r="Q32" s="2">
        <v>1</v>
      </c>
      <c r="R32" s="2">
        <v>1</v>
      </c>
      <c r="S32" s="2">
        <v>1</v>
      </c>
      <c r="T32" s="57">
        <v>1</v>
      </c>
      <c r="U32" s="236">
        <v>1</v>
      </c>
      <c r="V32" s="2">
        <v>1</v>
      </c>
      <c r="W32" s="2">
        <v>1</v>
      </c>
      <c r="X32" s="2">
        <v>1</v>
      </c>
      <c r="Y32" s="2">
        <v>1</v>
      </c>
      <c r="Z32" s="2">
        <v>1</v>
      </c>
      <c r="AA32" s="241">
        <v>1</v>
      </c>
      <c r="AB32" s="63"/>
      <c r="AC32" s="2"/>
      <c r="AD32" s="2"/>
      <c r="AE32" s="2"/>
      <c r="AF32" s="2"/>
      <c r="AG32" s="2"/>
      <c r="AH32" s="2"/>
      <c r="AI32" s="2"/>
      <c r="AJ32" s="2">
        <v>1</v>
      </c>
      <c r="AK32" s="2">
        <v>1</v>
      </c>
      <c r="AL32" s="2">
        <v>1</v>
      </c>
      <c r="AM32" s="2">
        <v>1</v>
      </c>
      <c r="AN32" s="2">
        <v>1</v>
      </c>
      <c r="AO32" s="2">
        <v>1</v>
      </c>
      <c r="AP32" s="2">
        <v>1</v>
      </c>
      <c r="AQ32" s="2">
        <v>1</v>
      </c>
      <c r="AR32" s="2">
        <v>1</v>
      </c>
      <c r="AS32" s="2"/>
      <c r="AT32" s="2"/>
      <c r="AU32" s="2"/>
      <c r="AV32" s="2"/>
      <c r="AW32" s="57"/>
      <c r="AX32" s="245"/>
    </row>
    <row r="33" spans="1:50" x14ac:dyDescent="0.25">
      <c r="A33" s="103">
        <v>0.64583333333333337</v>
      </c>
      <c r="B33" s="123">
        <v>0.66666666666666663</v>
      </c>
      <c r="C33" s="143" t="e">
        <f>HLOOKUP($A$1,Расчеты!$J$251:$P$299,MATCH(A33,Расчеты!$A$252:$A$299,0)+1,0)</f>
        <v>#DIV/0!</v>
      </c>
      <c r="D33" s="4" t="e">
        <f t="shared" si="5"/>
        <v>#DIV/0!</v>
      </c>
      <c r="E33" s="2">
        <f t="shared" si="1"/>
        <v>10</v>
      </c>
      <c r="F33" s="142" t="e">
        <f t="shared" si="4"/>
        <v>#DIV/0!</v>
      </c>
      <c r="H33" s="63">
        <v>1</v>
      </c>
      <c r="I33" s="2">
        <v>1</v>
      </c>
      <c r="J33" s="2">
        <v>1</v>
      </c>
      <c r="K33" s="2">
        <v>1</v>
      </c>
      <c r="L33" s="2">
        <v>1</v>
      </c>
      <c r="M33" s="2">
        <v>1</v>
      </c>
      <c r="N33" s="2">
        <v>1</v>
      </c>
      <c r="O33" s="2">
        <v>1</v>
      </c>
      <c r="P33" s="2">
        <v>1</v>
      </c>
      <c r="Q33" s="2">
        <v>1</v>
      </c>
      <c r="R33" s="2">
        <v>1</v>
      </c>
      <c r="S33" s="2">
        <v>1</v>
      </c>
      <c r="T33" s="57">
        <v>1</v>
      </c>
      <c r="U33" s="236">
        <v>1</v>
      </c>
      <c r="V33" s="2">
        <v>1</v>
      </c>
      <c r="W33" s="2">
        <v>1</v>
      </c>
      <c r="X33" s="2">
        <v>1</v>
      </c>
      <c r="Y33" s="2">
        <v>1</v>
      </c>
      <c r="Z33" s="2">
        <v>1</v>
      </c>
      <c r="AA33" s="241">
        <v>1</v>
      </c>
      <c r="AB33" s="63"/>
      <c r="AC33" s="2"/>
      <c r="AD33" s="2"/>
      <c r="AE33" s="2"/>
      <c r="AF33" s="2"/>
      <c r="AG33" s="2"/>
      <c r="AH33" s="2"/>
      <c r="AI33" s="2"/>
      <c r="AJ33" s="2"/>
      <c r="AK33" s="2">
        <v>1</v>
      </c>
      <c r="AL33" s="2">
        <v>1</v>
      </c>
      <c r="AM33" s="2">
        <v>1</v>
      </c>
      <c r="AN33" s="2">
        <v>1</v>
      </c>
      <c r="AO33" s="2">
        <v>1</v>
      </c>
      <c r="AP33" s="2">
        <v>1</v>
      </c>
      <c r="AQ33" s="2">
        <v>1</v>
      </c>
      <c r="AR33" s="2">
        <v>1</v>
      </c>
      <c r="AS33" s="2">
        <v>1</v>
      </c>
      <c r="AT33" s="2"/>
      <c r="AU33" s="2"/>
      <c r="AV33" s="2"/>
      <c r="AW33" s="57"/>
      <c r="AX33" s="245"/>
    </row>
    <row r="34" spans="1:50" x14ac:dyDescent="0.25">
      <c r="A34" s="103">
        <v>0.66666666666666663</v>
      </c>
      <c r="B34" s="123">
        <v>0.6875</v>
      </c>
      <c r="C34" s="143" t="e">
        <f>HLOOKUP($A$1,Расчеты!$J$251:$P$299,MATCH(A34,Расчеты!$A$252:$A$299,0)+1,0)</f>
        <v>#DIV/0!</v>
      </c>
      <c r="D34" s="4" t="e">
        <f t="shared" si="5"/>
        <v>#DIV/0!</v>
      </c>
      <c r="E34" s="2">
        <f t="shared" si="1"/>
        <v>10</v>
      </c>
      <c r="F34" s="142" t="e">
        <f t="shared" si="4"/>
        <v>#DIV/0!</v>
      </c>
      <c r="H34" s="63"/>
      <c r="I34" s="2">
        <v>1</v>
      </c>
      <c r="J34" s="2">
        <v>1</v>
      </c>
      <c r="K34" s="2">
        <v>1</v>
      </c>
      <c r="L34" s="2">
        <v>1</v>
      </c>
      <c r="M34" s="2">
        <v>1</v>
      </c>
      <c r="N34" s="2">
        <v>1</v>
      </c>
      <c r="O34" s="2">
        <v>1</v>
      </c>
      <c r="P34" s="2">
        <v>1</v>
      </c>
      <c r="Q34" s="2">
        <v>1</v>
      </c>
      <c r="R34" s="2">
        <v>1</v>
      </c>
      <c r="S34" s="2">
        <v>1</v>
      </c>
      <c r="T34" s="57">
        <v>1</v>
      </c>
      <c r="U34" s="236">
        <v>1</v>
      </c>
      <c r="V34" s="2">
        <v>1</v>
      </c>
      <c r="W34" s="2">
        <v>1</v>
      </c>
      <c r="X34" s="2">
        <v>1</v>
      </c>
      <c r="Y34" s="2">
        <v>1</v>
      </c>
      <c r="Z34" s="2">
        <v>1</v>
      </c>
      <c r="AA34" s="241">
        <v>1</v>
      </c>
      <c r="AB34" s="63"/>
      <c r="AC34" s="2"/>
      <c r="AD34" s="2"/>
      <c r="AE34" s="2"/>
      <c r="AF34" s="2"/>
      <c r="AG34" s="2"/>
      <c r="AH34" s="2"/>
      <c r="AI34" s="2"/>
      <c r="AJ34" s="2"/>
      <c r="AK34" s="2"/>
      <c r="AL34" s="2">
        <v>1</v>
      </c>
      <c r="AM34" s="2">
        <v>1</v>
      </c>
      <c r="AN34" s="2">
        <v>1</v>
      </c>
      <c r="AO34" s="2">
        <v>1</v>
      </c>
      <c r="AP34" s="2">
        <v>1</v>
      </c>
      <c r="AQ34" s="2">
        <v>1</v>
      </c>
      <c r="AR34" s="2">
        <v>1</v>
      </c>
      <c r="AS34" s="2">
        <v>1</v>
      </c>
      <c r="AT34" s="2">
        <v>1</v>
      </c>
      <c r="AU34" s="2"/>
      <c r="AV34" s="2"/>
      <c r="AW34" s="57"/>
      <c r="AX34" s="245"/>
    </row>
    <row r="35" spans="1:50" x14ac:dyDescent="0.25">
      <c r="A35" s="103">
        <v>0.6875</v>
      </c>
      <c r="B35" s="123">
        <v>0.70833333333333337</v>
      </c>
      <c r="C35" s="143" t="e">
        <f>HLOOKUP($A$1,Расчеты!$J$251:$P$299,MATCH(A35,Расчеты!$A$252:$A$299,0)+1,0)</f>
        <v>#DIV/0!</v>
      </c>
      <c r="D35" s="4" t="e">
        <f t="shared" si="5"/>
        <v>#DIV/0!</v>
      </c>
      <c r="E35" s="2">
        <f t="shared" si="1"/>
        <v>10</v>
      </c>
      <c r="F35" s="142" t="e">
        <f t="shared" si="4"/>
        <v>#DIV/0!</v>
      </c>
      <c r="H35" s="63"/>
      <c r="I35" s="2"/>
      <c r="J35" s="2">
        <v>1</v>
      </c>
      <c r="K35" s="2">
        <v>1</v>
      </c>
      <c r="L35" s="2">
        <v>1</v>
      </c>
      <c r="M35" s="2">
        <v>1</v>
      </c>
      <c r="N35" s="2">
        <v>1</v>
      </c>
      <c r="O35" s="2">
        <v>1</v>
      </c>
      <c r="P35" s="2">
        <v>1</v>
      </c>
      <c r="Q35" s="2">
        <v>1</v>
      </c>
      <c r="R35" s="2">
        <v>1</v>
      </c>
      <c r="S35" s="2">
        <v>1</v>
      </c>
      <c r="T35" s="57">
        <v>1</v>
      </c>
      <c r="U35" s="236">
        <v>1</v>
      </c>
      <c r="V35" s="2">
        <v>1</v>
      </c>
      <c r="W35" s="2">
        <v>1</v>
      </c>
      <c r="X35" s="2">
        <v>1</v>
      </c>
      <c r="Y35" s="2">
        <v>1</v>
      </c>
      <c r="Z35" s="2">
        <v>1</v>
      </c>
      <c r="AA35" s="241">
        <v>1</v>
      </c>
      <c r="AB35" s="63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>
        <v>1</v>
      </c>
      <c r="AN35" s="2">
        <v>1</v>
      </c>
      <c r="AO35" s="2">
        <v>1</v>
      </c>
      <c r="AP35" s="2">
        <v>1</v>
      </c>
      <c r="AQ35" s="2">
        <v>1</v>
      </c>
      <c r="AR35" s="2">
        <v>1</v>
      </c>
      <c r="AS35" s="2">
        <v>1</v>
      </c>
      <c r="AT35" s="2">
        <v>1</v>
      </c>
      <c r="AU35" s="2">
        <v>1</v>
      </c>
      <c r="AV35" s="2"/>
      <c r="AW35" s="57"/>
      <c r="AX35" s="245"/>
    </row>
    <row r="36" spans="1:50" x14ac:dyDescent="0.25">
      <c r="A36" s="103">
        <v>0.70833333333333337</v>
      </c>
      <c r="B36" s="123">
        <v>0.72916666666666663</v>
      </c>
      <c r="C36" s="143" t="e">
        <f>HLOOKUP($A$1,Расчеты!$J$251:$P$299,MATCH(A36,Расчеты!$A$252:$A$299,0)+1,0)</f>
        <v>#DIV/0!</v>
      </c>
      <c r="D36" s="4" t="e">
        <f t="shared" si="5"/>
        <v>#DIV/0!</v>
      </c>
      <c r="E36" s="2">
        <f t="shared" si="1"/>
        <v>10</v>
      </c>
      <c r="F36" s="142" t="e">
        <f t="shared" si="4"/>
        <v>#DIV/0!</v>
      </c>
      <c r="H36" s="63"/>
      <c r="I36" s="2"/>
      <c r="J36" s="2"/>
      <c r="K36" s="2">
        <v>1</v>
      </c>
      <c r="L36" s="2">
        <v>1</v>
      </c>
      <c r="M36" s="2">
        <v>1</v>
      </c>
      <c r="N36" s="2">
        <v>1</v>
      </c>
      <c r="O36" s="2">
        <v>1</v>
      </c>
      <c r="P36" s="2">
        <v>1</v>
      </c>
      <c r="Q36" s="2">
        <v>1</v>
      </c>
      <c r="R36" s="2">
        <v>1</v>
      </c>
      <c r="S36" s="2">
        <v>1</v>
      </c>
      <c r="T36" s="57">
        <v>1</v>
      </c>
      <c r="U36" s="236">
        <v>1</v>
      </c>
      <c r="V36" s="2">
        <v>1</v>
      </c>
      <c r="W36" s="2">
        <v>1</v>
      </c>
      <c r="X36" s="2">
        <v>1</v>
      </c>
      <c r="Y36" s="2">
        <v>1</v>
      </c>
      <c r="Z36" s="2">
        <v>1</v>
      </c>
      <c r="AA36" s="241">
        <v>1</v>
      </c>
      <c r="AB36" s="63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>
        <v>1</v>
      </c>
      <c r="AO36" s="2">
        <v>1</v>
      </c>
      <c r="AP36" s="2">
        <v>1</v>
      </c>
      <c r="AQ36" s="2">
        <v>1</v>
      </c>
      <c r="AR36" s="2">
        <v>1</v>
      </c>
      <c r="AS36" s="2">
        <v>1</v>
      </c>
      <c r="AT36" s="2">
        <v>1</v>
      </c>
      <c r="AU36" s="2">
        <v>1</v>
      </c>
      <c r="AV36" s="2">
        <v>1</v>
      </c>
      <c r="AW36" s="57"/>
      <c r="AX36" s="245"/>
    </row>
    <row r="37" spans="1:50" x14ac:dyDescent="0.25">
      <c r="A37" s="103">
        <v>0.72916666666666663</v>
      </c>
      <c r="B37" s="123">
        <v>0.75</v>
      </c>
      <c r="C37" s="143" t="e">
        <f>HLOOKUP($A$1,Расчеты!$J$251:$P$299,MATCH(A37,Расчеты!$A$252:$A$299,0)+1,0)</f>
        <v>#DIV/0!</v>
      </c>
      <c r="D37" s="4" t="e">
        <f t="shared" si="5"/>
        <v>#DIV/0!</v>
      </c>
      <c r="E37" s="2">
        <f t="shared" si="1"/>
        <v>10</v>
      </c>
      <c r="F37" s="142" t="e">
        <f t="shared" si="4"/>
        <v>#DIV/0!</v>
      </c>
      <c r="H37" s="63"/>
      <c r="I37" s="2"/>
      <c r="J37" s="2"/>
      <c r="K37" s="2"/>
      <c r="L37" s="2">
        <v>1</v>
      </c>
      <c r="M37" s="2">
        <v>1</v>
      </c>
      <c r="N37" s="2">
        <v>1</v>
      </c>
      <c r="O37" s="2">
        <v>1</v>
      </c>
      <c r="P37" s="2">
        <v>1</v>
      </c>
      <c r="Q37" s="2">
        <v>1</v>
      </c>
      <c r="R37" s="2">
        <v>1</v>
      </c>
      <c r="S37" s="2">
        <v>1</v>
      </c>
      <c r="T37" s="57">
        <v>1</v>
      </c>
      <c r="U37" s="236">
        <v>1</v>
      </c>
      <c r="V37" s="2">
        <v>1</v>
      </c>
      <c r="W37" s="2">
        <v>1</v>
      </c>
      <c r="X37" s="2">
        <v>1</v>
      </c>
      <c r="Y37" s="2">
        <v>1</v>
      </c>
      <c r="Z37" s="2">
        <v>1</v>
      </c>
      <c r="AA37" s="241">
        <v>1</v>
      </c>
      <c r="AB37" s="63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>
        <v>1</v>
      </c>
      <c r="AP37" s="2">
        <v>1</v>
      </c>
      <c r="AQ37" s="2">
        <v>1</v>
      </c>
      <c r="AR37" s="2">
        <v>1</v>
      </c>
      <c r="AS37" s="2">
        <v>1</v>
      </c>
      <c r="AT37" s="2">
        <v>1</v>
      </c>
      <c r="AU37" s="2">
        <v>1</v>
      </c>
      <c r="AV37" s="2">
        <v>1</v>
      </c>
      <c r="AW37" s="57">
        <v>1</v>
      </c>
      <c r="AX37" s="245"/>
    </row>
    <row r="38" spans="1:50" x14ac:dyDescent="0.25">
      <c r="A38" s="103">
        <v>0.75</v>
      </c>
      <c r="B38" s="123">
        <v>0.77083333333333337</v>
      </c>
      <c r="C38" s="143" t="e">
        <f>HLOOKUP($A$1,Расчеты!$J$251:$P$299,MATCH(A38,Расчеты!$A$252:$A$299,0)+1,0)</f>
        <v>#DIV/0!</v>
      </c>
      <c r="D38" s="4" t="e">
        <f t="shared" si="5"/>
        <v>#DIV/0!</v>
      </c>
      <c r="E38" s="2">
        <f t="shared" si="1"/>
        <v>10</v>
      </c>
      <c r="F38" s="142" t="e">
        <f t="shared" si="4"/>
        <v>#DIV/0!</v>
      </c>
      <c r="H38" s="63"/>
      <c r="I38" s="2"/>
      <c r="J38" s="2"/>
      <c r="K38" s="2"/>
      <c r="L38" s="2"/>
      <c r="M38" s="2">
        <v>1</v>
      </c>
      <c r="N38" s="2">
        <v>1</v>
      </c>
      <c r="O38" s="2">
        <v>1</v>
      </c>
      <c r="P38" s="2">
        <v>1</v>
      </c>
      <c r="Q38" s="2">
        <v>1</v>
      </c>
      <c r="R38" s="2">
        <v>1</v>
      </c>
      <c r="S38" s="2">
        <v>1</v>
      </c>
      <c r="T38" s="57">
        <v>1</v>
      </c>
      <c r="U38" s="236">
        <v>1</v>
      </c>
      <c r="V38" s="2">
        <v>1</v>
      </c>
      <c r="W38" s="2">
        <v>1</v>
      </c>
      <c r="X38" s="2">
        <v>1</v>
      </c>
      <c r="Y38" s="2">
        <v>1</v>
      </c>
      <c r="Z38" s="2">
        <v>1</v>
      </c>
      <c r="AA38" s="241">
        <v>1</v>
      </c>
      <c r="AB38" s="63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>
        <v>1</v>
      </c>
      <c r="AQ38" s="2">
        <v>1</v>
      </c>
      <c r="AR38" s="2">
        <v>1</v>
      </c>
      <c r="AS38" s="2">
        <v>1</v>
      </c>
      <c r="AT38" s="2">
        <v>1</v>
      </c>
      <c r="AU38" s="2">
        <v>1</v>
      </c>
      <c r="AV38" s="2">
        <v>1</v>
      </c>
      <c r="AW38" s="57">
        <v>1</v>
      </c>
      <c r="AX38" s="245"/>
    </row>
    <row r="39" spans="1:50" x14ac:dyDescent="0.25">
      <c r="A39" s="103">
        <v>0.77083333333333337</v>
      </c>
      <c r="B39" s="123">
        <v>0.79166666666666663</v>
      </c>
      <c r="C39" s="143" t="e">
        <f>HLOOKUP($A$1,Расчеты!$J$251:$P$299,MATCH(A39,Расчеты!$A$252:$A$299,0)+1,0)</f>
        <v>#DIV/0!</v>
      </c>
      <c r="D39" s="4" t="e">
        <f t="shared" si="5"/>
        <v>#DIV/0!</v>
      </c>
      <c r="E39" s="2">
        <f t="shared" si="1"/>
        <v>10</v>
      </c>
      <c r="F39" s="142" t="e">
        <f t="shared" si="4"/>
        <v>#DIV/0!</v>
      </c>
      <c r="H39" s="63"/>
      <c r="I39" s="2"/>
      <c r="J39" s="2"/>
      <c r="K39" s="2"/>
      <c r="L39" s="2"/>
      <c r="M39" s="2"/>
      <c r="N39" s="2">
        <v>1</v>
      </c>
      <c r="O39" s="2">
        <v>1</v>
      </c>
      <c r="P39" s="2">
        <v>1</v>
      </c>
      <c r="Q39" s="2">
        <v>1</v>
      </c>
      <c r="R39" s="2">
        <v>1</v>
      </c>
      <c r="S39" s="2">
        <v>1</v>
      </c>
      <c r="T39" s="57">
        <v>1</v>
      </c>
      <c r="U39" s="236">
        <v>1</v>
      </c>
      <c r="V39" s="2">
        <v>1</v>
      </c>
      <c r="W39" s="2">
        <v>1</v>
      </c>
      <c r="X39" s="2">
        <v>1</v>
      </c>
      <c r="Y39" s="2">
        <v>1</v>
      </c>
      <c r="Z39" s="2">
        <v>1</v>
      </c>
      <c r="AA39" s="241">
        <v>1</v>
      </c>
      <c r="AB39" s="63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>
        <v>1</v>
      </c>
      <c r="AR39" s="2">
        <v>1</v>
      </c>
      <c r="AS39" s="2">
        <v>1</v>
      </c>
      <c r="AT39" s="2">
        <v>1</v>
      </c>
      <c r="AU39" s="2">
        <v>1</v>
      </c>
      <c r="AV39" s="2">
        <v>1</v>
      </c>
      <c r="AW39" s="57">
        <v>1</v>
      </c>
      <c r="AX39" s="245"/>
    </row>
    <row r="40" spans="1:50" x14ac:dyDescent="0.25">
      <c r="A40" s="103">
        <v>0.79166666666666663</v>
      </c>
      <c r="B40" s="123">
        <v>0.8125</v>
      </c>
      <c r="C40" s="143" t="e">
        <f>HLOOKUP($A$1,Расчеты!$J$251:$P$299,MATCH(A40,Расчеты!$A$252:$A$299,0)+1,0)</f>
        <v>#DIV/0!</v>
      </c>
      <c r="D40" s="4" t="e">
        <f t="shared" si="5"/>
        <v>#DIV/0!</v>
      </c>
      <c r="E40" s="2">
        <f t="shared" si="1"/>
        <v>7</v>
      </c>
      <c r="F40" s="142" t="e">
        <f t="shared" si="4"/>
        <v>#DIV/0!</v>
      </c>
      <c r="H40" s="63"/>
      <c r="I40" s="2"/>
      <c r="J40" s="2"/>
      <c r="K40" s="2"/>
      <c r="L40" s="2"/>
      <c r="M40" s="2"/>
      <c r="N40" s="2"/>
      <c r="O40" s="2">
        <v>1</v>
      </c>
      <c r="P40" s="2">
        <v>1</v>
      </c>
      <c r="Q40" s="2">
        <v>1</v>
      </c>
      <c r="R40" s="2">
        <v>1</v>
      </c>
      <c r="S40" s="2">
        <v>1</v>
      </c>
      <c r="T40" s="57">
        <v>1</v>
      </c>
      <c r="U40" s="236"/>
      <c r="V40" s="2">
        <v>1</v>
      </c>
      <c r="W40" s="2">
        <v>1</v>
      </c>
      <c r="X40" s="2">
        <v>1</v>
      </c>
      <c r="Y40" s="2">
        <v>1</v>
      </c>
      <c r="Z40" s="2">
        <v>1</v>
      </c>
      <c r="AA40" s="241">
        <v>1</v>
      </c>
      <c r="AB40" s="63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>
        <v>1</v>
      </c>
      <c r="AS40" s="2">
        <v>1</v>
      </c>
      <c r="AT40" s="2">
        <v>1</v>
      </c>
      <c r="AU40" s="2">
        <v>1</v>
      </c>
      <c r="AV40" s="2">
        <v>1</v>
      </c>
      <c r="AW40" s="57">
        <v>1</v>
      </c>
      <c r="AX40" s="245"/>
    </row>
    <row r="41" spans="1:50" x14ac:dyDescent="0.25">
      <c r="A41" s="103">
        <v>0.8125</v>
      </c>
      <c r="B41" s="123">
        <v>0.83333333333333337</v>
      </c>
      <c r="C41" s="143" t="e">
        <f>HLOOKUP($A$1,Расчеты!$J$251:$P$299,MATCH(A41,Расчеты!$A$252:$A$299,0)+1,0)</f>
        <v>#DIV/0!</v>
      </c>
      <c r="D41" s="4" t="e">
        <f t="shared" si="5"/>
        <v>#DIV/0!</v>
      </c>
      <c r="E41" s="2">
        <f t="shared" si="1"/>
        <v>7</v>
      </c>
      <c r="F41" s="142" t="e">
        <f t="shared" si="4"/>
        <v>#DIV/0!</v>
      </c>
      <c r="H41" s="63"/>
      <c r="I41" s="2"/>
      <c r="J41" s="2"/>
      <c r="K41" s="2"/>
      <c r="L41" s="2"/>
      <c r="M41" s="2"/>
      <c r="N41" s="2"/>
      <c r="O41" s="2"/>
      <c r="P41" s="2">
        <v>1</v>
      </c>
      <c r="Q41" s="2">
        <v>1</v>
      </c>
      <c r="R41" s="2">
        <v>1</v>
      </c>
      <c r="S41" s="2">
        <v>1</v>
      </c>
      <c r="T41" s="57">
        <v>1</v>
      </c>
      <c r="U41" s="236"/>
      <c r="V41" s="2"/>
      <c r="W41" s="2">
        <v>1</v>
      </c>
      <c r="X41" s="2">
        <v>1</v>
      </c>
      <c r="Y41" s="2">
        <v>1</v>
      </c>
      <c r="Z41" s="2">
        <v>1</v>
      </c>
      <c r="AA41" s="241">
        <v>1</v>
      </c>
      <c r="AB41" s="63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>
        <v>1</v>
      </c>
      <c r="AT41" s="2">
        <v>1</v>
      </c>
      <c r="AU41" s="2">
        <v>1</v>
      </c>
      <c r="AV41" s="2">
        <v>1</v>
      </c>
      <c r="AW41" s="57">
        <v>1</v>
      </c>
      <c r="AX41" s="245"/>
    </row>
    <row r="42" spans="1:50" x14ac:dyDescent="0.25">
      <c r="A42" s="103">
        <v>0.83333333333333337</v>
      </c>
      <c r="B42" s="123">
        <v>0.85416666666666663</v>
      </c>
      <c r="C42" s="143" t="e">
        <f>HLOOKUP($A$1,Расчеты!$J$251:$P$299,MATCH(A42,Расчеты!$A$252:$A$299,0)+1,0)</f>
        <v>#DIV/0!</v>
      </c>
      <c r="D42" s="4" t="e">
        <f t="shared" si="5"/>
        <v>#DIV/0!</v>
      </c>
      <c r="E42" s="2">
        <f t="shared" si="1"/>
        <v>7</v>
      </c>
      <c r="F42" s="142" t="e">
        <f t="shared" si="4"/>
        <v>#DIV/0!</v>
      </c>
      <c r="H42" s="63"/>
      <c r="I42" s="2"/>
      <c r="J42" s="2"/>
      <c r="K42" s="2"/>
      <c r="L42" s="2"/>
      <c r="M42" s="2"/>
      <c r="N42" s="2"/>
      <c r="O42" s="2"/>
      <c r="P42" s="2"/>
      <c r="Q42" s="2">
        <v>1</v>
      </c>
      <c r="R42" s="2">
        <v>1</v>
      </c>
      <c r="S42" s="2">
        <v>1</v>
      </c>
      <c r="T42" s="57">
        <v>1</v>
      </c>
      <c r="U42" s="236"/>
      <c r="V42" s="2"/>
      <c r="W42" s="2"/>
      <c r="X42" s="2">
        <v>1</v>
      </c>
      <c r="Y42" s="2">
        <v>1</v>
      </c>
      <c r="Z42" s="2">
        <v>1</v>
      </c>
      <c r="AA42" s="241">
        <v>1</v>
      </c>
      <c r="AB42" s="63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>
        <v>1</v>
      </c>
      <c r="AU42" s="2">
        <v>1</v>
      </c>
      <c r="AV42" s="2">
        <v>1</v>
      </c>
      <c r="AW42" s="57">
        <v>1</v>
      </c>
      <c r="AX42" s="245"/>
    </row>
    <row r="43" spans="1:50" x14ac:dyDescent="0.25">
      <c r="A43" s="103">
        <v>0.85416666666666663</v>
      </c>
      <c r="B43" s="123">
        <v>0.875</v>
      </c>
      <c r="C43" s="143" t="e">
        <f>HLOOKUP($A$1,Расчеты!$J$251:$P$299,MATCH(A43,Расчеты!$A$252:$A$299,0)+1,0)</f>
        <v>#DIV/0!</v>
      </c>
      <c r="D43" s="4" t="e">
        <f t="shared" si="5"/>
        <v>#DIV/0!</v>
      </c>
      <c r="E43" s="2">
        <f t="shared" si="1"/>
        <v>5</v>
      </c>
      <c r="F43" s="142" t="e">
        <f t="shared" si="4"/>
        <v>#DIV/0!</v>
      </c>
      <c r="H43" s="63"/>
      <c r="I43" s="2"/>
      <c r="J43" s="2"/>
      <c r="K43" s="2"/>
      <c r="L43" s="2"/>
      <c r="M43" s="2"/>
      <c r="N43" s="2"/>
      <c r="O43" s="2"/>
      <c r="P43" s="2"/>
      <c r="Q43" s="2"/>
      <c r="R43" s="2">
        <v>1</v>
      </c>
      <c r="S43" s="2">
        <v>1</v>
      </c>
      <c r="T43" s="57">
        <v>1</v>
      </c>
      <c r="U43" s="236"/>
      <c r="V43" s="2"/>
      <c r="W43" s="2"/>
      <c r="X43" s="2"/>
      <c r="Y43" s="2">
        <v>1</v>
      </c>
      <c r="Z43" s="2">
        <v>1</v>
      </c>
      <c r="AA43" s="241">
        <v>1</v>
      </c>
      <c r="AB43" s="63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>
        <v>1</v>
      </c>
      <c r="AV43" s="2">
        <v>1</v>
      </c>
      <c r="AW43" s="57">
        <v>1</v>
      </c>
      <c r="AX43" s="245"/>
    </row>
    <row r="44" spans="1:50" x14ac:dyDescent="0.25">
      <c r="A44" s="103">
        <v>0.875</v>
      </c>
      <c r="B44" s="123">
        <v>0.89583333333333337</v>
      </c>
      <c r="C44" s="143" t="e">
        <f>HLOOKUP($A$1,Расчеты!$J$251:$P$299,MATCH(A44,Расчеты!$A$252:$A$299,0)+1,0)</f>
        <v>#DIV/0!</v>
      </c>
      <c r="D44" s="4" t="e">
        <f t="shared" si="5"/>
        <v>#DIV/0!</v>
      </c>
      <c r="E44" s="2">
        <f t="shared" si="1"/>
        <v>5</v>
      </c>
      <c r="F44" s="142" t="e">
        <f t="shared" si="4"/>
        <v>#DIV/0!</v>
      </c>
      <c r="H44" s="63"/>
      <c r="I44" s="2"/>
      <c r="J44" s="2"/>
      <c r="K44" s="2"/>
      <c r="L44" s="2"/>
      <c r="M44" s="2"/>
      <c r="N44" s="2"/>
      <c r="O44" s="2"/>
      <c r="P44" s="2"/>
      <c r="Q44" s="2"/>
      <c r="R44" s="2"/>
      <c r="S44" s="2">
        <v>1</v>
      </c>
      <c r="T44" s="57">
        <v>1</v>
      </c>
      <c r="U44" s="236"/>
      <c r="V44" s="2"/>
      <c r="W44" s="2"/>
      <c r="X44" s="2"/>
      <c r="Y44" s="2"/>
      <c r="Z44" s="2">
        <v>1</v>
      </c>
      <c r="AA44" s="241">
        <v>1</v>
      </c>
      <c r="AB44" s="63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>
        <v>1</v>
      </c>
      <c r="AW44" s="57">
        <v>1</v>
      </c>
      <c r="AX44" s="245"/>
    </row>
    <row r="45" spans="1:50" ht="15.75" thickBot="1" x14ac:dyDescent="0.3">
      <c r="A45" s="113">
        <v>0.89583333333333337</v>
      </c>
      <c r="B45" s="134">
        <v>0.91666666666666663</v>
      </c>
      <c r="C45" s="155" t="e">
        <f>HLOOKUP($A$1,Расчеты!$J$251:$P$299,MATCH(A45,Расчеты!$A$252:$A$299,0)+1,0)</f>
        <v>#DIV/0!</v>
      </c>
      <c r="D45" s="31" t="e">
        <f t="shared" si="5"/>
        <v>#DIV/0!</v>
      </c>
      <c r="E45" s="136">
        <f t="shared" si="1"/>
        <v>4</v>
      </c>
      <c r="F45" s="156" t="e">
        <f t="shared" si="4"/>
        <v>#DIV/0!</v>
      </c>
      <c r="H45" s="6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57">
        <v>1</v>
      </c>
      <c r="U45" s="236"/>
      <c r="V45" s="2"/>
      <c r="W45" s="2"/>
      <c r="X45" s="2"/>
      <c r="Y45" s="2"/>
      <c r="Z45" s="2"/>
      <c r="AA45" s="241">
        <v>1</v>
      </c>
      <c r="AB45" s="63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57">
        <v>1</v>
      </c>
      <c r="AX45" s="245"/>
    </row>
    <row r="46" spans="1:50" x14ac:dyDescent="0.25">
      <c r="A46" s="108">
        <v>0.91666666666666663</v>
      </c>
      <c r="B46" s="125">
        <v>0.9375</v>
      </c>
      <c r="C46" s="226" t="e">
        <f>HLOOKUP($A$1,Расчеты!$J$251:$P$299,MATCH(A46,Расчеты!$A$252:$A$299,0)+1,0)</f>
        <v>#DIV/0!</v>
      </c>
      <c r="D46" s="222" t="e">
        <f t="shared" si="0"/>
        <v>#DIV/0!</v>
      </c>
      <c r="E46" s="80">
        <f t="shared" si="1"/>
        <v>0</v>
      </c>
      <c r="F46" s="223" t="e">
        <f t="shared" si="4"/>
        <v>#DIV/0!</v>
      </c>
      <c r="H46" s="6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57"/>
      <c r="U46" s="236"/>
      <c r="V46" s="2"/>
      <c r="W46" s="2"/>
      <c r="X46" s="2"/>
      <c r="Y46" s="2"/>
      <c r="Z46" s="2"/>
      <c r="AA46" s="241"/>
      <c r="AB46" s="63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57"/>
      <c r="AX46" s="245"/>
    </row>
    <row r="47" spans="1:50" x14ac:dyDescent="0.25">
      <c r="A47" s="102">
        <v>0.9375</v>
      </c>
      <c r="B47" s="128">
        <v>0.95833333333333337</v>
      </c>
      <c r="C47" s="143" t="e">
        <f>HLOOKUP($A$1,Расчеты!$J$251:$P$299,MATCH(A47,Расчеты!$A$252:$A$299,0)+1,0)</f>
        <v>#DIV/0!</v>
      </c>
      <c r="D47" s="4" t="e">
        <f t="shared" si="0"/>
        <v>#DIV/0!</v>
      </c>
      <c r="E47" s="2">
        <f t="shared" si="1"/>
        <v>0</v>
      </c>
      <c r="F47" s="142" t="e">
        <f t="shared" si="4"/>
        <v>#DIV/0!</v>
      </c>
      <c r="H47" s="6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57"/>
      <c r="U47" s="236"/>
      <c r="V47" s="2"/>
      <c r="W47" s="2"/>
      <c r="X47" s="2"/>
      <c r="Y47" s="2"/>
      <c r="Z47" s="2"/>
      <c r="AA47" s="241"/>
      <c r="AB47" s="63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57"/>
      <c r="AX47" s="245"/>
    </row>
    <row r="48" spans="1:50" x14ac:dyDescent="0.25">
      <c r="A48" s="102">
        <v>0.95833333333333337</v>
      </c>
      <c r="B48" s="128">
        <v>0.97916666666666663</v>
      </c>
      <c r="C48" s="143" t="e">
        <f>HLOOKUP($A$1,Расчеты!$J$251:$P$299,MATCH(A48,Расчеты!$A$252:$A$299,0)+1,0)</f>
        <v>#DIV/0!</v>
      </c>
      <c r="D48" s="4" t="e">
        <f t="shared" si="0"/>
        <v>#DIV/0!</v>
      </c>
      <c r="E48" s="2">
        <f t="shared" si="1"/>
        <v>0</v>
      </c>
      <c r="F48" s="142" t="e">
        <f t="shared" si="4"/>
        <v>#DIV/0!</v>
      </c>
      <c r="H48" s="6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57"/>
      <c r="U48" s="236"/>
      <c r="V48" s="2"/>
      <c r="W48" s="2"/>
      <c r="X48" s="2"/>
      <c r="Y48" s="2"/>
      <c r="Z48" s="2"/>
      <c r="AA48" s="241"/>
      <c r="AB48" s="63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57"/>
      <c r="AX48" s="245"/>
    </row>
    <row r="49" spans="1:50" ht="15.75" thickBot="1" x14ac:dyDescent="0.3">
      <c r="A49" s="104">
        <v>0.97916666666666663</v>
      </c>
      <c r="B49" s="131">
        <v>0</v>
      </c>
      <c r="C49" s="227" t="e">
        <f>HLOOKUP($A$1,Расчеты!$J$251:$P$299,MATCH(A49,Расчеты!$A$252:$A$299,0)+1,0)</f>
        <v>#DIV/0!</v>
      </c>
      <c r="D49" s="224" t="e">
        <f t="shared" si="0"/>
        <v>#DIV/0!</v>
      </c>
      <c r="E49" s="60">
        <f t="shared" si="1"/>
        <v>0</v>
      </c>
      <c r="F49" s="225" t="e">
        <f t="shared" si="4"/>
        <v>#DIV/0!</v>
      </c>
      <c r="H49" s="6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57"/>
      <c r="U49" s="236"/>
      <c r="V49" s="2"/>
      <c r="W49" s="2"/>
      <c r="X49" s="2"/>
      <c r="Y49" s="2"/>
      <c r="Z49" s="2"/>
      <c r="AA49" s="241"/>
      <c r="AB49" s="63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57"/>
      <c r="AX49" s="245"/>
    </row>
    <row r="50" spans="1:50" ht="15.75" thickBot="1" x14ac:dyDescent="0.3">
      <c r="H50" s="69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0"/>
      <c r="T50" s="73"/>
      <c r="U50" s="237"/>
      <c r="V50" s="71"/>
      <c r="W50" s="71"/>
      <c r="X50" s="71"/>
      <c r="Y50" s="71"/>
      <c r="Z50" s="71"/>
      <c r="AA50" s="242"/>
      <c r="AB50" s="76"/>
      <c r="AC50" s="72"/>
      <c r="AD50" s="72"/>
      <c r="AE50" s="72"/>
      <c r="AF50" s="72"/>
      <c r="AG50" s="72"/>
      <c r="AH50" s="72"/>
      <c r="AI50" s="72"/>
      <c r="AJ50" s="72"/>
      <c r="AK50" s="72"/>
      <c r="AL50" s="72"/>
      <c r="AM50" s="72"/>
      <c r="AN50" s="72"/>
      <c r="AO50" s="72"/>
      <c r="AP50" s="72"/>
      <c r="AQ50" s="72"/>
      <c r="AR50" s="72"/>
      <c r="AS50" s="72"/>
      <c r="AT50" s="72"/>
      <c r="AU50" s="72"/>
      <c r="AV50" s="72"/>
      <c r="AW50" s="77"/>
      <c r="AX50" s="246"/>
    </row>
    <row r="51" spans="1:50" x14ac:dyDescent="0.25">
      <c r="D51" s="2" t="e">
        <f>SUM(D2:D49)/2</f>
        <v>#DIV/0!</v>
      </c>
      <c r="E51" s="2">
        <f>SUM(E2:E49)/2</f>
        <v>120</v>
      </c>
      <c r="F51" s="4">
        <f>SUM(U1:AA1)</f>
        <v>10</v>
      </c>
      <c r="G51" s="250" t="s">
        <v>16</v>
      </c>
    </row>
    <row r="52" spans="1:50" x14ac:dyDescent="0.25">
      <c r="E52" s="2">
        <f>SUM(H1:T1)*22000+SUM(AB1:AW1)*11000+SUM(U1:AA1)*2*22000+SUM(AX1:AX1)*2*22000</f>
        <v>440000</v>
      </c>
      <c r="F52" s="2">
        <f>SUM(AB1:AW1)</f>
        <v>0</v>
      </c>
      <c r="G52" s="250" t="s">
        <v>27</v>
      </c>
      <c r="L52" s="19"/>
      <c r="M52" s="19"/>
      <c r="N52" s="19"/>
      <c r="O52" s="19"/>
      <c r="P52" s="19"/>
    </row>
    <row r="53" spans="1:50" x14ac:dyDescent="0.25">
      <c r="E53" s="6" t="e">
        <f>E51/D51-1</f>
        <v>#DIV/0!</v>
      </c>
      <c r="F53" s="2">
        <f>SUM(H1:T1)</f>
        <v>0</v>
      </c>
      <c r="G53" s="250" t="s">
        <v>18</v>
      </c>
    </row>
    <row r="56" spans="1:50" ht="15.75" thickBot="1" x14ac:dyDescent="0.3"/>
    <row r="57" spans="1:50" x14ac:dyDescent="0.25">
      <c r="F57" s="260">
        <v>0</v>
      </c>
      <c r="G57" s="261">
        <v>2.0833333333333332E-2</v>
      </c>
      <c r="H57" s="251">
        <f>H$1*H2</f>
        <v>0</v>
      </c>
      <c r="I57" s="252">
        <f t="shared" ref="I57:AX64" si="6">I$1*I2</f>
        <v>0</v>
      </c>
      <c r="J57" s="252">
        <f t="shared" si="6"/>
        <v>0</v>
      </c>
      <c r="K57" s="252">
        <f t="shared" si="6"/>
        <v>0</v>
      </c>
      <c r="L57" s="252">
        <f t="shared" si="6"/>
        <v>0</v>
      </c>
      <c r="M57" s="252">
        <f t="shared" si="6"/>
        <v>0</v>
      </c>
      <c r="N57" s="252">
        <f t="shared" si="6"/>
        <v>0</v>
      </c>
      <c r="O57" s="252">
        <f t="shared" si="6"/>
        <v>0</v>
      </c>
      <c r="P57" s="252">
        <f t="shared" si="6"/>
        <v>0</v>
      </c>
      <c r="Q57" s="252">
        <f t="shared" si="6"/>
        <v>0</v>
      </c>
      <c r="R57" s="252">
        <f t="shared" si="6"/>
        <v>0</v>
      </c>
      <c r="S57" s="252">
        <f t="shared" si="6"/>
        <v>0</v>
      </c>
      <c r="T57" s="252">
        <f t="shared" si="6"/>
        <v>0</v>
      </c>
      <c r="U57" s="252">
        <f t="shared" ref="U57:AA72" si="7">U$1*U2</f>
        <v>0</v>
      </c>
      <c r="V57" s="252">
        <f t="shared" si="7"/>
        <v>0</v>
      </c>
      <c r="W57" s="252">
        <f t="shared" si="7"/>
        <v>0</v>
      </c>
      <c r="X57" s="252">
        <f t="shared" si="7"/>
        <v>0</v>
      </c>
      <c r="Y57" s="252">
        <f t="shared" si="7"/>
        <v>0</v>
      </c>
      <c r="Z57" s="252">
        <f t="shared" si="7"/>
        <v>0</v>
      </c>
      <c r="AA57" s="252">
        <f t="shared" si="7"/>
        <v>0</v>
      </c>
      <c r="AB57" s="252">
        <f t="shared" si="6"/>
        <v>0</v>
      </c>
      <c r="AC57" s="252">
        <f t="shared" si="6"/>
        <v>0</v>
      </c>
      <c r="AD57" s="252">
        <f t="shared" si="6"/>
        <v>0</v>
      </c>
      <c r="AE57" s="252">
        <f t="shared" si="6"/>
        <v>0</v>
      </c>
      <c r="AF57" s="252">
        <f t="shared" si="6"/>
        <v>0</v>
      </c>
      <c r="AG57" s="252">
        <f t="shared" si="6"/>
        <v>0</v>
      </c>
      <c r="AH57" s="252">
        <f t="shared" si="6"/>
        <v>0</v>
      </c>
      <c r="AI57" s="252">
        <f t="shared" si="6"/>
        <v>0</v>
      </c>
      <c r="AJ57" s="252">
        <f t="shared" si="6"/>
        <v>0</v>
      </c>
      <c r="AK57" s="252">
        <f t="shared" si="6"/>
        <v>0</v>
      </c>
      <c r="AL57" s="252">
        <f t="shared" si="6"/>
        <v>0</v>
      </c>
      <c r="AM57" s="252">
        <f t="shared" si="6"/>
        <v>0</v>
      </c>
      <c r="AN57" s="252">
        <f t="shared" si="6"/>
        <v>0</v>
      </c>
      <c r="AO57" s="252">
        <f t="shared" si="6"/>
        <v>0</v>
      </c>
      <c r="AP57" s="252">
        <f t="shared" si="6"/>
        <v>0</v>
      </c>
      <c r="AQ57" s="252">
        <f t="shared" si="6"/>
        <v>0</v>
      </c>
      <c r="AR57" s="252">
        <f t="shared" si="6"/>
        <v>0</v>
      </c>
      <c r="AS57" s="252">
        <f t="shared" si="6"/>
        <v>0</v>
      </c>
      <c r="AT57" s="252">
        <f t="shared" si="6"/>
        <v>0</v>
      </c>
      <c r="AU57" s="252">
        <f t="shared" si="6"/>
        <v>0</v>
      </c>
      <c r="AV57" s="252">
        <f t="shared" si="6"/>
        <v>0</v>
      </c>
      <c r="AW57" s="252">
        <f t="shared" si="6"/>
        <v>0</v>
      </c>
      <c r="AX57" s="253">
        <f t="shared" si="6"/>
        <v>0</v>
      </c>
    </row>
    <row r="58" spans="1:50" x14ac:dyDescent="0.25">
      <c r="F58" s="56">
        <v>2.0833333333333332E-2</v>
      </c>
      <c r="G58" s="262">
        <v>4.1666666666666664E-2</v>
      </c>
      <c r="H58" s="254">
        <f t="shared" ref="H58:AD73" si="8">H$1*H3</f>
        <v>0</v>
      </c>
      <c r="I58" s="255">
        <f t="shared" si="8"/>
        <v>0</v>
      </c>
      <c r="J58" s="255">
        <f t="shared" si="8"/>
        <v>0</v>
      </c>
      <c r="K58" s="255">
        <f t="shared" si="8"/>
        <v>0</v>
      </c>
      <c r="L58" s="255">
        <f t="shared" si="8"/>
        <v>0</v>
      </c>
      <c r="M58" s="255">
        <f t="shared" si="8"/>
        <v>0</v>
      </c>
      <c r="N58" s="255">
        <f t="shared" si="8"/>
        <v>0</v>
      </c>
      <c r="O58" s="255">
        <f t="shared" si="8"/>
        <v>0</v>
      </c>
      <c r="P58" s="255">
        <f t="shared" si="8"/>
        <v>0</v>
      </c>
      <c r="Q58" s="255">
        <f t="shared" si="8"/>
        <v>0</v>
      </c>
      <c r="R58" s="255">
        <f t="shared" si="8"/>
        <v>0</v>
      </c>
      <c r="S58" s="255">
        <f t="shared" si="8"/>
        <v>0</v>
      </c>
      <c r="T58" s="255">
        <f t="shared" si="8"/>
        <v>0</v>
      </c>
      <c r="U58" s="255">
        <f t="shared" ref="U58:AA58" si="9">U$1*U3</f>
        <v>0</v>
      </c>
      <c r="V58" s="255">
        <f t="shared" si="9"/>
        <v>0</v>
      </c>
      <c r="W58" s="255">
        <f t="shared" si="9"/>
        <v>0</v>
      </c>
      <c r="X58" s="255">
        <f t="shared" si="9"/>
        <v>0</v>
      </c>
      <c r="Y58" s="255">
        <f t="shared" si="9"/>
        <v>0</v>
      </c>
      <c r="Z58" s="255">
        <f t="shared" si="9"/>
        <v>0</v>
      </c>
      <c r="AA58" s="255">
        <f t="shared" si="9"/>
        <v>0</v>
      </c>
      <c r="AB58" s="255">
        <f t="shared" si="8"/>
        <v>0</v>
      </c>
      <c r="AC58" s="255">
        <f t="shared" si="8"/>
        <v>0</v>
      </c>
      <c r="AD58" s="255">
        <f t="shared" si="8"/>
        <v>0</v>
      </c>
      <c r="AE58" s="255">
        <f t="shared" si="6"/>
        <v>0</v>
      </c>
      <c r="AF58" s="255">
        <f t="shared" si="6"/>
        <v>0</v>
      </c>
      <c r="AG58" s="255">
        <f t="shared" si="6"/>
        <v>0</v>
      </c>
      <c r="AH58" s="255">
        <f t="shared" si="6"/>
        <v>0</v>
      </c>
      <c r="AI58" s="255">
        <f t="shared" si="6"/>
        <v>0</v>
      </c>
      <c r="AJ58" s="255">
        <f t="shared" si="6"/>
        <v>0</v>
      </c>
      <c r="AK58" s="255">
        <f t="shared" si="6"/>
        <v>0</v>
      </c>
      <c r="AL58" s="255">
        <f t="shared" si="6"/>
        <v>0</v>
      </c>
      <c r="AM58" s="255">
        <f t="shared" si="6"/>
        <v>0</v>
      </c>
      <c r="AN58" s="255">
        <f t="shared" si="6"/>
        <v>0</v>
      </c>
      <c r="AO58" s="255">
        <f t="shared" si="6"/>
        <v>0</v>
      </c>
      <c r="AP58" s="255">
        <f t="shared" si="6"/>
        <v>0</v>
      </c>
      <c r="AQ58" s="255">
        <f t="shared" si="6"/>
        <v>0</v>
      </c>
      <c r="AR58" s="255">
        <f t="shared" si="6"/>
        <v>0</v>
      </c>
      <c r="AS58" s="255">
        <f t="shared" si="6"/>
        <v>0</v>
      </c>
      <c r="AT58" s="255">
        <f t="shared" si="6"/>
        <v>0</v>
      </c>
      <c r="AU58" s="255">
        <f t="shared" si="6"/>
        <v>0</v>
      </c>
      <c r="AV58" s="255">
        <f t="shared" si="6"/>
        <v>0</v>
      </c>
      <c r="AW58" s="255">
        <f t="shared" si="6"/>
        <v>0</v>
      </c>
      <c r="AX58" s="256">
        <f t="shared" si="6"/>
        <v>0</v>
      </c>
    </row>
    <row r="59" spans="1:50" x14ac:dyDescent="0.25">
      <c r="F59" s="56">
        <v>4.1666666666666664E-2</v>
      </c>
      <c r="G59" s="262">
        <v>6.25E-2</v>
      </c>
      <c r="H59" s="254">
        <f t="shared" si="8"/>
        <v>0</v>
      </c>
      <c r="I59" s="255">
        <f t="shared" si="6"/>
        <v>0</v>
      </c>
      <c r="J59" s="255">
        <f t="shared" si="6"/>
        <v>0</v>
      </c>
      <c r="K59" s="255">
        <f t="shared" si="6"/>
        <v>0</v>
      </c>
      <c r="L59" s="255">
        <f t="shared" si="6"/>
        <v>0</v>
      </c>
      <c r="M59" s="255">
        <f t="shared" si="6"/>
        <v>0</v>
      </c>
      <c r="N59" s="255">
        <f t="shared" si="6"/>
        <v>0</v>
      </c>
      <c r="O59" s="255">
        <f t="shared" si="6"/>
        <v>0</v>
      </c>
      <c r="P59" s="255">
        <f t="shared" si="6"/>
        <v>0</v>
      </c>
      <c r="Q59" s="255">
        <f t="shared" si="6"/>
        <v>0</v>
      </c>
      <c r="R59" s="255">
        <f t="shared" si="6"/>
        <v>0</v>
      </c>
      <c r="S59" s="255">
        <f t="shared" si="6"/>
        <v>0</v>
      </c>
      <c r="T59" s="255">
        <f t="shared" si="6"/>
        <v>0</v>
      </c>
      <c r="U59" s="255">
        <f t="shared" si="7"/>
        <v>0</v>
      </c>
      <c r="V59" s="255">
        <f t="shared" si="7"/>
        <v>0</v>
      </c>
      <c r="W59" s="255">
        <f t="shared" si="7"/>
        <v>0</v>
      </c>
      <c r="X59" s="255">
        <f t="shared" si="7"/>
        <v>0</v>
      </c>
      <c r="Y59" s="255">
        <f t="shared" si="7"/>
        <v>0</v>
      </c>
      <c r="Z59" s="255">
        <f t="shared" si="7"/>
        <v>0</v>
      </c>
      <c r="AA59" s="255">
        <f t="shared" si="7"/>
        <v>0</v>
      </c>
      <c r="AB59" s="255">
        <f t="shared" si="6"/>
        <v>0</v>
      </c>
      <c r="AC59" s="255">
        <f t="shared" si="6"/>
        <v>0</v>
      </c>
      <c r="AD59" s="255">
        <f t="shared" si="6"/>
        <v>0</v>
      </c>
      <c r="AE59" s="255">
        <f t="shared" si="6"/>
        <v>0</v>
      </c>
      <c r="AF59" s="255">
        <f t="shared" si="6"/>
        <v>0</v>
      </c>
      <c r="AG59" s="255">
        <f t="shared" si="6"/>
        <v>0</v>
      </c>
      <c r="AH59" s="255">
        <f t="shared" si="6"/>
        <v>0</v>
      </c>
      <c r="AI59" s="255">
        <f t="shared" si="6"/>
        <v>0</v>
      </c>
      <c r="AJ59" s="255">
        <f t="shared" si="6"/>
        <v>0</v>
      </c>
      <c r="AK59" s="255">
        <f t="shared" si="6"/>
        <v>0</v>
      </c>
      <c r="AL59" s="255">
        <f t="shared" si="6"/>
        <v>0</v>
      </c>
      <c r="AM59" s="255">
        <f t="shared" si="6"/>
        <v>0</v>
      </c>
      <c r="AN59" s="255">
        <f t="shared" si="6"/>
        <v>0</v>
      </c>
      <c r="AO59" s="255">
        <f t="shared" si="6"/>
        <v>0</v>
      </c>
      <c r="AP59" s="255">
        <f t="shared" si="6"/>
        <v>0</v>
      </c>
      <c r="AQ59" s="255">
        <f t="shared" si="6"/>
        <v>0</v>
      </c>
      <c r="AR59" s="255">
        <f t="shared" si="6"/>
        <v>0</v>
      </c>
      <c r="AS59" s="255">
        <f t="shared" si="6"/>
        <v>0</v>
      </c>
      <c r="AT59" s="255">
        <f t="shared" si="6"/>
        <v>0</v>
      </c>
      <c r="AU59" s="255">
        <f t="shared" si="6"/>
        <v>0</v>
      </c>
      <c r="AV59" s="255">
        <f t="shared" si="6"/>
        <v>0</v>
      </c>
      <c r="AW59" s="255">
        <f t="shared" si="6"/>
        <v>0</v>
      </c>
      <c r="AX59" s="256">
        <f t="shared" si="6"/>
        <v>0</v>
      </c>
    </row>
    <row r="60" spans="1:50" x14ac:dyDescent="0.25">
      <c r="F60" s="56">
        <v>6.25E-2</v>
      </c>
      <c r="G60" s="262">
        <v>8.3333333333333329E-2</v>
      </c>
      <c r="H60" s="254">
        <f t="shared" si="8"/>
        <v>0</v>
      </c>
      <c r="I60" s="255">
        <f t="shared" si="6"/>
        <v>0</v>
      </c>
      <c r="J60" s="255">
        <f t="shared" si="6"/>
        <v>0</v>
      </c>
      <c r="K60" s="255">
        <f t="shared" si="6"/>
        <v>0</v>
      </c>
      <c r="L60" s="255">
        <f t="shared" si="6"/>
        <v>0</v>
      </c>
      <c r="M60" s="255">
        <f t="shared" si="6"/>
        <v>0</v>
      </c>
      <c r="N60" s="255">
        <f t="shared" si="6"/>
        <v>0</v>
      </c>
      <c r="O60" s="255">
        <f t="shared" si="6"/>
        <v>0</v>
      </c>
      <c r="P60" s="255">
        <f t="shared" si="6"/>
        <v>0</v>
      </c>
      <c r="Q60" s="255">
        <f t="shared" si="6"/>
        <v>0</v>
      </c>
      <c r="R60" s="255">
        <f t="shared" si="6"/>
        <v>0</v>
      </c>
      <c r="S60" s="255">
        <f t="shared" si="6"/>
        <v>0</v>
      </c>
      <c r="T60" s="255">
        <f t="shared" si="6"/>
        <v>0</v>
      </c>
      <c r="U60" s="255">
        <f t="shared" si="7"/>
        <v>0</v>
      </c>
      <c r="V60" s="255">
        <f t="shared" si="7"/>
        <v>0</v>
      </c>
      <c r="W60" s="255">
        <f t="shared" si="7"/>
        <v>0</v>
      </c>
      <c r="X60" s="255">
        <f t="shared" si="7"/>
        <v>0</v>
      </c>
      <c r="Y60" s="255">
        <f t="shared" si="7"/>
        <v>0</v>
      </c>
      <c r="Z60" s="255">
        <f t="shared" si="7"/>
        <v>0</v>
      </c>
      <c r="AA60" s="255">
        <f t="shared" si="7"/>
        <v>0</v>
      </c>
      <c r="AB60" s="255">
        <f t="shared" si="6"/>
        <v>0</v>
      </c>
      <c r="AC60" s="255">
        <f t="shared" si="6"/>
        <v>0</v>
      </c>
      <c r="AD60" s="255">
        <f t="shared" si="6"/>
        <v>0</v>
      </c>
      <c r="AE60" s="255">
        <f t="shared" si="6"/>
        <v>0</v>
      </c>
      <c r="AF60" s="255">
        <f t="shared" si="6"/>
        <v>0</v>
      </c>
      <c r="AG60" s="255">
        <f t="shared" si="6"/>
        <v>0</v>
      </c>
      <c r="AH60" s="255">
        <f t="shared" si="6"/>
        <v>0</v>
      </c>
      <c r="AI60" s="255">
        <f t="shared" si="6"/>
        <v>0</v>
      </c>
      <c r="AJ60" s="255">
        <f t="shared" si="6"/>
        <v>0</v>
      </c>
      <c r="AK60" s="255">
        <f t="shared" si="6"/>
        <v>0</v>
      </c>
      <c r="AL60" s="255">
        <f t="shared" si="6"/>
        <v>0</v>
      </c>
      <c r="AM60" s="255">
        <f t="shared" si="6"/>
        <v>0</v>
      </c>
      <c r="AN60" s="255">
        <f t="shared" si="6"/>
        <v>0</v>
      </c>
      <c r="AO60" s="255">
        <f t="shared" si="6"/>
        <v>0</v>
      </c>
      <c r="AP60" s="255">
        <f t="shared" si="6"/>
        <v>0</v>
      </c>
      <c r="AQ60" s="255">
        <f t="shared" si="6"/>
        <v>0</v>
      </c>
      <c r="AR60" s="255">
        <f t="shared" si="6"/>
        <v>0</v>
      </c>
      <c r="AS60" s="255">
        <f t="shared" si="6"/>
        <v>0</v>
      </c>
      <c r="AT60" s="255">
        <f t="shared" si="6"/>
        <v>0</v>
      </c>
      <c r="AU60" s="255">
        <f t="shared" si="6"/>
        <v>0</v>
      </c>
      <c r="AV60" s="255">
        <f t="shared" si="6"/>
        <v>0</v>
      </c>
      <c r="AW60" s="255">
        <f t="shared" si="6"/>
        <v>0</v>
      </c>
      <c r="AX60" s="256">
        <f t="shared" si="6"/>
        <v>0</v>
      </c>
    </row>
    <row r="61" spans="1:50" x14ac:dyDescent="0.25">
      <c r="F61" s="56">
        <v>8.3333333333333329E-2</v>
      </c>
      <c r="G61" s="262">
        <v>0.10416666666666667</v>
      </c>
      <c r="H61" s="254">
        <f t="shared" si="8"/>
        <v>0</v>
      </c>
      <c r="I61" s="255">
        <f t="shared" si="6"/>
        <v>0</v>
      </c>
      <c r="J61" s="255">
        <f t="shared" si="6"/>
        <v>0</v>
      </c>
      <c r="K61" s="255">
        <f t="shared" si="6"/>
        <v>0</v>
      </c>
      <c r="L61" s="255">
        <f t="shared" si="6"/>
        <v>0</v>
      </c>
      <c r="M61" s="255">
        <f t="shared" si="6"/>
        <v>0</v>
      </c>
      <c r="N61" s="255">
        <f t="shared" si="6"/>
        <v>0</v>
      </c>
      <c r="O61" s="255">
        <f t="shared" si="6"/>
        <v>0</v>
      </c>
      <c r="P61" s="255">
        <f t="shared" si="6"/>
        <v>0</v>
      </c>
      <c r="Q61" s="255">
        <f t="shared" si="6"/>
        <v>0</v>
      </c>
      <c r="R61" s="255">
        <f t="shared" si="6"/>
        <v>0</v>
      </c>
      <c r="S61" s="255">
        <f t="shared" si="6"/>
        <v>0</v>
      </c>
      <c r="T61" s="255">
        <f t="shared" si="6"/>
        <v>0</v>
      </c>
      <c r="U61" s="255">
        <f t="shared" si="7"/>
        <v>0</v>
      </c>
      <c r="V61" s="255">
        <f t="shared" si="7"/>
        <v>0</v>
      </c>
      <c r="W61" s="255">
        <f t="shared" si="7"/>
        <v>0</v>
      </c>
      <c r="X61" s="255">
        <f t="shared" si="7"/>
        <v>0</v>
      </c>
      <c r="Y61" s="255">
        <f t="shared" si="7"/>
        <v>0</v>
      </c>
      <c r="Z61" s="255">
        <f t="shared" si="7"/>
        <v>0</v>
      </c>
      <c r="AA61" s="255">
        <f t="shared" si="7"/>
        <v>0</v>
      </c>
      <c r="AB61" s="255">
        <f t="shared" si="6"/>
        <v>0</v>
      </c>
      <c r="AC61" s="255">
        <f t="shared" si="6"/>
        <v>0</v>
      </c>
      <c r="AD61" s="255">
        <f t="shared" si="6"/>
        <v>0</v>
      </c>
      <c r="AE61" s="255">
        <f t="shared" si="6"/>
        <v>0</v>
      </c>
      <c r="AF61" s="255">
        <f t="shared" si="6"/>
        <v>0</v>
      </c>
      <c r="AG61" s="255">
        <f t="shared" si="6"/>
        <v>0</v>
      </c>
      <c r="AH61" s="255">
        <f t="shared" si="6"/>
        <v>0</v>
      </c>
      <c r="AI61" s="255">
        <f t="shared" si="6"/>
        <v>0</v>
      </c>
      <c r="AJ61" s="255">
        <f t="shared" si="6"/>
        <v>0</v>
      </c>
      <c r="AK61" s="255">
        <f t="shared" si="6"/>
        <v>0</v>
      </c>
      <c r="AL61" s="255">
        <f t="shared" si="6"/>
        <v>0</v>
      </c>
      <c r="AM61" s="255">
        <f t="shared" si="6"/>
        <v>0</v>
      </c>
      <c r="AN61" s="255">
        <f t="shared" si="6"/>
        <v>0</v>
      </c>
      <c r="AO61" s="255">
        <f t="shared" si="6"/>
        <v>0</v>
      </c>
      <c r="AP61" s="255">
        <f t="shared" si="6"/>
        <v>0</v>
      </c>
      <c r="AQ61" s="255">
        <f t="shared" si="6"/>
        <v>0</v>
      </c>
      <c r="AR61" s="255">
        <f t="shared" si="6"/>
        <v>0</v>
      </c>
      <c r="AS61" s="255">
        <f t="shared" si="6"/>
        <v>0</v>
      </c>
      <c r="AT61" s="255">
        <f t="shared" si="6"/>
        <v>0</v>
      </c>
      <c r="AU61" s="255">
        <f t="shared" si="6"/>
        <v>0</v>
      </c>
      <c r="AV61" s="255">
        <f t="shared" si="6"/>
        <v>0</v>
      </c>
      <c r="AW61" s="255">
        <f t="shared" si="6"/>
        <v>0</v>
      </c>
      <c r="AX61" s="256">
        <f t="shared" si="6"/>
        <v>0</v>
      </c>
    </row>
    <row r="62" spans="1:50" x14ac:dyDescent="0.25">
      <c r="F62" s="56">
        <v>0.10416666666666667</v>
      </c>
      <c r="G62" s="262">
        <v>0.125</v>
      </c>
      <c r="H62" s="254">
        <f t="shared" si="8"/>
        <v>0</v>
      </c>
      <c r="I62" s="255">
        <f t="shared" si="6"/>
        <v>0</v>
      </c>
      <c r="J62" s="255">
        <f t="shared" si="6"/>
        <v>0</v>
      </c>
      <c r="K62" s="255">
        <f t="shared" si="6"/>
        <v>0</v>
      </c>
      <c r="L62" s="255">
        <f t="shared" si="6"/>
        <v>0</v>
      </c>
      <c r="M62" s="255">
        <f t="shared" si="6"/>
        <v>0</v>
      </c>
      <c r="N62" s="255">
        <f t="shared" si="6"/>
        <v>0</v>
      </c>
      <c r="O62" s="255">
        <f t="shared" si="6"/>
        <v>0</v>
      </c>
      <c r="P62" s="255">
        <f t="shared" si="6"/>
        <v>0</v>
      </c>
      <c r="Q62" s="255">
        <f t="shared" si="6"/>
        <v>0</v>
      </c>
      <c r="R62" s="255">
        <f t="shared" si="6"/>
        <v>0</v>
      </c>
      <c r="S62" s="255">
        <f t="shared" si="6"/>
        <v>0</v>
      </c>
      <c r="T62" s="255">
        <f t="shared" si="6"/>
        <v>0</v>
      </c>
      <c r="U62" s="255">
        <f t="shared" si="7"/>
        <v>0</v>
      </c>
      <c r="V62" s="255">
        <f t="shared" si="7"/>
        <v>0</v>
      </c>
      <c r="W62" s="255">
        <f t="shared" si="7"/>
        <v>0</v>
      </c>
      <c r="X62" s="255">
        <f t="shared" si="7"/>
        <v>0</v>
      </c>
      <c r="Y62" s="255">
        <f t="shared" si="7"/>
        <v>0</v>
      </c>
      <c r="Z62" s="255">
        <f t="shared" si="7"/>
        <v>0</v>
      </c>
      <c r="AA62" s="255">
        <f t="shared" si="7"/>
        <v>0</v>
      </c>
      <c r="AB62" s="255">
        <f t="shared" si="6"/>
        <v>0</v>
      </c>
      <c r="AC62" s="255">
        <f t="shared" si="6"/>
        <v>0</v>
      </c>
      <c r="AD62" s="255">
        <f t="shared" si="6"/>
        <v>0</v>
      </c>
      <c r="AE62" s="255">
        <f t="shared" si="6"/>
        <v>0</v>
      </c>
      <c r="AF62" s="255">
        <f t="shared" si="6"/>
        <v>0</v>
      </c>
      <c r="AG62" s="255">
        <f t="shared" si="6"/>
        <v>0</v>
      </c>
      <c r="AH62" s="255">
        <f t="shared" si="6"/>
        <v>0</v>
      </c>
      <c r="AI62" s="255">
        <f t="shared" si="6"/>
        <v>0</v>
      </c>
      <c r="AJ62" s="255">
        <f t="shared" si="6"/>
        <v>0</v>
      </c>
      <c r="AK62" s="255">
        <f t="shared" si="6"/>
        <v>0</v>
      </c>
      <c r="AL62" s="255">
        <f t="shared" si="6"/>
        <v>0</v>
      </c>
      <c r="AM62" s="255">
        <f t="shared" si="6"/>
        <v>0</v>
      </c>
      <c r="AN62" s="255">
        <f t="shared" si="6"/>
        <v>0</v>
      </c>
      <c r="AO62" s="255">
        <f t="shared" si="6"/>
        <v>0</v>
      </c>
      <c r="AP62" s="255">
        <f t="shared" si="6"/>
        <v>0</v>
      </c>
      <c r="AQ62" s="255">
        <f t="shared" si="6"/>
        <v>0</v>
      </c>
      <c r="AR62" s="255">
        <f t="shared" si="6"/>
        <v>0</v>
      </c>
      <c r="AS62" s="255">
        <f t="shared" si="6"/>
        <v>0</v>
      </c>
      <c r="AT62" s="255">
        <f t="shared" si="6"/>
        <v>0</v>
      </c>
      <c r="AU62" s="255">
        <f t="shared" si="6"/>
        <v>0</v>
      </c>
      <c r="AV62" s="255">
        <f t="shared" si="6"/>
        <v>0</v>
      </c>
      <c r="AW62" s="255">
        <f t="shared" si="6"/>
        <v>0</v>
      </c>
      <c r="AX62" s="256">
        <f t="shared" si="6"/>
        <v>0</v>
      </c>
    </row>
    <row r="63" spans="1:50" x14ac:dyDescent="0.25">
      <c r="F63" s="56">
        <v>0.125</v>
      </c>
      <c r="G63" s="262">
        <v>0.14583333333333334</v>
      </c>
      <c r="H63" s="254">
        <f t="shared" si="8"/>
        <v>0</v>
      </c>
      <c r="I63" s="255">
        <f t="shared" si="6"/>
        <v>0</v>
      </c>
      <c r="J63" s="255">
        <f t="shared" si="6"/>
        <v>0</v>
      </c>
      <c r="K63" s="255">
        <f t="shared" si="6"/>
        <v>0</v>
      </c>
      <c r="L63" s="255">
        <f t="shared" si="6"/>
        <v>0</v>
      </c>
      <c r="M63" s="255">
        <f t="shared" si="6"/>
        <v>0</v>
      </c>
      <c r="N63" s="255">
        <f t="shared" si="6"/>
        <v>0</v>
      </c>
      <c r="O63" s="255">
        <f t="shared" si="6"/>
        <v>0</v>
      </c>
      <c r="P63" s="255">
        <f t="shared" si="6"/>
        <v>0</v>
      </c>
      <c r="Q63" s="255">
        <f t="shared" si="6"/>
        <v>0</v>
      </c>
      <c r="R63" s="255">
        <f t="shared" si="6"/>
        <v>0</v>
      </c>
      <c r="S63" s="255">
        <f t="shared" si="6"/>
        <v>0</v>
      </c>
      <c r="T63" s="255">
        <f t="shared" si="6"/>
        <v>0</v>
      </c>
      <c r="U63" s="255">
        <f t="shared" si="7"/>
        <v>0</v>
      </c>
      <c r="V63" s="255">
        <f t="shared" si="7"/>
        <v>0</v>
      </c>
      <c r="W63" s="255">
        <f t="shared" si="7"/>
        <v>0</v>
      </c>
      <c r="X63" s="255">
        <f t="shared" si="7"/>
        <v>0</v>
      </c>
      <c r="Y63" s="255">
        <f t="shared" si="7"/>
        <v>0</v>
      </c>
      <c r="Z63" s="255">
        <f t="shared" si="7"/>
        <v>0</v>
      </c>
      <c r="AA63" s="255">
        <f t="shared" si="7"/>
        <v>0</v>
      </c>
      <c r="AB63" s="255">
        <f t="shared" si="6"/>
        <v>0</v>
      </c>
      <c r="AC63" s="255">
        <f t="shared" si="6"/>
        <v>0</v>
      </c>
      <c r="AD63" s="255">
        <f t="shared" si="6"/>
        <v>0</v>
      </c>
      <c r="AE63" s="255">
        <f t="shared" si="6"/>
        <v>0</v>
      </c>
      <c r="AF63" s="255">
        <f t="shared" si="6"/>
        <v>0</v>
      </c>
      <c r="AG63" s="255">
        <f t="shared" si="6"/>
        <v>0</v>
      </c>
      <c r="AH63" s="255">
        <f t="shared" si="6"/>
        <v>0</v>
      </c>
      <c r="AI63" s="255">
        <f t="shared" si="6"/>
        <v>0</v>
      </c>
      <c r="AJ63" s="255">
        <f t="shared" si="6"/>
        <v>0</v>
      </c>
      <c r="AK63" s="255">
        <f t="shared" si="6"/>
        <v>0</v>
      </c>
      <c r="AL63" s="255">
        <f t="shared" si="6"/>
        <v>0</v>
      </c>
      <c r="AM63" s="255">
        <f t="shared" si="6"/>
        <v>0</v>
      </c>
      <c r="AN63" s="255">
        <f t="shared" si="6"/>
        <v>0</v>
      </c>
      <c r="AO63" s="255">
        <f t="shared" si="6"/>
        <v>0</v>
      </c>
      <c r="AP63" s="255">
        <f t="shared" si="6"/>
        <v>0</v>
      </c>
      <c r="AQ63" s="255">
        <f t="shared" si="6"/>
        <v>0</v>
      </c>
      <c r="AR63" s="255">
        <f t="shared" si="6"/>
        <v>0</v>
      </c>
      <c r="AS63" s="255">
        <f t="shared" si="6"/>
        <v>0</v>
      </c>
      <c r="AT63" s="255">
        <f t="shared" si="6"/>
        <v>0</v>
      </c>
      <c r="AU63" s="255">
        <f t="shared" si="6"/>
        <v>0</v>
      </c>
      <c r="AV63" s="255">
        <f t="shared" si="6"/>
        <v>0</v>
      </c>
      <c r="AW63" s="255">
        <f t="shared" si="6"/>
        <v>0</v>
      </c>
      <c r="AX63" s="256">
        <f t="shared" si="6"/>
        <v>0</v>
      </c>
    </row>
    <row r="64" spans="1:50" x14ac:dyDescent="0.25">
      <c r="F64" s="56">
        <v>0.14583333333333334</v>
      </c>
      <c r="G64" s="262">
        <v>0.16666666666666666</v>
      </c>
      <c r="H64" s="254">
        <f t="shared" si="8"/>
        <v>0</v>
      </c>
      <c r="I64" s="255">
        <f t="shared" si="6"/>
        <v>0</v>
      </c>
      <c r="J64" s="255">
        <f t="shared" si="6"/>
        <v>0</v>
      </c>
      <c r="K64" s="255">
        <f t="shared" si="6"/>
        <v>0</v>
      </c>
      <c r="L64" s="255">
        <f t="shared" si="6"/>
        <v>0</v>
      </c>
      <c r="M64" s="255">
        <f t="shared" si="6"/>
        <v>0</v>
      </c>
      <c r="N64" s="255">
        <f t="shared" si="6"/>
        <v>0</v>
      </c>
      <c r="O64" s="255">
        <f t="shared" si="6"/>
        <v>0</v>
      </c>
      <c r="P64" s="255">
        <f t="shared" si="6"/>
        <v>0</v>
      </c>
      <c r="Q64" s="255">
        <f t="shared" si="6"/>
        <v>0</v>
      </c>
      <c r="R64" s="255">
        <f t="shared" si="6"/>
        <v>0</v>
      </c>
      <c r="S64" s="255">
        <f t="shared" si="6"/>
        <v>0</v>
      </c>
      <c r="T64" s="255">
        <f t="shared" si="6"/>
        <v>0</v>
      </c>
      <c r="U64" s="255">
        <f t="shared" si="7"/>
        <v>0</v>
      </c>
      <c r="V64" s="255">
        <f t="shared" si="7"/>
        <v>0</v>
      </c>
      <c r="W64" s="255">
        <f t="shared" si="7"/>
        <v>0</v>
      </c>
      <c r="X64" s="255">
        <f t="shared" si="7"/>
        <v>0</v>
      </c>
      <c r="Y64" s="255">
        <f t="shared" si="7"/>
        <v>0</v>
      </c>
      <c r="Z64" s="255">
        <f t="shared" si="7"/>
        <v>0</v>
      </c>
      <c r="AA64" s="255">
        <f t="shared" si="7"/>
        <v>0</v>
      </c>
      <c r="AB64" s="255">
        <f t="shared" si="6"/>
        <v>0</v>
      </c>
      <c r="AC64" s="255">
        <f t="shared" si="6"/>
        <v>0</v>
      </c>
      <c r="AD64" s="255">
        <f t="shared" si="6"/>
        <v>0</v>
      </c>
      <c r="AE64" s="255">
        <f t="shared" si="6"/>
        <v>0</v>
      </c>
      <c r="AF64" s="255">
        <f t="shared" si="6"/>
        <v>0</v>
      </c>
      <c r="AG64" s="255">
        <f t="shared" si="6"/>
        <v>0</v>
      </c>
      <c r="AH64" s="255">
        <f t="shared" ref="I64:AX71" si="10">AH$1*AH9</f>
        <v>0</v>
      </c>
      <c r="AI64" s="255">
        <f t="shared" si="10"/>
        <v>0</v>
      </c>
      <c r="AJ64" s="255">
        <f t="shared" si="10"/>
        <v>0</v>
      </c>
      <c r="AK64" s="255">
        <f t="shared" si="10"/>
        <v>0</v>
      </c>
      <c r="AL64" s="255">
        <f t="shared" si="10"/>
        <v>0</v>
      </c>
      <c r="AM64" s="255">
        <f t="shared" si="10"/>
        <v>0</v>
      </c>
      <c r="AN64" s="255">
        <f t="shared" si="10"/>
        <v>0</v>
      </c>
      <c r="AO64" s="255">
        <f t="shared" si="10"/>
        <v>0</v>
      </c>
      <c r="AP64" s="255">
        <f t="shared" si="10"/>
        <v>0</v>
      </c>
      <c r="AQ64" s="255">
        <f t="shared" si="10"/>
        <v>0</v>
      </c>
      <c r="AR64" s="255">
        <f t="shared" si="10"/>
        <v>0</v>
      </c>
      <c r="AS64" s="255">
        <f t="shared" si="10"/>
        <v>0</v>
      </c>
      <c r="AT64" s="255">
        <f t="shared" si="10"/>
        <v>0</v>
      </c>
      <c r="AU64" s="255">
        <f t="shared" si="10"/>
        <v>0</v>
      </c>
      <c r="AV64" s="255">
        <f t="shared" si="10"/>
        <v>0</v>
      </c>
      <c r="AW64" s="255">
        <f t="shared" si="10"/>
        <v>0</v>
      </c>
      <c r="AX64" s="256">
        <f t="shared" si="10"/>
        <v>0</v>
      </c>
    </row>
    <row r="65" spans="6:50" x14ac:dyDescent="0.25">
      <c r="F65" s="56">
        <v>0.16666666666666666</v>
      </c>
      <c r="G65" s="262">
        <v>0.1875</v>
      </c>
      <c r="H65" s="254">
        <f t="shared" si="8"/>
        <v>0</v>
      </c>
      <c r="I65" s="255">
        <f t="shared" si="10"/>
        <v>0</v>
      </c>
      <c r="J65" s="255">
        <f t="shared" si="10"/>
        <v>0</v>
      </c>
      <c r="K65" s="255">
        <f t="shared" si="10"/>
        <v>0</v>
      </c>
      <c r="L65" s="255">
        <f t="shared" si="10"/>
        <v>0</v>
      </c>
      <c r="M65" s="255">
        <f t="shared" si="10"/>
        <v>0</v>
      </c>
      <c r="N65" s="255">
        <f t="shared" si="10"/>
        <v>0</v>
      </c>
      <c r="O65" s="255">
        <f t="shared" si="10"/>
        <v>0</v>
      </c>
      <c r="P65" s="255">
        <f t="shared" si="10"/>
        <v>0</v>
      </c>
      <c r="Q65" s="255">
        <f t="shared" si="10"/>
        <v>0</v>
      </c>
      <c r="R65" s="255">
        <f t="shared" si="10"/>
        <v>0</v>
      </c>
      <c r="S65" s="255">
        <f t="shared" si="10"/>
        <v>0</v>
      </c>
      <c r="T65" s="255">
        <f t="shared" si="10"/>
        <v>0</v>
      </c>
      <c r="U65" s="255">
        <f t="shared" si="7"/>
        <v>0</v>
      </c>
      <c r="V65" s="255">
        <f t="shared" si="7"/>
        <v>0</v>
      </c>
      <c r="W65" s="255">
        <f t="shared" si="7"/>
        <v>0</v>
      </c>
      <c r="X65" s="255">
        <f t="shared" si="7"/>
        <v>0</v>
      </c>
      <c r="Y65" s="255">
        <f t="shared" si="7"/>
        <v>0</v>
      </c>
      <c r="Z65" s="255">
        <f t="shared" si="7"/>
        <v>0</v>
      </c>
      <c r="AA65" s="255">
        <f t="shared" si="7"/>
        <v>0</v>
      </c>
      <c r="AB65" s="255">
        <f t="shared" si="10"/>
        <v>0</v>
      </c>
      <c r="AC65" s="255">
        <f t="shared" si="10"/>
        <v>0</v>
      </c>
      <c r="AD65" s="255">
        <f t="shared" si="10"/>
        <v>0</v>
      </c>
      <c r="AE65" s="255">
        <f t="shared" si="10"/>
        <v>0</v>
      </c>
      <c r="AF65" s="255">
        <f t="shared" si="10"/>
        <v>0</v>
      </c>
      <c r="AG65" s="255">
        <f t="shared" si="10"/>
        <v>0</v>
      </c>
      <c r="AH65" s="255">
        <f t="shared" si="10"/>
        <v>0</v>
      </c>
      <c r="AI65" s="255">
        <f t="shared" si="10"/>
        <v>0</v>
      </c>
      <c r="AJ65" s="255">
        <f t="shared" si="10"/>
        <v>0</v>
      </c>
      <c r="AK65" s="255">
        <f t="shared" si="10"/>
        <v>0</v>
      </c>
      <c r="AL65" s="255">
        <f t="shared" si="10"/>
        <v>0</v>
      </c>
      <c r="AM65" s="255">
        <f t="shared" si="10"/>
        <v>0</v>
      </c>
      <c r="AN65" s="255">
        <f t="shared" si="10"/>
        <v>0</v>
      </c>
      <c r="AO65" s="255">
        <f t="shared" si="10"/>
        <v>0</v>
      </c>
      <c r="AP65" s="255">
        <f t="shared" si="10"/>
        <v>0</v>
      </c>
      <c r="AQ65" s="255">
        <f t="shared" si="10"/>
        <v>0</v>
      </c>
      <c r="AR65" s="255">
        <f t="shared" si="10"/>
        <v>0</v>
      </c>
      <c r="AS65" s="255">
        <f t="shared" si="10"/>
        <v>0</v>
      </c>
      <c r="AT65" s="255">
        <f t="shared" si="10"/>
        <v>0</v>
      </c>
      <c r="AU65" s="255">
        <f t="shared" si="10"/>
        <v>0</v>
      </c>
      <c r="AV65" s="255">
        <f t="shared" si="10"/>
        <v>0</v>
      </c>
      <c r="AW65" s="255">
        <f t="shared" si="10"/>
        <v>0</v>
      </c>
      <c r="AX65" s="256">
        <f t="shared" si="10"/>
        <v>0</v>
      </c>
    </row>
    <row r="66" spans="6:50" x14ac:dyDescent="0.25">
      <c r="F66" s="56">
        <v>0.1875</v>
      </c>
      <c r="G66" s="262">
        <v>0.20833333333333334</v>
      </c>
      <c r="H66" s="254">
        <f t="shared" si="8"/>
        <v>0</v>
      </c>
      <c r="I66" s="255">
        <f t="shared" si="10"/>
        <v>0</v>
      </c>
      <c r="J66" s="255">
        <f t="shared" si="10"/>
        <v>0</v>
      </c>
      <c r="K66" s="255">
        <f t="shared" si="10"/>
        <v>0</v>
      </c>
      <c r="L66" s="255">
        <f t="shared" si="10"/>
        <v>0</v>
      </c>
      <c r="M66" s="255">
        <f t="shared" si="10"/>
        <v>0</v>
      </c>
      <c r="N66" s="255">
        <f t="shared" si="10"/>
        <v>0</v>
      </c>
      <c r="O66" s="255">
        <f t="shared" si="10"/>
        <v>0</v>
      </c>
      <c r="P66" s="255">
        <f t="shared" si="10"/>
        <v>0</v>
      </c>
      <c r="Q66" s="255">
        <f t="shared" si="10"/>
        <v>0</v>
      </c>
      <c r="R66" s="255">
        <f t="shared" si="10"/>
        <v>0</v>
      </c>
      <c r="S66" s="255">
        <f t="shared" si="10"/>
        <v>0</v>
      </c>
      <c r="T66" s="255">
        <f t="shared" si="10"/>
        <v>0</v>
      </c>
      <c r="U66" s="255">
        <f t="shared" si="7"/>
        <v>0</v>
      </c>
      <c r="V66" s="255">
        <f t="shared" si="7"/>
        <v>0</v>
      </c>
      <c r="W66" s="255">
        <f t="shared" si="7"/>
        <v>0</v>
      </c>
      <c r="X66" s="255">
        <f t="shared" si="7"/>
        <v>0</v>
      </c>
      <c r="Y66" s="255">
        <f t="shared" si="7"/>
        <v>0</v>
      </c>
      <c r="Z66" s="255">
        <f t="shared" si="7"/>
        <v>0</v>
      </c>
      <c r="AA66" s="255">
        <f t="shared" si="7"/>
        <v>0</v>
      </c>
      <c r="AB66" s="255">
        <f t="shared" si="10"/>
        <v>0</v>
      </c>
      <c r="AC66" s="255">
        <f t="shared" si="10"/>
        <v>0</v>
      </c>
      <c r="AD66" s="255">
        <f t="shared" si="10"/>
        <v>0</v>
      </c>
      <c r="AE66" s="255">
        <f t="shared" si="10"/>
        <v>0</v>
      </c>
      <c r="AF66" s="255">
        <f t="shared" si="10"/>
        <v>0</v>
      </c>
      <c r="AG66" s="255">
        <f t="shared" si="10"/>
        <v>0</v>
      </c>
      <c r="AH66" s="255">
        <f t="shared" si="10"/>
        <v>0</v>
      </c>
      <c r="AI66" s="255">
        <f t="shared" si="10"/>
        <v>0</v>
      </c>
      <c r="AJ66" s="255">
        <f t="shared" si="10"/>
        <v>0</v>
      </c>
      <c r="AK66" s="255">
        <f t="shared" si="10"/>
        <v>0</v>
      </c>
      <c r="AL66" s="255">
        <f t="shared" si="10"/>
        <v>0</v>
      </c>
      <c r="AM66" s="255">
        <f t="shared" si="10"/>
        <v>0</v>
      </c>
      <c r="AN66" s="255">
        <f t="shared" si="10"/>
        <v>0</v>
      </c>
      <c r="AO66" s="255">
        <f t="shared" si="10"/>
        <v>0</v>
      </c>
      <c r="AP66" s="255">
        <f t="shared" si="10"/>
        <v>0</v>
      </c>
      <c r="AQ66" s="255">
        <f t="shared" si="10"/>
        <v>0</v>
      </c>
      <c r="AR66" s="255">
        <f t="shared" si="10"/>
        <v>0</v>
      </c>
      <c r="AS66" s="255">
        <f t="shared" si="10"/>
        <v>0</v>
      </c>
      <c r="AT66" s="255">
        <f t="shared" si="10"/>
        <v>0</v>
      </c>
      <c r="AU66" s="255">
        <f t="shared" si="10"/>
        <v>0</v>
      </c>
      <c r="AV66" s="255">
        <f t="shared" si="10"/>
        <v>0</v>
      </c>
      <c r="AW66" s="255">
        <f t="shared" si="10"/>
        <v>0</v>
      </c>
      <c r="AX66" s="256">
        <f t="shared" si="10"/>
        <v>0</v>
      </c>
    </row>
    <row r="67" spans="6:50" x14ac:dyDescent="0.25">
      <c r="F67" s="56">
        <v>0.20833333333333334</v>
      </c>
      <c r="G67" s="262">
        <v>0.22916666666666666</v>
      </c>
      <c r="H67" s="254">
        <f t="shared" si="8"/>
        <v>0</v>
      </c>
      <c r="I67" s="255">
        <f t="shared" si="10"/>
        <v>0</v>
      </c>
      <c r="J67" s="255">
        <f t="shared" si="10"/>
        <v>0</v>
      </c>
      <c r="K67" s="255">
        <f t="shared" si="10"/>
        <v>0</v>
      </c>
      <c r="L67" s="255">
        <f t="shared" si="10"/>
        <v>0</v>
      </c>
      <c r="M67" s="255">
        <f t="shared" si="10"/>
        <v>0</v>
      </c>
      <c r="N67" s="255">
        <f t="shared" si="10"/>
        <v>0</v>
      </c>
      <c r="O67" s="255">
        <f t="shared" si="10"/>
        <v>0</v>
      </c>
      <c r="P67" s="255">
        <f t="shared" si="10"/>
        <v>0</v>
      </c>
      <c r="Q67" s="255">
        <f t="shared" si="10"/>
        <v>0</v>
      </c>
      <c r="R67" s="255">
        <f t="shared" si="10"/>
        <v>0</v>
      </c>
      <c r="S67" s="255">
        <f t="shared" si="10"/>
        <v>0</v>
      </c>
      <c r="T67" s="255">
        <f t="shared" si="10"/>
        <v>0</v>
      </c>
      <c r="U67" s="255">
        <f t="shared" si="7"/>
        <v>0</v>
      </c>
      <c r="V67" s="255">
        <f t="shared" si="7"/>
        <v>0</v>
      </c>
      <c r="W67" s="255">
        <f t="shared" si="7"/>
        <v>0</v>
      </c>
      <c r="X67" s="255">
        <f t="shared" si="7"/>
        <v>0</v>
      </c>
      <c r="Y67" s="255">
        <f t="shared" si="7"/>
        <v>0</v>
      </c>
      <c r="Z67" s="255">
        <f t="shared" si="7"/>
        <v>0</v>
      </c>
      <c r="AA67" s="255">
        <f t="shared" si="7"/>
        <v>0</v>
      </c>
      <c r="AB67" s="255">
        <f t="shared" si="10"/>
        <v>0</v>
      </c>
      <c r="AC67" s="255">
        <f t="shared" si="10"/>
        <v>0</v>
      </c>
      <c r="AD67" s="255">
        <f t="shared" si="10"/>
        <v>0</v>
      </c>
      <c r="AE67" s="255">
        <f t="shared" si="10"/>
        <v>0</v>
      </c>
      <c r="AF67" s="255">
        <f t="shared" si="10"/>
        <v>0</v>
      </c>
      <c r="AG67" s="255">
        <f t="shared" si="10"/>
        <v>0</v>
      </c>
      <c r="AH67" s="255">
        <f t="shared" si="10"/>
        <v>0</v>
      </c>
      <c r="AI67" s="255">
        <f t="shared" si="10"/>
        <v>0</v>
      </c>
      <c r="AJ67" s="255">
        <f t="shared" si="10"/>
        <v>0</v>
      </c>
      <c r="AK67" s="255">
        <f t="shared" si="10"/>
        <v>0</v>
      </c>
      <c r="AL67" s="255">
        <f t="shared" si="10"/>
        <v>0</v>
      </c>
      <c r="AM67" s="255">
        <f t="shared" si="10"/>
        <v>0</v>
      </c>
      <c r="AN67" s="255">
        <f t="shared" si="10"/>
        <v>0</v>
      </c>
      <c r="AO67" s="255">
        <f t="shared" si="10"/>
        <v>0</v>
      </c>
      <c r="AP67" s="255">
        <f t="shared" si="10"/>
        <v>0</v>
      </c>
      <c r="AQ67" s="255">
        <f t="shared" si="10"/>
        <v>0</v>
      </c>
      <c r="AR67" s="255">
        <f t="shared" si="10"/>
        <v>0</v>
      </c>
      <c r="AS67" s="255">
        <f t="shared" si="10"/>
        <v>0</v>
      </c>
      <c r="AT67" s="255">
        <f t="shared" si="10"/>
        <v>0</v>
      </c>
      <c r="AU67" s="255">
        <f t="shared" si="10"/>
        <v>0</v>
      </c>
      <c r="AV67" s="255">
        <f t="shared" si="10"/>
        <v>0</v>
      </c>
      <c r="AW67" s="255">
        <f t="shared" si="10"/>
        <v>0</v>
      </c>
      <c r="AX67" s="256">
        <f t="shared" si="10"/>
        <v>0</v>
      </c>
    </row>
    <row r="68" spans="6:50" x14ac:dyDescent="0.25">
      <c r="F68" s="56">
        <v>0.22916666666666666</v>
      </c>
      <c r="G68" s="262">
        <v>0.25</v>
      </c>
      <c r="H68" s="254">
        <f t="shared" si="8"/>
        <v>0</v>
      </c>
      <c r="I68" s="255">
        <f t="shared" si="10"/>
        <v>0</v>
      </c>
      <c r="J68" s="255">
        <f t="shared" si="10"/>
        <v>0</v>
      </c>
      <c r="K68" s="255">
        <f t="shared" si="10"/>
        <v>0</v>
      </c>
      <c r="L68" s="255">
        <f t="shared" si="10"/>
        <v>0</v>
      </c>
      <c r="M68" s="255">
        <f t="shared" si="10"/>
        <v>0</v>
      </c>
      <c r="N68" s="255">
        <f t="shared" si="10"/>
        <v>0</v>
      </c>
      <c r="O68" s="255">
        <f t="shared" si="10"/>
        <v>0</v>
      </c>
      <c r="P68" s="255">
        <f t="shared" si="10"/>
        <v>0</v>
      </c>
      <c r="Q68" s="255">
        <f t="shared" si="10"/>
        <v>0</v>
      </c>
      <c r="R68" s="255">
        <f t="shared" si="10"/>
        <v>0</v>
      </c>
      <c r="S68" s="255">
        <f t="shared" si="10"/>
        <v>0</v>
      </c>
      <c r="T68" s="255">
        <f t="shared" si="10"/>
        <v>0</v>
      </c>
      <c r="U68" s="255">
        <f t="shared" si="7"/>
        <v>0</v>
      </c>
      <c r="V68" s="255">
        <f t="shared" si="7"/>
        <v>0</v>
      </c>
      <c r="W68" s="255">
        <f t="shared" si="7"/>
        <v>0</v>
      </c>
      <c r="X68" s="255">
        <f t="shared" si="7"/>
        <v>0</v>
      </c>
      <c r="Y68" s="255">
        <f t="shared" si="7"/>
        <v>0</v>
      </c>
      <c r="Z68" s="255">
        <f t="shared" si="7"/>
        <v>0</v>
      </c>
      <c r="AA68" s="255">
        <f t="shared" si="7"/>
        <v>0</v>
      </c>
      <c r="AB68" s="255">
        <f t="shared" si="10"/>
        <v>0</v>
      </c>
      <c r="AC68" s="255">
        <f t="shared" si="10"/>
        <v>0</v>
      </c>
      <c r="AD68" s="255">
        <f t="shared" si="10"/>
        <v>0</v>
      </c>
      <c r="AE68" s="255">
        <f t="shared" si="10"/>
        <v>0</v>
      </c>
      <c r="AF68" s="255">
        <f t="shared" si="10"/>
        <v>0</v>
      </c>
      <c r="AG68" s="255">
        <f t="shared" si="10"/>
        <v>0</v>
      </c>
      <c r="AH68" s="255">
        <f t="shared" si="10"/>
        <v>0</v>
      </c>
      <c r="AI68" s="255">
        <f t="shared" si="10"/>
        <v>0</v>
      </c>
      <c r="AJ68" s="255">
        <f t="shared" si="10"/>
        <v>0</v>
      </c>
      <c r="AK68" s="255">
        <f t="shared" si="10"/>
        <v>0</v>
      </c>
      <c r="AL68" s="255">
        <f t="shared" si="10"/>
        <v>0</v>
      </c>
      <c r="AM68" s="255">
        <f t="shared" si="10"/>
        <v>0</v>
      </c>
      <c r="AN68" s="255">
        <f t="shared" si="10"/>
        <v>0</v>
      </c>
      <c r="AO68" s="255">
        <f t="shared" si="10"/>
        <v>0</v>
      </c>
      <c r="AP68" s="255">
        <f t="shared" si="10"/>
        <v>0</v>
      </c>
      <c r="AQ68" s="255">
        <f t="shared" si="10"/>
        <v>0</v>
      </c>
      <c r="AR68" s="255">
        <f t="shared" si="10"/>
        <v>0</v>
      </c>
      <c r="AS68" s="255">
        <f t="shared" si="10"/>
        <v>0</v>
      </c>
      <c r="AT68" s="255">
        <f t="shared" si="10"/>
        <v>0</v>
      </c>
      <c r="AU68" s="255">
        <f t="shared" si="10"/>
        <v>0</v>
      </c>
      <c r="AV68" s="255">
        <f t="shared" si="10"/>
        <v>0</v>
      </c>
      <c r="AW68" s="255">
        <f t="shared" si="10"/>
        <v>0</v>
      </c>
      <c r="AX68" s="256">
        <f t="shared" si="10"/>
        <v>0</v>
      </c>
    </row>
    <row r="69" spans="6:50" x14ac:dyDescent="0.25">
      <c r="F69" s="56">
        <v>0.25</v>
      </c>
      <c r="G69" s="262">
        <v>0.27083333333333331</v>
      </c>
      <c r="H69" s="254">
        <f t="shared" si="8"/>
        <v>0</v>
      </c>
      <c r="I69" s="255">
        <f t="shared" si="10"/>
        <v>0</v>
      </c>
      <c r="J69" s="255">
        <f t="shared" si="10"/>
        <v>0</v>
      </c>
      <c r="K69" s="255">
        <f t="shared" si="10"/>
        <v>0</v>
      </c>
      <c r="L69" s="255">
        <f t="shared" si="10"/>
        <v>0</v>
      </c>
      <c r="M69" s="255">
        <f t="shared" si="10"/>
        <v>0</v>
      </c>
      <c r="N69" s="255">
        <f t="shared" si="10"/>
        <v>0</v>
      </c>
      <c r="O69" s="255">
        <f t="shared" si="10"/>
        <v>0</v>
      </c>
      <c r="P69" s="255">
        <f t="shared" si="10"/>
        <v>0</v>
      </c>
      <c r="Q69" s="255">
        <f t="shared" si="10"/>
        <v>0</v>
      </c>
      <c r="R69" s="255">
        <f t="shared" si="10"/>
        <v>0</v>
      </c>
      <c r="S69" s="255">
        <f t="shared" si="10"/>
        <v>0</v>
      </c>
      <c r="T69" s="255">
        <f t="shared" si="10"/>
        <v>0</v>
      </c>
      <c r="U69" s="255">
        <f t="shared" si="7"/>
        <v>0</v>
      </c>
      <c r="V69" s="255">
        <f t="shared" si="7"/>
        <v>0</v>
      </c>
      <c r="W69" s="255">
        <f t="shared" si="7"/>
        <v>0</v>
      </c>
      <c r="X69" s="255">
        <f t="shared" si="7"/>
        <v>0</v>
      </c>
      <c r="Y69" s="255">
        <f t="shared" si="7"/>
        <v>0</v>
      </c>
      <c r="Z69" s="255">
        <f t="shared" si="7"/>
        <v>0</v>
      </c>
      <c r="AA69" s="255">
        <f t="shared" si="7"/>
        <v>0</v>
      </c>
      <c r="AB69" s="255">
        <f t="shared" si="10"/>
        <v>0</v>
      </c>
      <c r="AC69" s="255">
        <f t="shared" si="10"/>
        <v>0</v>
      </c>
      <c r="AD69" s="255">
        <f t="shared" si="10"/>
        <v>0</v>
      </c>
      <c r="AE69" s="255">
        <f t="shared" si="10"/>
        <v>0</v>
      </c>
      <c r="AF69" s="255">
        <f t="shared" si="10"/>
        <v>0</v>
      </c>
      <c r="AG69" s="255">
        <f t="shared" si="10"/>
        <v>0</v>
      </c>
      <c r="AH69" s="255">
        <f t="shared" si="10"/>
        <v>0</v>
      </c>
      <c r="AI69" s="255">
        <f t="shared" si="10"/>
        <v>0</v>
      </c>
      <c r="AJ69" s="255">
        <f t="shared" si="10"/>
        <v>0</v>
      </c>
      <c r="AK69" s="255">
        <f t="shared" si="10"/>
        <v>0</v>
      </c>
      <c r="AL69" s="255">
        <f t="shared" si="10"/>
        <v>0</v>
      </c>
      <c r="AM69" s="255">
        <f t="shared" si="10"/>
        <v>0</v>
      </c>
      <c r="AN69" s="255">
        <f t="shared" si="10"/>
        <v>0</v>
      </c>
      <c r="AO69" s="255">
        <f t="shared" si="10"/>
        <v>0</v>
      </c>
      <c r="AP69" s="255">
        <f t="shared" si="10"/>
        <v>0</v>
      </c>
      <c r="AQ69" s="255">
        <f t="shared" si="10"/>
        <v>0</v>
      </c>
      <c r="AR69" s="255">
        <f t="shared" si="10"/>
        <v>0</v>
      </c>
      <c r="AS69" s="255">
        <f t="shared" si="10"/>
        <v>0</v>
      </c>
      <c r="AT69" s="255">
        <f t="shared" si="10"/>
        <v>0</v>
      </c>
      <c r="AU69" s="255">
        <f t="shared" si="10"/>
        <v>0</v>
      </c>
      <c r="AV69" s="255">
        <f t="shared" si="10"/>
        <v>0</v>
      </c>
      <c r="AW69" s="255">
        <f t="shared" si="10"/>
        <v>0</v>
      </c>
      <c r="AX69" s="256">
        <f t="shared" si="10"/>
        <v>0</v>
      </c>
    </row>
    <row r="70" spans="6:50" x14ac:dyDescent="0.25">
      <c r="F70" s="56">
        <v>0.27083333333333331</v>
      </c>
      <c r="G70" s="262">
        <v>0.29166666666666669</v>
      </c>
      <c r="H70" s="254">
        <f t="shared" si="8"/>
        <v>0</v>
      </c>
      <c r="I70" s="255">
        <f t="shared" si="10"/>
        <v>0</v>
      </c>
      <c r="J70" s="255">
        <f t="shared" si="10"/>
        <v>0</v>
      </c>
      <c r="K70" s="255">
        <f t="shared" si="10"/>
        <v>0</v>
      </c>
      <c r="L70" s="255">
        <f t="shared" si="10"/>
        <v>0</v>
      </c>
      <c r="M70" s="255">
        <f t="shared" si="10"/>
        <v>0</v>
      </c>
      <c r="N70" s="255">
        <f t="shared" si="10"/>
        <v>0</v>
      </c>
      <c r="O70" s="255">
        <f t="shared" si="10"/>
        <v>0</v>
      </c>
      <c r="P70" s="255">
        <f t="shared" si="10"/>
        <v>0</v>
      </c>
      <c r="Q70" s="255">
        <f t="shared" si="10"/>
        <v>0</v>
      </c>
      <c r="R70" s="255">
        <f t="shared" si="10"/>
        <v>0</v>
      </c>
      <c r="S70" s="255">
        <f t="shared" si="10"/>
        <v>0</v>
      </c>
      <c r="T70" s="255">
        <f t="shared" si="10"/>
        <v>0</v>
      </c>
      <c r="U70" s="255">
        <f t="shared" si="7"/>
        <v>0</v>
      </c>
      <c r="V70" s="255">
        <f t="shared" si="7"/>
        <v>0</v>
      </c>
      <c r="W70" s="255">
        <f t="shared" si="7"/>
        <v>0</v>
      </c>
      <c r="X70" s="255">
        <f t="shared" si="7"/>
        <v>0</v>
      </c>
      <c r="Y70" s="255">
        <f t="shared" si="7"/>
        <v>0</v>
      </c>
      <c r="Z70" s="255">
        <f t="shared" si="7"/>
        <v>0</v>
      </c>
      <c r="AA70" s="255">
        <f t="shared" si="7"/>
        <v>0</v>
      </c>
      <c r="AB70" s="255">
        <f t="shared" si="10"/>
        <v>0</v>
      </c>
      <c r="AC70" s="255">
        <f t="shared" si="10"/>
        <v>0</v>
      </c>
      <c r="AD70" s="255">
        <f t="shared" si="10"/>
        <v>0</v>
      </c>
      <c r="AE70" s="255">
        <f t="shared" si="10"/>
        <v>0</v>
      </c>
      <c r="AF70" s="255">
        <f t="shared" si="10"/>
        <v>0</v>
      </c>
      <c r="AG70" s="255">
        <f t="shared" si="10"/>
        <v>0</v>
      </c>
      <c r="AH70" s="255">
        <f t="shared" si="10"/>
        <v>0</v>
      </c>
      <c r="AI70" s="255">
        <f t="shared" si="10"/>
        <v>0</v>
      </c>
      <c r="AJ70" s="255">
        <f t="shared" si="10"/>
        <v>0</v>
      </c>
      <c r="AK70" s="255">
        <f t="shared" si="10"/>
        <v>0</v>
      </c>
      <c r="AL70" s="255">
        <f t="shared" si="10"/>
        <v>0</v>
      </c>
      <c r="AM70" s="255">
        <f t="shared" si="10"/>
        <v>0</v>
      </c>
      <c r="AN70" s="255">
        <f t="shared" si="10"/>
        <v>0</v>
      </c>
      <c r="AO70" s="255">
        <f t="shared" si="10"/>
        <v>0</v>
      </c>
      <c r="AP70" s="255">
        <f t="shared" si="10"/>
        <v>0</v>
      </c>
      <c r="AQ70" s="255">
        <f t="shared" si="10"/>
        <v>0</v>
      </c>
      <c r="AR70" s="255">
        <f t="shared" si="10"/>
        <v>0</v>
      </c>
      <c r="AS70" s="255">
        <f t="shared" si="10"/>
        <v>0</v>
      </c>
      <c r="AT70" s="255">
        <f t="shared" si="10"/>
        <v>0</v>
      </c>
      <c r="AU70" s="255">
        <f t="shared" si="10"/>
        <v>0</v>
      </c>
      <c r="AV70" s="255">
        <f t="shared" si="10"/>
        <v>0</v>
      </c>
      <c r="AW70" s="255">
        <f t="shared" si="10"/>
        <v>0</v>
      </c>
      <c r="AX70" s="256">
        <f t="shared" si="10"/>
        <v>0</v>
      </c>
    </row>
    <row r="71" spans="6:50" x14ac:dyDescent="0.25">
      <c r="F71" s="56">
        <v>0.29166666666666669</v>
      </c>
      <c r="G71" s="262">
        <v>0.3125</v>
      </c>
      <c r="H71" s="254">
        <f t="shared" si="8"/>
        <v>0</v>
      </c>
      <c r="I71" s="255">
        <f t="shared" si="10"/>
        <v>0</v>
      </c>
      <c r="J71" s="255">
        <f t="shared" si="10"/>
        <v>0</v>
      </c>
      <c r="K71" s="255">
        <f t="shared" si="10"/>
        <v>0</v>
      </c>
      <c r="L71" s="255">
        <f t="shared" si="10"/>
        <v>0</v>
      </c>
      <c r="M71" s="255">
        <f t="shared" si="10"/>
        <v>0</v>
      </c>
      <c r="N71" s="255">
        <f t="shared" si="10"/>
        <v>0</v>
      </c>
      <c r="O71" s="255">
        <f t="shared" si="10"/>
        <v>0</v>
      </c>
      <c r="P71" s="255">
        <f t="shared" si="10"/>
        <v>0</v>
      </c>
      <c r="Q71" s="255">
        <f t="shared" si="10"/>
        <v>0</v>
      </c>
      <c r="R71" s="255">
        <f t="shared" si="10"/>
        <v>0</v>
      </c>
      <c r="S71" s="255">
        <f t="shared" si="10"/>
        <v>0</v>
      </c>
      <c r="T71" s="255">
        <f t="shared" si="10"/>
        <v>0</v>
      </c>
      <c r="U71" s="255">
        <f t="shared" si="7"/>
        <v>3</v>
      </c>
      <c r="V71" s="255">
        <f t="shared" si="7"/>
        <v>0</v>
      </c>
      <c r="W71" s="255">
        <f t="shared" si="7"/>
        <v>0</v>
      </c>
      <c r="X71" s="255">
        <f t="shared" si="7"/>
        <v>0</v>
      </c>
      <c r="Y71" s="255">
        <f t="shared" si="7"/>
        <v>0</v>
      </c>
      <c r="Z71" s="255">
        <f t="shared" si="7"/>
        <v>0</v>
      </c>
      <c r="AA71" s="255">
        <f t="shared" si="7"/>
        <v>0</v>
      </c>
      <c r="AB71" s="255">
        <f t="shared" si="10"/>
        <v>0</v>
      </c>
      <c r="AC71" s="255">
        <f t="shared" si="10"/>
        <v>0</v>
      </c>
      <c r="AD71" s="255">
        <f t="shared" si="10"/>
        <v>0</v>
      </c>
      <c r="AE71" s="255">
        <f t="shared" si="10"/>
        <v>0</v>
      </c>
      <c r="AF71" s="255">
        <f t="shared" si="10"/>
        <v>0</v>
      </c>
      <c r="AG71" s="255">
        <f t="shared" si="10"/>
        <v>0</v>
      </c>
      <c r="AH71" s="255">
        <f t="shared" si="10"/>
        <v>0</v>
      </c>
      <c r="AI71" s="255">
        <f t="shared" si="10"/>
        <v>0</v>
      </c>
      <c r="AJ71" s="255">
        <f t="shared" si="10"/>
        <v>0</v>
      </c>
      <c r="AK71" s="255">
        <f t="shared" ref="I71:AX78" si="11">AK$1*AK16</f>
        <v>0</v>
      </c>
      <c r="AL71" s="255">
        <f t="shared" si="11"/>
        <v>0</v>
      </c>
      <c r="AM71" s="255">
        <f t="shared" si="11"/>
        <v>0</v>
      </c>
      <c r="AN71" s="255">
        <f t="shared" si="11"/>
        <v>0</v>
      </c>
      <c r="AO71" s="255">
        <f t="shared" si="11"/>
        <v>0</v>
      </c>
      <c r="AP71" s="255">
        <f t="shared" si="11"/>
        <v>0</v>
      </c>
      <c r="AQ71" s="255">
        <f t="shared" si="11"/>
        <v>0</v>
      </c>
      <c r="AR71" s="255">
        <f t="shared" si="11"/>
        <v>0</v>
      </c>
      <c r="AS71" s="255">
        <f t="shared" si="11"/>
        <v>0</v>
      </c>
      <c r="AT71" s="255">
        <f t="shared" si="11"/>
        <v>0</v>
      </c>
      <c r="AU71" s="255">
        <f t="shared" si="11"/>
        <v>0</v>
      </c>
      <c r="AV71" s="255">
        <f t="shared" si="11"/>
        <v>0</v>
      </c>
      <c r="AW71" s="255">
        <f t="shared" si="11"/>
        <v>0</v>
      </c>
      <c r="AX71" s="256">
        <f t="shared" si="11"/>
        <v>0</v>
      </c>
    </row>
    <row r="72" spans="6:50" x14ac:dyDescent="0.25">
      <c r="F72" s="56">
        <v>0.3125</v>
      </c>
      <c r="G72" s="262">
        <v>0.33333333333333331</v>
      </c>
      <c r="H72" s="254">
        <f t="shared" si="8"/>
        <v>0</v>
      </c>
      <c r="I72" s="255">
        <f t="shared" si="11"/>
        <v>0</v>
      </c>
      <c r="J72" s="255">
        <f t="shared" si="11"/>
        <v>0</v>
      </c>
      <c r="K72" s="255">
        <f t="shared" si="11"/>
        <v>0</v>
      </c>
      <c r="L72" s="255">
        <f t="shared" si="11"/>
        <v>0</v>
      </c>
      <c r="M72" s="255">
        <f t="shared" si="11"/>
        <v>0</v>
      </c>
      <c r="N72" s="255">
        <f t="shared" si="11"/>
        <v>0</v>
      </c>
      <c r="O72" s="255">
        <f t="shared" si="11"/>
        <v>0</v>
      </c>
      <c r="P72" s="255">
        <f t="shared" si="11"/>
        <v>0</v>
      </c>
      <c r="Q72" s="255">
        <f t="shared" si="11"/>
        <v>0</v>
      </c>
      <c r="R72" s="255">
        <f t="shared" si="11"/>
        <v>0</v>
      </c>
      <c r="S72" s="255">
        <f t="shared" si="11"/>
        <v>0</v>
      </c>
      <c r="T72" s="255">
        <f t="shared" si="11"/>
        <v>0</v>
      </c>
      <c r="U72" s="255">
        <f t="shared" si="7"/>
        <v>3</v>
      </c>
      <c r="V72" s="255">
        <f t="shared" si="7"/>
        <v>0</v>
      </c>
      <c r="W72" s="255">
        <f t="shared" si="7"/>
        <v>0</v>
      </c>
      <c r="X72" s="255">
        <f t="shared" si="7"/>
        <v>0</v>
      </c>
      <c r="Y72" s="255">
        <f t="shared" si="7"/>
        <v>0</v>
      </c>
      <c r="Z72" s="255">
        <f t="shared" si="7"/>
        <v>0</v>
      </c>
      <c r="AA72" s="255">
        <f t="shared" si="7"/>
        <v>0</v>
      </c>
      <c r="AB72" s="255">
        <f t="shared" si="11"/>
        <v>0</v>
      </c>
      <c r="AC72" s="255">
        <f t="shared" si="11"/>
        <v>0</v>
      </c>
      <c r="AD72" s="255">
        <f t="shared" si="11"/>
        <v>0</v>
      </c>
      <c r="AE72" s="255">
        <f t="shared" si="11"/>
        <v>0</v>
      </c>
      <c r="AF72" s="255">
        <f t="shared" si="11"/>
        <v>0</v>
      </c>
      <c r="AG72" s="255">
        <f t="shared" si="11"/>
        <v>0</v>
      </c>
      <c r="AH72" s="255">
        <f t="shared" si="11"/>
        <v>0</v>
      </c>
      <c r="AI72" s="255">
        <f t="shared" si="11"/>
        <v>0</v>
      </c>
      <c r="AJ72" s="255">
        <f t="shared" si="11"/>
        <v>0</v>
      </c>
      <c r="AK72" s="255">
        <f t="shared" si="11"/>
        <v>0</v>
      </c>
      <c r="AL72" s="255">
        <f t="shared" si="11"/>
        <v>0</v>
      </c>
      <c r="AM72" s="255">
        <f t="shared" si="11"/>
        <v>0</v>
      </c>
      <c r="AN72" s="255">
        <f t="shared" si="11"/>
        <v>0</v>
      </c>
      <c r="AO72" s="255">
        <f t="shared" si="11"/>
        <v>0</v>
      </c>
      <c r="AP72" s="255">
        <f t="shared" si="11"/>
        <v>0</v>
      </c>
      <c r="AQ72" s="255">
        <f t="shared" si="11"/>
        <v>0</v>
      </c>
      <c r="AR72" s="255">
        <f t="shared" si="11"/>
        <v>0</v>
      </c>
      <c r="AS72" s="255">
        <f t="shared" si="11"/>
        <v>0</v>
      </c>
      <c r="AT72" s="255">
        <f t="shared" si="11"/>
        <v>0</v>
      </c>
      <c r="AU72" s="255">
        <f t="shared" si="11"/>
        <v>0</v>
      </c>
      <c r="AV72" s="255">
        <f t="shared" si="11"/>
        <v>0</v>
      </c>
      <c r="AW72" s="255">
        <f t="shared" si="11"/>
        <v>0</v>
      </c>
      <c r="AX72" s="256">
        <f t="shared" si="11"/>
        <v>0</v>
      </c>
    </row>
    <row r="73" spans="6:50" x14ac:dyDescent="0.25">
      <c r="F73" s="56">
        <v>0.33333333333333331</v>
      </c>
      <c r="G73" s="262">
        <v>0.35416666666666669</v>
      </c>
      <c r="H73" s="254">
        <f t="shared" si="8"/>
        <v>0</v>
      </c>
      <c r="I73" s="255">
        <f t="shared" si="11"/>
        <v>0</v>
      </c>
      <c r="J73" s="255">
        <f t="shared" si="11"/>
        <v>0</v>
      </c>
      <c r="K73" s="255">
        <f t="shared" si="11"/>
        <v>0</v>
      </c>
      <c r="L73" s="255">
        <f t="shared" si="11"/>
        <v>0</v>
      </c>
      <c r="M73" s="255">
        <f t="shared" si="11"/>
        <v>0</v>
      </c>
      <c r="N73" s="255">
        <f t="shared" si="11"/>
        <v>0</v>
      </c>
      <c r="O73" s="255">
        <f t="shared" si="11"/>
        <v>0</v>
      </c>
      <c r="P73" s="255">
        <f t="shared" si="11"/>
        <v>0</v>
      </c>
      <c r="Q73" s="255">
        <f t="shared" si="11"/>
        <v>0</v>
      </c>
      <c r="R73" s="255">
        <f t="shared" si="11"/>
        <v>0</v>
      </c>
      <c r="S73" s="255">
        <f t="shared" si="11"/>
        <v>0</v>
      </c>
      <c r="T73" s="255">
        <f t="shared" si="11"/>
        <v>0</v>
      </c>
      <c r="U73" s="255">
        <f t="shared" ref="U73:AA88" si="12">U$1*U18</f>
        <v>3</v>
      </c>
      <c r="V73" s="255">
        <f t="shared" si="12"/>
        <v>0</v>
      </c>
      <c r="W73" s="255">
        <f t="shared" si="12"/>
        <v>0</v>
      </c>
      <c r="X73" s="255">
        <f t="shared" si="12"/>
        <v>0</v>
      </c>
      <c r="Y73" s="255">
        <f t="shared" si="12"/>
        <v>0</v>
      </c>
      <c r="Z73" s="255">
        <f t="shared" si="12"/>
        <v>0</v>
      </c>
      <c r="AA73" s="255">
        <f t="shared" si="12"/>
        <v>0</v>
      </c>
      <c r="AB73" s="255">
        <f t="shared" si="11"/>
        <v>0</v>
      </c>
      <c r="AC73" s="255">
        <f t="shared" si="11"/>
        <v>0</v>
      </c>
      <c r="AD73" s="255">
        <f t="shared" si="11"/>
        <v>0</v>
      </c>
      <c r="AE73" s="255">
        <f t="shared" si="11"/>
        <v>0</v>
      </c>
      <c r="AF73" s="255">
        <f t="shared" si="11"/>
        <v>0</v>
      </c>
      <c r="AG73" s="255">
        <f t="shared" si="11"/>
        <v>0</v>
      </c>
      <c r="AH73" s="255">
        <f t="shared" si="11"/>
        <v>0</v>
      </c>
      <c r="AI73" s="255">
        <f t="shared" si="11"/>
        <v>0</v>
      </c>
      <c r="AJ73" s="255">
        <f t="shared" si="11"/>
        <v>0</v>
      </c>
      <c r="AK73" s="255">
        <f t="shared" si="11"/>
        <v>0</v>
      </c>
      <c r="AL73" s="255">
        <f t="shared" si="11"/>
        <v>0</v>
      </c>
      <c r="AM73" s="255">
        <f t="shared" si="11"/>
        <v>0</v>
      </c>
      <c r="AN73" s="255">
        <f t="shared" si="11"/>
        <v>0</v>
      </c>
      <c r="AO73" s="255">
        <f t="shared" si="11"/>
        <v>0</v>
      </c>
      <c r="AP73" s="255">
        <f t="shared" si="11"/>
        <v>0</v>
      </c>
      <c r="AQ73" s="255">
        <f t="shared" si="11"/>
        <v>0</v>
      </c>
      <c r="AR73" s="255">
        <f t="shared" si="11"/>
        <v>0</v>
      </c>
      <c r="AS73" s="255">
        <f t="shared" si="11"/>
        <v>0</v>
      </c>
      <c r="AT73" s="255">
        <f t="shared" si="11"/>
        <v>0</v>
      </c>
      <c r="AU73" s="255">
        <f t="shared" si="11"/>
        <v>0</v>
      </c>
      <c r="AV73" s="255">
        <f t="shared" si="11"/>
        <v>0</v>
      </c>
      <c r="AW73" s="255">
        <f t="shared" si="11"/>
        <v>0</v>
      </c>
      <c r="AX73" s="256">
        <f t="shared" si="11"/>
        <v>0</v>
      </c>
    </row>
    <row r="74" spans="6:50" x14ac:dyDescent="0.25">
      <c r="F74" s="56">
        <v>0.35416666666666669</v>
      </c>
      <c r="G74" s="262">
        <v>0.375</v>
      </c>
      <c r="H74" s="254">
        <f t="shared" ref="H74:H89" si="13">H$1*H19</f>
        <v>0</v>
      </c>
      <c r="I74" s="255">
        <f t="shared" si="11"/>
        <v>0</v>
      </c>
      <c r="J74" s="255">
        <f t="shared" si="11"/>
        <v>0</v>
      </c>
      <c r="K74" s="255">
        <f t="shared" si="11"/>
        <v>0</v>
      </c>
      <c r="L74" s="255">
        <f t="shared" si="11"/>
        <v>0</v>
      </c>
      <c r="M74" s="255">
        <f t="shared" si="11"/>
        <v>0</v>
      </c>
      <c r="N74" s="255">
        <f t="shared" si="11"/>
        <v>0</v>
      </c>
      <c r="O74" s="255">
        <f t="shared" si="11"/>
        <v>0</v>
      </c>
      <c r="P74" s="255">
        <f t="shared" si="11"/>
        <v>0</v>
      </c>
      <c r="Q74" s="255">
        <f t="shared" si="11"/>
        <v>0</v>
      </c>
      <c r="R74" s="255">
        <f t="shared" si="11"/>
        <v>0</v>
      </c>
      <c r="S74" s="255">
        <f t="shared" si="11"/>
        <v>0</v>
      </c>
      <c r="T74" s="255">
        <f t="shared" si="11"/>
        <v>0</v>
      </c>
      <c r="U74" s="255">
        <f t="shared" si="12"/>
        <v>3</v>
      </c>
      <c r="V74" s="255">
        <f t="shared" si="12"/>
        <v>0</v>
      </c>
      <c r="W74" s="255">
        <f t="shared" si="12"/>
        <v>0</v>
      </c>
      <c r="X74" s="255">
        <f t="shared" si="12"/>
        <v>2</v>
      </c>
      <c r="Y74" s="255">
        <f t="shared" si="12"/>
        <v>0</v>
      </c>
      <c r="Z74" s="255">
        <f t="shared" si="12"/>
        <v>0</v>
      </c>
      <c r="AA74" s="255">
        <f t="shared" si="12"/>
        <v>0</v>
      </c>
      <c r="AB74" s="255">
        <f t="shared" si="11"/>
        <v>0</v>
      </c>
      <c r="AC74" s="255">
        <f t="shared" si="11"/>
        <v>0</v>
      </c>
      <c r="AD74" s="255">
        <f t="shared" si="11"/>
        <v>0</v>
      </c>
      <c r="AE74" s="255">
        <f t="shared" si="11"/>
        <v>0</v>
      </c>
      <c r="AF74" s="255">
        <f t="shared" si="11"/>
        <v>0</v>
      </c>
      <c r="AG74" s="255">
        <f t="shared" si="11"/>
        <v>0</v>
      </c>
      <c r="AH74" s="255">
        <f t="shared" si="11"/>
        <v>0</v>
      </c>
      <c r="AI74" s="255">
        <f t="shared" si="11"/>
        <v>0</v>
      </c>
      <c r="AJ74" s="255">
        <f t="shared" si="11"/>
        <v>0</v>
      </c>
      <c r="AK74" s="255">
        <f t="shared" si="11"/>
        <v>0</v>
      </c>
      <c r="AL74" s="255">
        <f t="shared" si="11"/>
        <v>0</v>
      </c>
      <c r="AM74" s="255">
        <f t="shared" si="11"/>
        <v>0</v>
      </c>
      <c r="AN74" s="255">
        <f t="shared" si="11"/>
        <v>0</v>
      </c>
      <c r="AO74" s="255">
        <f t="shared" si="11"/>
        <v>0</v>
      </c>
      <c r="AP74" s="255">
        <f t="shared" si="11"/>
        <v>0</v>
      </c>
      <c r="AQ74" s="255">
        <f t="shared" si="11"/>
        <v>0</v>
      </c>
      <c r="AR74" s="255">
        <f t="shared" si="11"/>
        <v>0</v>
      </c>
      <c r="AS74" s="255">
        <f t="shared" si="11"/>
        <v>0</v>
      </c>
      <c r="AT74" s="255">
        <f t="shared" si="11"/>
        <v>0</v>
      </c>
      <c r="AU74" s="255">
        <f t="shared" si="11"/>
        <v>0</v>
      </c>
      <c r="AV74" s="255">
        <f t="shared" si="11"/>
        <v>0</v>
      </c>
      <c r="AW74" s="255">
        <f t="shared" si="11"/>
        <v>0</v>
      </c>
      <c r="AX74" s="256">
        <f t="shared" si="11"/>
        <v>0</v>
      </c>
    </row>
    <row r="75" spans="6:50" x14ac:dyDescent="0.25">
      <c r="F75" s="56">
        <v>0.375</v>
      </c>
      <c r="G75" s="262">
        <v>0.39583333333333331</v>
      </c>
      <c r="H75" s="254">
        <f t="shared" si="13"/>
        <v>0</v>
      </c>
      <c r="I75" s="255">
        <f t="shared" si="11"/>
        <v>0</v>
      </c>
      <c r="J75" s="255">
        <f t="shared" si="11"/>
        <v>0</v>
      </c>
      <c r="K75" s="255">
        <f t="shared" si="11"/>
        <v>0</v>
      </c>
      <c r="L75" s="255">
        <f t="shared" si="11"/>
        <v>0</v>
      </c>
      <c r="M75" s="255">
        <f t="shared" si="11"/>
        <v>0</v>
      </c>
      <c r="N75" s="255">
        <f t="shared" si="11"/>
        <v>0</v>
      </c>
      <c r="O75" s="255">
        <f t="shared" si="11"/>
        <v>0</v>
      </c>
      <c r="P75" s="255">
        <f t="shared" si="11"/>
        <v>0</v>
      </c>
      <c r="Q75" s="255">
        <f t="shared" si="11"/>
        <v>0</v>
      </c>
      <c r="R75" s="255">
        <f t="shared" si="11"/>
        <v>0</v>
      </c>
      <c r="S75" s="255">
        <f t="shared" si="11"/>
        <v>0</v>
      </c>
      <c r="T75" s="255">
        <f t="shared" si="11"/>
        <v>0</v>
      </c>
      <c r="U75" s="255">
        <f t="shared" si="12"/>
        <v>3</v>
      </c>
      <c r="V75" s="255">
        <f t="shared" si="12"/>
        <v>0</v>
      </c>
      <c r="W75" s="255">
        <f t="shared" si="12"/>
        <v>0</v>
      </c>
      <c r="X75" s="255">
        <f t="shared" si="12"/>
        <v>2</v>
      </c>
      <c r="Y75" s="255">
        <f t="shared" si="12"/>
        <v>0</v>
      </c>
      <c r="Z75" s="255">
        <f t="shared" si="12"/>
        <v>0</v>
      </c>
      <c r="AA75" s="255">
        <f t="shared" si="12"/>
        <v>0</v>
      </c>
      <c r="AB75" s="255">
        <f t="shared" si="11"/>
        <v>0</v>
      </c>
      <c r="AC75" s="255">
        <f t="shared" si="11"/>
        <v>0</v>
      </c>
      <c r="AD75" s="255">
        <f t="shared" si="11"/>
        <v>0</v>
      </c>
      <c r="AE75" s="255">
        <f t="shared" si="11"/>
        <v>0</v>
      </c>
      <c r="AF75" s="255">
        <f t="shared" si="11"/>
        <v>0</v>
      </c>
      <c r="AG75" s="255">
        <f t="shared" si="11"/>
        <v>0</v>
      </c>
      <c r="AH75" s="255">
        <f t="shared" si="11"/>
        <v>0</v>
      </c>
      <c r="AI75" s="255">
        <f t="shared" si="11"/>
        <v>0</v>
      </c>
      <c r="AJ75" s="255">
        <f t="shared" si="11"/>
        <v>0</v>
      </c>
      <c r="AK75" s="255">
        <f t="shared" si="11"/>
        <v>0</v>
      </c>
      <c r="AL75" s="255">
        <f t="shared" si="11"/>
        <v>0</v>
      </c>
      <c r="AM75" s="255">
        <f t="shared" si="11"/>
        <v>0</v>
      </c>
      <c r="AN75" s="255">
        <f t="shared" si="11"/>
        <v>0</v>
      </c>
      <c r="AO75" s="255">
        <f t="shared" si="11"/>
        <v>0</v>
      </c>
      <c r="AP75" s="255">
        <f t="shared" si="11"/>
        <v>0</v>
      </c>
      <c r="AQ75" s="255">
        <f t="shared" si="11"/>
        <v>0</v>
      </c>
      <c r="AR75" s="255">
        <f t="shared" si="11"/>
        <v>0</v>
      </c>
      <c r="AS75" s="255">
        <f t="shared" si="11"/>
        <v>0</v>
      </c>
      <c r="AT75" s="255">
        <f t="shared" si="11"/>
        <v>0</v>
      </c>
      <c r="AU75" s="255">
        <f t="shared" si="11"/>
        <v>0</v>
      </c>
      <c r="AV75" s="255">
        <f t="shared" si="11"/>
        <v>0</v>
      </c>
      <c r="AW75" s="255">
        <f t="shared" si="11"/>
        <v>0</v>
      </c>
      <c r="AX75" s="256">
        <f t="shared" si="11"/>
        <v>0</v>
      </c>
    </row>
    <row r="76" spans="6:50" x14ac:dyDescent="0.25">
      <c r="F76" s="56">
        <v>0.39583333333333331</v>
      </c>
      <c r="G76" s="262">
        <v>0.41666666666666669</v>
      </c>
      <c r="H76" s="254">
        <f t="shared" si="13"/>
        <v>0</v>
      </c>
      <c r="I76" s="255">
        <f t="shared" si="11"/>
        <v>0</v>
      </c>
      <c r="J76" s="255">
        <f t="shared" si="11"/>
        <v>0</v>
      </c>
      <c r="K76" s="255">
        <f t="shared" si="11"/>
        <v>0</v>
      </c>
      <c r="L76" s="255">
        <f t="shared" si="11"/>
        <v>0</v>
      </c>
      <c r="M76" s="255">
        <f t="shared" si="11"/>
        <v>0</v>
      </c>
      <c r="N76" s="255">
        <f t="shared" si="11"/>
        <v>0</v>
      </c>
      <c r="O76" s="255">
        <f t="shared" si="11"/>
        <v>0</v>
      </c>
      <c r="P76" s="255">
        <f t="shared" si="11"/>
        <v>0</v>
      </c>
      <c r="Q76" s="255">
        <f t="shared" si="11"/>
        <v>0</v>
      </c>
      <c r="R76" s="255">
        <f t="shared" si="11"/>
        <v>0</v>
      </c>
      <c r="S76" s="255">
        <f t="shared" si="11"/>
        <v>0</v>
      </c>
      <c r="T76" s="255">
        <f t="shared" si="11"/>
        <v>0</v>
      </c>
      <c r="U76" s="255">
        <f t="shared" si="12"/>
        <v>3</v>
      </c>
      <c r="V76" s="255">
        <f t="shared" si="12"/>
        <v>0</v>
      </c>
      <c r="W76" s="255">
        <f t="shared" si="12"/>
        <v>0</v>
      </c>
      <c r="X76" s="255">
        <f t="shared" si="12"/>
        <v>2</v>
      </c>
      <c r="Y76" s="255">
        <f t="shared" si="12"/>
        <v>0</v>
      </c>
      <c r="Z76" s="255">
        <f t="shared" si="12"/>
        <v>1</v>
      </c>
      <c r="AA76" s="255">
        <f t="shared" si="12"/>
        <v>0</v>
      </c>
      <c r="AB76" s="255">
        <f t="shared" si="11"/>
        <v>0</v>
      </c>
      <c r="AC76" s="255">
        <f t="shared" si="11"/>
        <v>0</v>
      </c>
      <c r="AD76" s="255">
        <f t="shared" si="11"/>
        <v>0</v>
      </c>
      <c r="AE76" s="255">
        <f t="shared" si="11"/>
        <v>0</v>
      </c>
      <c r="AF76" s="255">
        <f t="shared" si="11"/>
        <v>0</v>
      </c>
      <c r="AG76" s="255">
        <f t="shared" si="11"/>
        <v>0</v>
      </c>
      <c r="AH76" s="255">
        <f t="shared" si="11"/>
        <v>0</v>
      </c>
      <c r="AI76" s="255">
        <f t="shared" si="11"/>
        <v>0</v>
      </c>
      <c r="AJ76" s="255">
        <f t="shared" si="11"/>
        <v>0</v>
      </c>
      <c r="AK76" s="255">
        <f t="shared" si="11"/>
        <v>0</v>
      </c>
      <c r="AL76" s="255">
        <f t="shared" si="11"/>
        <v>0</v>
      </c>
      <c r="AM76" s="255">
        <f t="shared" si="11"/>
        <v>0</v>
      </c>
      <c r="AN76" s="255">
        <f t="shared" si="11"/>
        <v>0</v>
      </c>
      <c r="AO76" s="255">
        <f t="shared" si="11"/>
        <v>0</v>
      </c>
      <c r="AP76" s="255">
        <f t="shared" si="11"/>
        <v>0</v>
      </c>
      <c r="AQ76" s="255">
        <f t="shared" si="11"/>
        <v>0</v>
      </c>
      <c r="AR76" s="255">
        <f t="shared" si="11"/>
        <v>0</v>
      </c>
      <c r="AS76" s="255">
        <f t="shared" si="11"/>
        <v>0</v>
      </c>
      <c r="AT76" s="255">
        <f t="shared" si="11"/>
        <v>0</v>
      </c>
      <c r="AU76" s="255">
        <f t="shared" si="11"/>
        <v>0</v>
      </c>
      <c r="AV76" s="255">
        <f t="shared" si="11"/>
        <v>0</v>
      </c>
      <c r="AW76" s="255">
        <f t="shared" si="11"/>
        <v>0</v>
      </c>
      <c r="AX76" s="256">
        <f t="shared" si="11"/>
        <v>0</v>
      </c>
    </row>
    <row r="77" spans="6:50" x14ac:dyDescent="0.25">
      <c r="F77" s="56">
        <v>0.41666666666666669</v>
      </c>
      <c r="G77" s="262">
        <v>0.4375</v>
      </c>
      <c r="H77" s="254">
        <f t="shared" si="13"/>
        <v>0</v>
      </c>
      <c r="I77" s="255">
        <f t="shared" si="11"/>
        <v>0</v>
      </c>
      <c r="J77" s="255">
        <f t="shared" si="11"/>
        <v>0</v>
      </c>
      <c r="K77" s="255">
        <f t="shared" si="11"/>
        <v>0</v>
      </c>
      <c r="L77" s="255">
        <f t="shared" si="11"/>
        <v>0</v>
      </c>
      <c r="M77" s="255">
        <f t="shared" si="11"/>
        <v>0</v>
      </c>
      <c r="N77" s="255">
        <f t="shared" si="11"/>
        <v>0</v>
      </c>
      <c r="O77" s="255">
        <f t="shared" si="11"/>
        <v>0</v>
      </c>
      <c r="P77" s="255">
        <f t="shared" si="11"/>
        <v>0</v>
      </c>
      <c r="Q77" s="255">
        <f t="shared" si="11"/>
        <v>0</v>
      </c>
      <c r="R77" s="255">
        <f t="shared" si="11"/>
        <v>0</v>
      </c>
      <c r="S77" s="255">
        <f t="shared" si="11"/>
        <v>0</v>
      </c>
      <c r="T77" s="255">
        <f t="shared" si="11"/>
        <v>0</v>
      </c>
      <c r="U77" s="255">
        <f t="shared" si="12"/>
        <v>3</v>
      </c>
      <c r="V77" s="255">
        <f t="shared" si="12"/>
        <v>0</v>
      </c>
      <c r="W77" s="255">
        <f t="shared" si="12"/>
        <v>0</v>
      </c>
      <c r="X77" s="255">
        <f t="shared" si="12"/>
        <v>2</v>
      </c>
      <c r="Y77" s="255">
        <f t="shared" si="12"/>
        <v>0</v>
      </c>
      <c r="Z77" s="255">
        <f t="shared" si="12"/>
        <v>1</v>
      </c>
      <c r="AA77" s="255">
        <f t="shared" si="12"/>
        <v>4</v>
      </c>
      <c r="AB77" s="255">
        <f t="shared" si="11"/>
        <v>0</v>
      </c>
      <c r="AC77" s="255">
        <f t="shared" si="11"/>
        <v>0</v>
      </c>
      <c r="AD77" s="255">
        <f t="shared" si="11"/>
        <v>0</v>
      </c>
      <c r="AE77" s="255">
        <f t="shared" si="11"/>
        <v>0</v>
      </c>
      <c r="AF77" s="255">
        <f t="shared" si="11"/>
        <v>0</v>
      </c>
      <c r="AG77" s="255">
        <f t="shared" si="11"/>
        <v>0</v>
      </c>
      <c r="AH77" s="255">
        <f t="shared" si="11"/>
        <v>0</v>
      </c>
      <c r="AI77" s="255">
        <f t="shared" si="11"/>
        <v>0</v>
      </c>
      <c r="AJ77" s="255">
        <f t="shared" si="11"/>
        <v>0</v>
      </c>
      <c r="AK77" s="255">
        <f t="shared" si="11"/>
        <v>0</v>
      </c>
      <c r="AL77" s="255">
        <f t="shared" si="11"/>
        <v>0</v>
      </c>
      <c r="AM77" s="255">
        <f t="shared" si="11"/>
        <v>0</v>
      </c>
      <c r="AN77" s="255">
        <f t="shared" si="11"/>
        <v>0</v>
      </c>
      <c r="AO77" s="255">
        <f t="shared" si="11"/>
        <v>0</v>
      </c>
      <c r="AP77" s="255">
        <f t="shared" si="11"/>
        <v>0</v>
      </c>
      <c r="AQ77" s="255">
        <f t="shared" si="11"/>
        <v>0</v>
      </c>
      <c r="AR77" s="255">
        <f t="shared" si="11"/>
        <v>0</v>
      </c>
      <c r="AS77" s="255">
        <f t="shared" si="11"/>
        <v>0</v>
      </c>
      <c r="AT77" s="255">
        <f t="shared" si="11"/>
        <v>0</v>
      </c>
      <c r="AU77" s="255">
        <f t="shared" si="11"/>
        <v>0</v>
      </c>
      <c r="AV77" s="255">
        <f t="shared" si="11"/>
        <v>0</v>
      </c>
      <c r="AW77" s="255">
        <f t="shared" si="11"/>
        <v>0</v>
      </c>
      <c r="AX77" s="256">
        <f t="shared" si="11"/>
        <v>0</v>
      </c>
    </row>
    <row r="78" spans="6:50" x14ac:dyDescent="0.25">
      <c r="F78" s="56">
        <v>0.4375</v>
      </c>
      <c r="G78" s="262">
        <v>0.45833333333333331</v>
      </c>
      <c r="H78" s="254">
        <f t="shared" si="13"/>
        <v>0</v>
      </c>
      <c r="I78" s="255">
        <f t="shared" si="11"/>
        <v>0</v>
      </c>
      <c r="J78" s="255">
        <f t="shared" si="11"/>
        <v>0</v>
      </c>
      <c r="K78" s="255">
        <f t="shared" si="11"/>
        <v>0</v>
      </c>
      <c r="L78" s="255">
        <f t="shared" si="11"/>
        <v>0</v>
      </c>
      <c r="M78" s="255">
        <f t="shared" si="11"/>
        <v>0</v>
      </c>
      <c r="N78" s="255">
        <f t="shared" si="11"/>
        <v>0</v>
      </c>
      <c r="O78" s="255">
        <f t="shared" si="11"/>
        <v>0</v>
      </c>
      <c r="P78" s="255">
        <f t="shared" si="11"/>
        <v>0</v>
      </c>
      <c r="Q78" s="255">
        <f t="shared" si="11"/>
        <v>0</v>
      </c>
      <c r="R78" s="255">
        <f t="shared" si="11"/>
        <v>0</v>
      </c>
      <c r="S78" s="255">
        <f t="shared" si="11"/>
        <v>0</v>
      </c>
      <c r="T78" s="255">
        <f t="shared" si="11"/>
        <v>0</v>
      </c>
      <c r="U78" s="255">
        <f t="shared" si="12"/>
        <v>3</v>
      </c>
      <c r="V78" s="255">
        <f t="shared" si="12"/>
        <v>0</v>
      </c>
      <c r="W78" s="255">
        <f t="shared" si="12"/>
        <v>0</v>
      </c>
      <c r="X78" s="255">
        <f t="shared" si="12"/>
        <v>2</v>
      </c>
      <c r="Y78" s="255">
        <f t="shared" si="12"/>
        <v>0</v>
      </c>
      <c r="Z78" s="255">
        <f t="shared" si="12"/>
        <v>1</v>
      </c>
      <c r="AA78" s="255">
        <f t="shared" si="12"/>
        <v>4</v>
      </c>
      <c r="AB78" s="255">
        <f t="shared" si="11"/>
        <v>0</v>
      </c>
      <c r="AC78" s="255">
        <f t="shared" si="11"/>
        <v>0</v>
      </c>
      <c r="AD78" s="255">
        <f t="shared" si="11"/>
        <v>0</v>
      </c>
      <c r="AE78" s="255">
        <f t="shared" si="11"/>
        <v>0</v>
      </c>
      <c r="AF78" s="255">
        <f t="shared" si="11"/>
        <v>0</v>
      </c>
      <c r="AG78" s="255">
        <f t="shared" si="11"/>
        <v>0</v>
      </c>
      <c r="AH78" s="255">
        <f t="shared" si="11"/>
        <v>0</v>
      </c>
      <c r="AI78" s="255">
        <f t="shared" si="11"/>
        <v>0</v>
      </c>
      <c r="AJ78" s="255">
        <f t="shared" si="11"/>
        <v>0</v>
      </c>
      <c r="AK78" s="255">
        <f t="shared" si="11"/>
        <v>0</v>
      </c>
      <c r="AL78" s="255">
        <f t="shared" si="11"/>
        <v>0</v>
      </c>
      <c r="AM78" s="255">
        <f t="shared" si="11"/>
        <v>0</v>
      </c>
      <c r="AN78" s="255">
        <f t="shared" ref="I78:AX85" si="14">AN$1*AN23</f>
        <v>0</v>
      </c>
      <c r="AO78" s="255">
        <f t="shared" si="14"/>
        <v>0</v>
      </c>
      <c r="AP78" s="255">
        <f t="shared" si="14"/>
        <v>0</v>
      </c>
      <c r="AQ78" s="255">
        <f t="shared" si="14"/>
        <v>0</v>
      </c>
      <c r="AR78" s="255">
        <f t="shared" si="14"/>
        <v>0</v>
      </c>
      <c r="AS78" s="255">
        <f t="shared" si="14"/>
        <v>0</v>
      </c>
      <c r="AT78" s="255">
        <f t="shared" si="14"/>
        <v>0</v>
      </c>
      <c r="AU78" s="255">
        <f t="shared" si="14"/>
        <v>0</v>
      </c>
      <c r="AV78" s="255">
        <f t="shared" si="14"/>
        <v>0</v>
      </c>
      <c r="AW78" s="255">
        <f t="shared" si="14"/>
        <v>0</v>
      </c>
      <c r="AX78" s="256">
        <f t="shared" si="14"/>
        <v>0</v>
      </c>
    </row>
    <row r="79" spans="6:50" x14ac:dyDescent="0.25">
      <c r="F79" s="56">
        <v>0.45833333333333331</v>
      </c>
      <c r="G79" s="262">
        <v>0.47916666666666669</v>
      </c>
      <c r="H79" s="254">
        <f t="shared" si="13"/>
        <v>0</v>
      </c>
      <c r="I79" s="255">
        <f t="shared" si="14"/>
        <v>0</v>
      </c>
      <c r="J79" s="255">
        <f t="shared" si="14"/>
        <v>0</v>
      </c>
      <c r="K79" s="255">
        <f t="shared" si="14"/>
        <v>0</v>
      </c>
      <c r="L79" s="255">
        <f t="shared" si="14"/>
        <v>0</v>
      </c>
      <c r="M79" s="255">
        <f t="shared" si="14"/>
        <v>0</v>
      </c>
      <c r="N79" s="255">
        <f t="shared" si="14"/>
        <v>0</v>
      </c>
      <c r="O79" s="255">
        <f t="shared" si="14"/>
        <v>0</v>
      </c>
      <c r="P79" s="255">
        <f t="shared" si="14"/>
        <v>0</v>
      </c>
      <c r="Q79" s="255">
        <f t="shared" si="14"/>
        <v>0</v>
      </c>
      <c r="R79" s="255">
        <f t="shared" si="14"/>
        <v>0</v>
      </c>
      <c r="S79" s="255">
        <f t="shared" si="14"/>
        <v>0</v>
      </c>
      <c r="T79" s="255">
        <f t="shared" si="14"/>
        <v>0</v>
      </c>
      <c r="U79" s="255">
        <f t="shared" si="12"/>
        <v>3</v>
      </c>
      <c r="V79" s="255">
        <f t="shared" si="12"/>
        <v>0</v>
      </c>
      <c r="W79" s="255">
        <f t="shared" si="12"/>
        <v>0</v>
      </c>
      <c r="X79" s="255">
        <f t="shared" si="12"/>
        <v>2</v>
      </c>
      <c r="Y79" s="255">
        <f t="shared" si="12"/>
        <v>0</v>
      </c>
      <c r="Z79" s="255">
        <f t="shared" si="12"/>
        <v>1</v>
      </c>
      <c r="AA79" s="255">
        <f t="shared" si="12"/>
        <v>4</v>
      </c>
      <c r="AB79" s="255">
        <f t="shared" si="14"/>
        <v>0</v>
      </c>
      <c r="AC79" s="255">
        <f t="shared" si="14"/>
        <v>0</v>
      </c>
      <c r="AD79" s="255">
        <f t="shared" si="14"/>
        <v>0</v>
      </c>
      <c r="AE79" s="255">
        <f t="shared" si="14"/>
        <v>0</v>
      </c>
      <c r="AF79" s="255">
        <f t="shared" si="14"/>
        <v>0</v>
      </c>
      <c r="AG79" s="255">
        <f t="shared" si="14"/>
        <v>0</v>
      </c>
      <c r="AH79" s="255">
        <f t="shared" si="14"/>
        <v>0</v>
      </c>
      <c r="AI79" s="255">
        <f t="shared" si="14"/>
        <v>0</v>
      </c>
      <c r="AJ79" s="255">
        <f t="shared" si="14"/>
        <v>0</v>
      </c>
      <c r="AK79" s="255">
        <f t="shared" si="14"/>
        <v>0</v>
      </c>
      <c r="AL79" s="255">
        <f t="shared" si="14"/>
        <v>0</v>
      </c>
      <c r="AM79" s="255">
        <f t="shared" si="14"/>
        <v>0</v>
      </c>
      <c r="AN79" s="255">
        <f t="shared" si="14"/>
        <v>0</v>
      </c>
      <c r="AO79" s="255">
        <f t="shared" si="14"/>
        <v>0</v>
      </c>
      <c r="AP79" s="255">
        <f t="shared" si="14"/>
        <v>0</v>
      </c>
      <c r="AQ79" s="255">
        <f t="shared" si="14"/>
        <v>0</v>
      </c>
      <c r="AR79" s="255">
        <f t="shared" si="14"/>
        <v>0</v>
      </c>
      <c r="AS79" s="255">
        <f t="shared" si="14"/>
        <v>0</v>
      </c>
      <c r="AT79" s="255">
        <f t="shared" si="14"/>
        <v>0</v>
      </c>
      <c r="AU79" s="255">
        <f t="shared" si="14"/>
        <v>0</v>
      </c>
      <c r="AV79" s="255">
        <f t="shared" si="14"/>
        <v>0</v>
      </c>
      <c r="AW79" s="255">
        <f t="shared" si="14"/>
        <v>0</v>
      </c>
      <c r="AX79" s="256">
        <f t="shared" si="14"/>
        <v>0</v>
      </c>
    </row>
    <row r="80" spans="6:50" x14ac:dyDescent="0.25">
      <c r="F80" s="56">
        <v>0.47916666666666669</v>
      </c>
      <c r="G80" s="262">
        <v>0.5</v>
      </c>
      <c r="H80" s="254">
        <f t="shared" si="13"/>
        <v>0</v>
      </c>
      <c r="I80" s="255">
        <f t="shared" si="14"/>
        <v>0</v>
      </c>
      <c r="J80" s="255">
        <f t="shared" si="14"/>
        <v>0</v>
      </c>
      <c r="K80" s="255">
        <f t="shared" si="14"/>
        <v>0</v>
      </c>
      <c r="L80" s="255">
        <f t="shared" si="14"/>
        <v>0</v>
      </c>
      <c r="M80" s="255">
        <f t="shared" si="14"/>
        <v>0</v>
      </c>
      <c r="N80" s="255">
        <f t="shared" si="14"/>
        <v>0</v>
      </c>
      <c r="O80" s="255">
        <f t="shared" si="14"/>
        <v>0</v>
      </c>
      <c r="P80" s="255">
        <f t="shared" si="14"/>
        <v>0</v>
      </c>
      <c r="Q80" s="255">
        <f t="shared" si="14"/>
        <v>0</v>
      </c>
      <c r="R80" s="255">
        <f t="shared" si="14"/>
        <v>0</v>
      </c>
      <c r="S80" s="255">
        <f t="shared" si="14"/>
        <v>0</v>
      </c>
      <c r="T80" s="255">
        <f t="shared" si="14"/>
        <v>0</v>
      </c>
      <c r="U80" s="255">
        <f t="shared" si="12"/>
        <v>3</v>
      </c>
      <c r="V80" s="255">
        <f t="shared" si="12"/>
        <v>0</v>
      </c>
      <c r="W80" s="255">
        <f t="shared" si="12"/>
        <v>0</v>
      </c>
      <c r="X80" s="255">
        <f t="shared" si="12"/>
        <v>2</v>
      </c>
      <c r="Y80" s="255">
        <f t="shared" si="12"/>
        <v>0</v>
      </c>
      <c r="Z80" s="255">
        <f t="shared" si="12"/>
        <v>1</v>
      </c>
      <c r="AA80" s="255">
        <f t="shared" si="12"/>
        <v>4</v>
      </c>
      <c r="AB80" s="255">
        <f t="shared" si="14"/>
        <v>0</v>
      </c>
      <c r="AC80" s="255">
        <f t="shared" si="14"/>
        <v>0</v>
      </c>
      <c r="AD80" s="255">
        <f t="shared" si="14"/>
        <v>0</v>
      </c>
      <c r="AE80" s="255">
        <f t="shared" si="14"/>
        <v>0</v>
      </c>
      <c r="AF80" s="255">
        <f t="shared" si="14"/>
        <v>0</v>
      </c>
      <c r="AG80" s="255">
        <f t="shared" si="14"/>
        <v>0</v>
      </c>
      <c r="AH80" s="255">
        <f t="shared" si="14"/>
        <v>0</v>
      </c>
      <c r="AI80" s="255">
        <f t="shared" si="14"/>
        <v>0</v>
      </c>
      <c r="AJ80" s="255">
        <f t="shared" si="14"/>
        <v>0</v>
      </c>
      <c r="AK80" s="255">
        <f t="shared" si="14"/>
        <v>0</v>
      </c>
      <c r="AL80" s="255">
        <f t="shared" si="14"/>
        <v>0</v>
      </c>
      <c r="AM80" s="255">
        <f t="shared" si="14"/>
        <v>0</v>
      </c>
      <c r="AN80" s="255">
        <f t="shared" si="14"/>
        <v>0</v>
      </c>
      <c r="AO80" s="255">
        <f t="shared" si="14"/>
        <v>0</v>
      </c>
      <c r="AP80" s="255">
        <f t="shared" si="14"/>
        <v>0</v>
      </c>
      <c r="AQ80" s="255">
        <f t="shared" si="14"/>
        <v>0</v>
      </c>
      <c r="AR80" s="255">
        <f t="shared" si="14"/>
        <v>0</v>
      </c>
      <c r="AS80" s="255">
        <f t="shared" si="14"/>
        <v>0</v>
      </c>
      <c r="AT80" s="255">
        <f t="shared" si="14"/>
        <v>0</v>
      </c>
      <c r="AU80" s="255">
        <f t="shared" si="14"/>
        <v>0</v>
      </c>
      <c r="AV80" s="255">
        <f t="shared" si="14"/>
        <v>0</v>
      </c>
      <c r="AW80" s="255">
        <f t="shared" si="14"/>
        <v>0</v>
      </c>
      <c r="AX80" s="256">
        <f t="shared" si="14"/>
        <v>0</v>
      </c>
    </row>
    <row r="81" spans="6:50" x14ac:dyDescent="0.25">
      <c r="F81" s="56">
        <v>0.5</v>
      </c>
      <c r="G81" s="262">
        <v>0.52083333333333337</v>
      </c>
      <c r="H81" s="254">
        <f t="shared" si="13"/>
        <v>0</v>
      </c>
      <c r="I81" s="255">
        <f t="shared" si="14"/>
        <v>0</v>
      </c>
      <c r="J81" s="255">
        <f t="shared" si="14"/>
        <v>0</v>
      </c>
      <c r="K81" s="255">
        <f t="shared" si="14"/>
        <v>0</v>
      </c>
      <c r="L81" s="255">
        <f t="shared" si="14"/>
        <v>0</v>
      </c>
      <c r="M81" s="255">
        <f t="shared" si="14"/>
        <v>0</v>
      </c>
      <c r="N81" s="255">
        <f t="shared" si="14"/>
        <v>0</v>
      </c>
      <c r="O81" s="255">
        <f t="shared" si="14"/>
        <v>0</v>
      </c>
      <c r="P81" s="255">
        <f t="shared" si="14"/>
        <v>0</v>
      </c>
      <c r="Q81" s="255">
        <f t="shared" si="14"/>
        <v>0</v>
      </c>
      <c r="R81" s="255">
        <f t="shared" si="14"/>
        <v>0</v>
      </c>
      <c r="S81" s="255">
        <f t="shared" si="14"/>
        <v>0</v>
      </c>
      <c r="T81" s="255">
        <f t="shared" si="14"/>
        <v>0</v>
      </c>
      <c r="U81" s="255">
        <f t="shared" si="12"/>
        <v>3</v>
      </c>
      <c r="V81" s="255">
        <f t="shared" si="12"/>
        <v>0</v>
      </c>
      <c r="W81" s="255">
        <f t="shared" si="12"/>
        <v>0</v>
      </c>
      <c r="X81" s="255">
        <f t="shared" si="12"/>
        <v>2</v>
      </c>
      <c r="Y81" s="255">
        <f t="shared" si="12"/>
        <v>0</v>
      </c>
      <c r="Z81" s="255">
        <f t="shared" si="12"/>
        <v>1</v>
      </c>
      <c r="AA81" s="255">
        <f t="shared" si="12"/>
        <v>4</v>
      </c>
      <c r="AB81" s="255">
        <f t="shared" si="14"/>
        <v>0</v>
      </c>
      <c r="AC81" s="255">
        <f t="shared" si="14"/>
        <v>0</v>
      </c>
      <c r="AD81" s="255">
        <f t="shared" si="14"/>
        <v>0</v>
      </c>
      <c r="AE81" s="255">
        <f t="shared" si="14"/>
        <v>0</v>
      </c>
      <c r="AF81" s="255">
        <f t="shared" si="14"/>
        <v>0</v>
      </c>
      <c r="AG81" s="255">
        <f t="shared" si="14"/>
        <v>0</v>
      </c>
      <c r="AH81" s="255">
        <f t="shared" si="14"/>
        <v>0</v>
      </c>
      <c r="AI81" s="255">
        <f t="shared" si="14"/>
        <v>0</v>
      </c>
      <c r="AJ81" s="255">
        <f t="shared" si="14"/>
        <v>0</v>
      </c>
      <c r="AK81" s="255">
        <f t="shared" si="14"/>
        <v>0</v>
      </c>
      <c r="AL81" s="255">
        <f t="shared" si="14"/>
        <v>0</v>
      </c>
      <c r="AM81" s="255">
        <f t="shared" si="14"/>
        <v>0</v>
      </c>
      <c r="AN81" s="255">
        <f t="shared" si="14"/>
        <v>0</v>
      </c>
      <c r="AO81" s="255">
        <f t="shared" si="14"/>
        <v>0</v>
      </c>
      <c r="AP81" s="255">
        <f t="shared" si="14"/>
        <v>0</v>
      </c>
      <c r="AQ81" s="255">
        <f t="shared" si="14"/>
        <v>0</v>
      </c>
      <c r="AR81" s="255">
        <f t="shared" si="14"/>
        <v>0</v>
      </c>
      <c r="AS81" s="255">
        <f t="shared" si="14"/>
        <v>0</v>
      </c>
      <c r="AT81" s="255">
        <f t="shared" si="14"/>
        <v>0</v>
      </c>
      <c r="AU81" s="255">
        <f t="shared" si="14"/>
        <v>0</v>
      </c>
      <c r="AV81" s="255">
        <f t="shared" si="14"/>
        <v>0</v>
      </c>
      <c r="AW81" s="255">
        <f t="shared" si="14"/>
        <v>0</v>
      </c>
      <c r="AX81" s="256">
        <f t="shared" si="14"/>
        <v>0</v>
      </c>
    </row>
    <row r="82" spans="6:50" x14ac:dyDescent="0.25">
      <c r="F82" s="56">
        <v>0.52083333333333337</v>
      </c>
      <c r="G82" s="262">
        <v>0.54166666666666663</v>
      </c>
      <c r="H82" s="254">
        <f t="shared" si="13"/>
        <v>0</v>
      </c>
      <c r="I82" s="255">
        <f t="shared" si="14"/>
        <v>0</v>
      </c>
      <c r="J82" s="255">
        <f t="shared" si="14"/>
        <v>0</v>
      </c>
      <c r="K82" s="255">
        <f t="shared" si="14"/>
        <v>0</v>
      </c>
      <c r="L82" s="255">
        <f t="shared" si="14"/>
        <v>0</v>
      </c>
      <c r="M82" s="255">
        <f t="shared" si="14"/>
        <v>0</v>
      </c>
      <c r="N82" s="255">
        <f t="shared" si="14"/>
        <v>0</v>
      </c>
      <c r="O82" s="255">
        <f t="shared" si="14"/>
        <v>0</v>
      </c>
      <c r="P82" s="255">
        <f t="shared" si="14"/>
        <v>0</v>
      </c>
      <c r="Q82" s="255">
        <f t="shared" si="14"/>
        <v>0</v>
      </c>
      <c r="R82" s="255">
        <f t="shared" si="14"/>
        <v>0</v>
      </c>
      <c r="S82" s="255">
        <f t="shared" si="14"/>
        <v>0</v>
      </c>
      <c r="T82" s="255">
        <f t="shared" si="14"/>
        <v>0</v>
      </c>
      <c r="U82" s="255">
        <f t="shared" si="12"/>
        <v>3</v>
      </c>
      <c r="V82" s="255">
        <f t="shared" si="12"/>
        <v>0</v>
      </c>
      <c r="W82" s="255">
        <f t="shared" si="12"/>
        <v>0</v>
      </c>
      <c r="X82" s="255">
        <f t="shared" si="12"/>
        <v>2</v>
      </c>
      <c r="Y82" s="255">
        <f t="shared" si="12"/>
        <v>0</v>
      </c>
      <c r="Z82" s="255">
        <f t="shared" si="12"/>
        <v>1</v>
      </c>
      <c r="AA82" s="255">
        <f t="shared" si="12"/>
        <v>4</v>
      </c>
      <c r="AB82" s="255">
        <f t="shared" si="14"/>
        <v>0</v>
      </c>
      <c r="AC82" s="255">
        <f t="shared" si="14"/>
        <v>0</v>
      </c>
      <c r="AD82" s="255">
        <f t="shared" si="14"/>
        <v>0</v>
      </c>
      <c r="AE82" s="255">
        <f t="shared" si="14"/>
        <v>0</v>
      </c>
      <c r="AF82" s="255">
        <f t="shared" si="14"/>
        <v>0</v>
      </c>
      <c r="AG82" s="255">
        <f t="shared" si="14"/>
        <v>0</v>
      </c>
      <c r="AH82" s="255">
        <f t="shared" si="14"/>
        <v>0</v>
      </c>
      <c r="AI82" s="255">
        <f t="shared" si="14"/>
        <v>0</v>
      </c>
      <c r="AJ82" s="255">
        <f t="shared" si="14"/>
        <v>0</v>
      </c>
      <c r="AK82" s="255">
        <f t="shared" si="14"/>
        <v>0</v>
      </c>
      <c r="AL82" s="255">
        <f t="shared" si="14"/>
        <v>0</v>
      </c>
      <c r="AM82" s="255">
        <f t="shared" si="14"/>
        <v>0</v>
      </c>
      <c r="AN82" s="255">
        <f t="shared" si="14"/>
        <v>0</v>
      </c>
      <c r="AO82" s="255">
        <f t="shared" si="14"/>
        <v>0</v>
      </c>
      <c r="AP82" s="255">
        <f t="shared" si="14"/>
        <v>0</v>
      </c>
      <c r="AQ82" s="255">
        <f t="shared" si="14"/>
        <v>0</v>
      </c>
      <c r="AR82" s="255">
        <f t="shared" si="14"/>
        <v>0</v>
      </c>
      <c r="AS82" s="255">
        <f t="shared" si="14"/>
        <v>0</v>
      </c>
      <c r="AT82" s="255">
        <f t="shared" si="14"/>
        <v>0</v>
      </c>
      <c r="AU82" s="255">
        <f t="shared" si="14"/>
        <v>0</v>
      </c>
      <c r="AV82" s="255">
        <f t="shared" si="14"/>
        <v>0</v>
      </c>
      <c r="AW82" s="255">
        <f t="shared" si="14"/>
        <v>0</v>
      </c>
      <c r="AX82" s="256">
        <f t="shared" si="14"/>
        <v>0</v>
      </c>
    </row>
    <row r="83" spans="6:50" x14ac:dyDescent="0.25">
      <c r="F83" s="56">
        <v>0.54166666666666663</v>
      </c>
      <c r="G83" s="262">
        <v>0.5625</v>
      </c>
      <c r="H83" s="254">
        <f t="shared" si="13"/>
        <v>0</v>
      </c>
      <c r="I83" s="255">
        <f t="shared" si="14"/>
        <v>0</v>
      </c>
      <c r="J83" s="255">
        <f t="shared" si="14"/>
        <v>0</v>
      </c>
      <c r="K83" s="255">
        <f t="shared" si="14"/>
        <v>0</v>
      </c>
      <c r="L83" s="255">
        <f t="shared" si="14"/>
        <v>0</v>
      </c>
      <c r="M83" s="255">
        <f t="shared" si="14"/>
        <v>0</v>
      </c>
      <c r="N83" s="255">
        <f t="shared" si="14"/>
        <v>0</v>
      </c>
      <c r="O83" s="255">
        <f t="shared" si="14"/>
        <v>0</v>
      </c>
      <c r="P83" s="255">
        <f t="shared" si="14"/>
        <v>0</v>
      </c>
      <c r="Q83" s="255">
        <f t="shared" si="14"/>
        <v>0</v>
      </c>
      <c r="R83" s="255">
        <f t="shared" si="14"/>
        <v>0</v>
      </c>
      <c r="S83" s="255">
        <f t="shared" si="14"/>
        <v>0</v>
      </c>
      <c r="T83" s="255">
        <f t="shared" si="14"/>
        <v>0</v>
      </c>
      <c r="U83" s="255">
        <f t="shared" si="12"/>
        <v>3</v>
      </c>
      <c r="V83" s="255">
        <f t="shared" si="12"/>
        <v>0</v>
      </c>
      <c r="W83" s="255">
        <f t="shared" si="12"/>
        <v>0</v>
      </c>
      <c r="X83" s="255">
        <f t="shared" si="12"/>
        <v>2</v>
      </c>
      <c r="Y83" s="255">
        <f t="shared" si="12"/>
        <v>0</v>
      </c>
      <c r="Z83" s="255">
        <f t="shared" si="12"/>
        <v>1</v>
      </c>
      <c r="AA83" s="255">
        <f t="shared" si="12"/>
        <v>4</v>
      </c>
      <c r="AB83" s="255">
        <f t="shared" si="14"/>
        <v>0</v>
      </c>
      <c r="AC83" s="255">
        <f t="shared" si="14"/>
        <v>0</v>
      </c>
      <c r="AD83" s="255">
        <f t="shared" si="14"/>
        <v>0</v>
      </c>
      <c r="AE83" s="255">
        <f t="shared" si="14"/>
        <v>0</v>
      </c>
      <c r="AF83" s="255">
        <f t="shared" si="14"/>
        <v>0</v>
      </c>
      <c r="AG83" s="255">
        <f t="shared" si="14"/>
        <v>0</v>
      </c>
      <c r="AH83" s="255">
        <f t="shared" si="14"/>
        <v>0</v>
      </c>
      <c r="AI83" s="255">
        <f t="shared" si="14"/>
        <v>0</v>
      </c>
      <c r="AJ83" s="255">
        <f t="shared" si="14"/>
        <v>0</v>
      </c>
      <c r="AK83" s="255">
        <f t="shared" si="14"/>
        <v>0</v>
      </c>
      <c r="AL83" s="255">
        <f t="shared" si="14"/>
        <v>0</v>
      </c>
      <c r="AM83" s="255">
        <f t="shared" si="14"/>
        <v>0</v>
      </c>
      <c r="AN83" s="255">
        <f t="shared" si="14"/>
        <v>0</v>
      </c>
      <c r="AO83" s="255">
        <f t="shared" si="14"/>
        <v>0</v>
      </c>
      <c r="AP83" s="255">
        <f t="shared" si="14"/>
        <v>0</v>
      </c>
      <c r="AQ83" s="255">
        <f t="shared" si="14"/>
        <v>0</v>
      </c>
      <c r="AR83" s="255">
        <f t="shared" si="14"/>
        <v>0</v>
      </c>
      <c r="AS83" s="255">
        <f t="shared" si="14"/>
        <v>0</v>
      </c>
      <c r="AT83" s="255">
        <f t="shared" si="14"/>
        <v>0</v>
      </c>
      <c r="AU83" s="255">
        <f t="shared" si="14"/>
        <v>0</v>
      </c>
      <c r="AV83" s="255">
        <f t="shared" si="14"/>
        <v>0</v>
      </c>
      <c r="AW83" s="255">
        <f t="shared" si="14"/>
        <v>0</v>
      </c>
      <c r="AX83" s="256">
        <f t="shared" si="14"/>
        <v>0</v>
      </c>
    </row>
    <row r="84" spans="6:50" x14ac:dyDescent="0.25">
      <c r="F84" s="56">
        <v>0.5625</v>
      </c>
      <c r="G84" s="262">
        <v>0.58333333333333337</v>
      </c>
      <c r="H84" s="254">
        <f t="shared" si="13"/>
        <v>0</v>
      </c>
      <c r="I84" s="255">
        <f t="shared" si="14"/>
        <v>0</v>
      </c>
      <c r="J84" s="255">
        <f t="shared" si="14"/>
        <v>0</v>
      </c>
      <c r="K84" s="255">
        <f t="shared" si="14"/>
        <v>0</v>
      </c>
      <c r="L84" s="255">
        <f t="shared" si="14"/>
        <v>0</v>
      </c>
      <c r="M84" s="255">
        <f t="shared" si="14"/>
        <v>0</v>
      </c>
      <c r="N84" s="255">
        <f t="shared" si="14"/>
        <v>0</v>
      </c>
      <c r="O84" s="255">
        <f t="shared" si="14"/>
        <v>0</v>
      </c>
      <c r="P84" s="255">
        <f t="shared" si="14"/>
        <v>0</v>
      </c>
      <c r="Q84" s="255">
        <f t="shared" si="14"/>
        <v>0</v>
      </c>
      <c r="R84" s="255">
        <f t="shared" si="14"/>
        <v>0</v>
      </c>
      <c r="S84" s="255">
        <f t="shared" si="14"/>
        <v>0</v>
      </c>
      <c r="T84" s="255">
        <f t="shared" si="14"/>
        <v>0</v>
      </c>
      <c r="U84" s="255">
        <f t="shared" si="12"/>
        <v>3</v>
      </c>
      <c r="V84" s="255">
        <f t="shared" si="12"/>
        <v>0</v>
      </c>
      <c r="W84" s="255">
        <f t="shared" si="12"/>
        <v>0</v>
      </c>
      <c r="X84" s="255">
        <f t="shared" si="12"/>
        <v>2</v>
      </c>
      <c r="Y84" s="255">
        <f t="shared" si="12"/>
        <v>0</v>
      </c>
      <c r="Z84" s="255">
        <f t="shared" si="12"/>
        <v>1</v>
      </c>
      <c r="AA84" s="255">
        <f t="shared" si="12"/>
        <v>4</v>
      </c>
      <c r="AB84" s="255">
        <f t="shared" si="14"/>
        <v>0</v>
      </c>
      <c r="AC84" s="255">
        <f t="shared" si="14"/>
        <v>0</v>
      </c>
      <c r="AD84" s="255">
        <f t="shared" si="14"/>
        <v>0</v>
      </c>
      <c r="AE84" s="255">
        <f t="shared" si="14"/>
        <v>0</v>
      </c>
      <c r="AF84" s="255">
        <f t="shared" si="14"/>
        <v>0</v>
      </c>
      <c r="AG84" s="255">
        <f t="shared" si="14"/>
        <v>0</v>
      </c>
      <c r="AH84" s="255">
        <f t="shared" si="14"/>
        <v>0</v>
      </c>
      <c r="AI84" s="255">
        <f t="shared" si="14"/>
        <v>0</v>
      </c>
      <c r="AJ84" s="255">
        <f t="shared" si="14"/>
        <v>0</v>
      </c>
      <c r="AK84" s="255">
        <f t="shared" si="14"/>
        <v>0</v>
      </c>
      <c r="AL84" s="255">
        <f t="shared" si="14"/>
        <v>0</v>
      </c>
      <c r="AM84" s="255">
        <f t="shared" si="14"/>
        <v>0</v>
      </c>
      <c r="AN84" s="255">
        <f t="shared" si="14"/>
        <v>0</v>
      </c>
      <c r="AO84" s="255">
        <f t="shared" si="14"/>
        <v>0</v>
      </c>
      <c r="AP84" s="255">
        <f t="shared" si="14"/>
        <v>0</v>
      </c>
      <c r="AQ84" s="255">
        <f t="shared" si="14"/>
        <v>0</v>
      </c>
      <c r="AR84" s="255">
        <f t="shared" si="14"/>
        <v>0</v>
      </c>
      <c r="AS84" s="255">
        <f t="shared" si="14"/>
        <v>0</v>
      </c>
      <c r="AT84" s="255">
        <f t="shared" si="14"/>
        <v>0</v>
      </c>
      <c r="AU84" s="255">
        <f t="shared" si="14"/>
        <v>0</v>
      </c>
      <c r="AV84" s="255">
        <f t="shared" si="14"/>
        <v>0</v>
      </c>
      <c r="AW84" s="255">
        <f t="shared" si="14"/>
        <v>0</v>
      </c>
      <c r="AX84" s="256">
        <f t="shared" si="14"/>
        <v>0</v>
      </c>
    </row>
    <row r="85" spans="6:50" x14ac:dyDescent="0.25">
      <c r="F85" s="56">
        <v>0.58333333333333337</v>
      </c>
      <c r="G85" s="262">
        <v>0.60416666666666663</v>
      </c>
      <c r="H85" s="254">
        <f t="shared" si="13"/>
        <v>0</v>
      </c>
      <c r="I85" s="255">
        <f t="shared" si="14"/>
        <v>0</v>
      </c>
      <c r="J85" s="255">
        <f t="shared" si="14"/>
        <v>0</v>
      </c>
      <c r="K85" s="255">
        <f t="shared" si="14"/>
        <v>0</v>
      </c>
      <c r="L85" s="255">
        <f t="shared" si="14"/>
        <v>0</v>
      </c>
      <c r="M85" s="255">
        <f t="shared" si="14"/>
        <v>0</v>
      </c>
      <c r="N85" s="255">
        <f t="shared" si="14"/>
        <v>0</v>
      </c>
      <c r="O85" s="255">
        <f t="shared" si="14"/>
        <v>0</v>
      </c>
      <c r="P85" s="255">
        <f t="shared" si="14"/>
        <v>0</v>
      </c>
      <c r="Q85" s="255">
        <f t="shared" si="14"/>
        <v>0</v>
      </c>
      <c r="R85" s="255">
        <f t="shared" si="14"/>
        <v>0</v>
      </c>
      <c r="S85" s="255">
        <f t="shared" si="14"/>
        <v>0</v>
      </c>
      <c r="T85" s="255">
        <f t="shared" si="14"/>
        <v>0</v>
      </c>
      <c r="U85" s="255">
        <f t="shared" si="12"/>
        <v>3</v>
      </c>
      <c r="V85" s="255">
        <f t="shared" si="12"/>
        <v>0</v>
      </c>
      <c r="W85" s="255">
        <f t="shared" si="12"/>
        <v>0</v>
      </c>
      <c r="X85" s="255">
        <f t="shared" si="12"/>
        <v>2</v>
      </c>
      <c r="Y85" s="255">
        <f t="shared" si="12"/>
        <v>0</v>
      </c>
      <c r="Z85" s="255">
        <f t="shared" si="12"/>
        <v>1</v>
      </c>
      <c r="AA85" s="255">
        <f t="shared" si="12"/>
        <v>4</v>
      </c>
      <c r="AB85" s="255">
        <f t="shared" si="14"/>
        <v>0</v>
      </c>
      <c r="AC85" s="255">
        <f t="shared" si="14"/>
        <v>0</v>
      </c>
      <c r="AD85" s="255">
        <f t="shared" si="14"/>
        <v>0</v>
      </c>
      <c r="AE85" s="255">
        <f t="shared" si="14"/>
        <v>0</v>
      </c>
      <c r="AF85" s="255">
        <f t="shared" si="14"/>
        <v>0</v>
      </c>
      <c r="AG85" s="255">
        <f t="shared" si="14"/>
        <v>0</v>
      </c>
      <c r="AH85" s="255">
        <f t="shared" si="14"/>
        <v>0</v>
      </c>
      <c r="AI85" s="255">
        <f t="shared" si="14"/>
        <v>0</v>
      </c>
      <c r="AJ85" s="255">
        <f t="shared" si="14"/>
        <v>0</v>
      </c>
      <c r="AK85" s="255">
        <f t="shared" si="14"/>
        <v>0</v>
      </c>
      <c r="AL85" s="255">
        <f t="shared" si="14"/>
        <v>0</v>
      </c>
      <c r="AM85" s="255">
        <f t="shared" si="14"/>
        <v>0</v>
      </c>
      <c r="AN85" s="255">
        <f t="shared" si="14"/>
        <v>0</v>
      </c>
      <c r="AO85" s="255">
        <f t="shared" si="14"/>
        <v>0</v>
      </c>
      <c r="AP85" s="255">
        <f t="shared" si="14"/>
        <v>0</v>
      </c>
      <c r="AQ85" s="255">
        <f t="shared" ref="I85:AX92" si="15">AQ$1*AQ30</f>
        <v>0</v>
      </c>
      <c r="AR85" s="255">
        <f t="shared" si="15"/>
        <v>0</v>
      </c>
      <c r="AS85" s="255">
        <f t="shared" si="15"/>
        <v>0</v>
      </c>
      <c r="AT85" s="255">
        <f t="shared" si="15"/>
        <v>0</v>
      </c>
      <c r="AU85" s="255">
        <f t="shared" si="15"/>
        <v>0</v>
      </c>
      <c r="AV85" s="255">
        <f t="shared" si="15"/>
        <v>0</v>
      </c>
      <c r="AW85" s="255">
        <f t="shared" si="15"/>
        <v>0</v>
      </c>
      <c r="AX85" s="256">
        <f t="shared" si="15"/>
        <v>0</v>
      </c>
    </row>
    <row r="86" spans="6:50" x14ac:dyDescent="0.25">
      <c r="F86" s="56">
        <v>0.60416666666666663</v>
      </c>
      <c r="G86" s="262">
        <v>0.625</v>
      </c>
      <c r="H86" s="254">
        <f t="shared" si="13"/>
        <v>0</v>
      </c>
      <c r="I86" s="255">
        <f t="shared" si="15"/>
        <v>0</v>
      </c>
      <c r="J86" s="255">
        <f t="shared" si="15"/>
        <v>0</v>
      </c>
      <c r="K86" s="255">
        <f t="shared" si="15"/>
        <v>0</v>
      </c>
      <c r="L86" s="255">
        <f t="shared" si="15"/>
        <v>0</v>
      </c>
      <c r="M86" s="255">
        <f t="shared" si="15"/>
        <v>0</v>
      </c>
      <c r="N86" s="255">
        <f t="shared" si="15"/>
        <v>0</v>
      </c>
      <c r="O86" s="255">
        <f t="shared" si="15"/>
        <v>0</v>
      </c>
      <c r="P86" s="255">
        <f t="shared" si="15"/>
        <v>0</v>
      </c>
      <c r="Q86" s="255">
        <f t="shared" si="15"/>
        <v>0</v>
      </c>
      <c r="R86" s="255">
        <f t="shared" si="15"/>
        <v>0</v>
      </c>
      <c r="S86" s="255">
        <f t="shared" si="15"/>
        <v>0</v>
      </c>
      <c r="T86" s="255">
        <f t="shared" si="15"/>
        <v>0</v>
      </c>
      <c r="U86" s="255">
        <f t="shared" si="12"/>
        <v>3</v>
      </c>
      <c r="V86" s="255">
        <f t="shared" si="12"/>
        <v>0</v>
      </c>
      <c r="W86" s="255">
        <f t="shared" si="12"/>
        <v>0</v>
      </c>
      <c r="X86" s="255">
        <f t="shared" si="12"/>
        <v>2</v>
      </c>
      <c r="Y86" s="255">
        <f t="shared" si="12"/>
        <v>0</v>
      </c>
      <c r="Z86" s="255">
        <f t="shared" si="12"/>
        <v>1</v>
      </c>
      <c r="AA86" s="255">
        <f t="shared" si="12"/>
        <v>4</v>
      </c>
      <c r="AB86" s="255">
        <f t="shared" si="15"/>
        <v>0</v>
      </c>
      <c r="AC86" s="255">
        <f t="shared" si="15"/>
        <v>0</v>
      </c>
      <c r="AD86" s="255">
        <f t="shared" si="15"/>
        <v>0</v>
      </c>
      <c r="AE86" s="255">
        <f t="shared" si="15"/>
        <v>0</v>
      </c>
      <c r="AF86" s="255">
        <f t="shared" si="15"/>
        <v>0</v>
      </c>
      <c r="AG86" s="255">
        <f t="shared" si="15"/>
        <v>0</v>
      </c>
      <c r="AH86" s="255">
        <f t="shared" si="15"/>
        <v>0</v>
      </c>
      <c r="AI86" s="255">
        <f t="shared" si="15"/>
        <v>0</v>
      </c>
      <c r="AJ86" s="255">
        <f t="shared" si="15"/>
        <v>0</v>
      </c>
      <c r="AK86" s="255">
        <f t="shared" si="15"/>
        <v>0</v>
      </c>
      <c r="AL86" s="255">
        <f t="shared" si="15"/>
        <v>0</v>
      </c>
      <c r="AM86" s="255">
        <f t="shared" si="15"/>
        <v>0</v>
      </c>
      <c r="AN86" s="255">
        <f t="shared" si="15"/>
        <v>0</v>
      </c>
      <c r="AO86" s="255">
        <f t="shared" si="15"/>
        <v>0</v>
      </c>
      <c r="AP86" s="255">
        <f t="shared" si="15"/>
        <v>0</v>
      </c>
      <c r="AQ86" s="255">
        <f t="shared" si="15"/>
        <v>0</v>
      </c>
      <c r="AR86" s="255">
        <f t="shared" si="15"/>
        <v>0</v>
      </c>
      <c r="AS86" s="255">
        <f t="shared" si="15"/>
        <v>0</v>
      </c>
      <c r="AT86" s="255">
        <f t="shared" si="15"/>
        <v>0</v>
      </c>
      <c r="AU86" s="255">
        <f t="shared" si="15"/>
        <v>0</v>
      </c>
      <c r="AV86" s="255">
        <f t="shared" si="15"/>
        <v>0</v>
      </c>
      <c r="AW86" s="255">
        <f t="shared" si="15"/>
        <v>0</v>
      </c>
      <c r="AX86" s="256">
        <f t="shared" si="15"/>
        <v>0</v>
      </c>
    </row>
    <row r="87" spans="6:50" x14ac:dyDescent="0.25">
      <c r="F87" s="56">
        <v>0.625</v>
      </c>
      <c r="G87" s="262">
        <v>0.64583333333333337</v>
      </c>
      <c r="H87" s="254">
        <f t="shared" si="13"/>
        <v>0</v>
      </c>
      <c r="I87" s="255">
        <f t="shared" si="15"/>
        <v>0</v>
      </c>
      <c r="J87" s="255">
        <f t="shared" si="15"/>
        <v>0</v>
      </c>
      <c r="K87" s="255">
        <f t="shared" si="15"/>
        <v>0</v>
      </c>
      <c r="L87" s="255">
        <f t="shared" si="15"/>
        <v>0</v>
      </c>
      <c r="M87" s="255">
        <f t="shared" si="15"/>
        <v>0</v>
      </c>
      <c r="N87" s="255">
        <f t="shared" si="15"/>
        <v>0</v>
      </c>
      <c r="O87" s="255">
        <f t="shared" si="15"/>
        <v>0</v>
      </c>
      <c r="P87" s="255">
        <f t="shared" si="15"/>
        <v>0</v>
      </c>
      <c r="Q87" s="255">
        <f t="shared" si="15"/>
        <v>0</v>
      </c>
      <c r="R87" s="255">
        <f t="shared" si="15"/>
        <v>0</v>
      </c>
      <c r="S87" s="255">
        <f t="shared" si="15"/>
        <v>0</v>
      </c>
      <c r="T87" s="255">
        <f t="shared" si="15"/>
        <v>0</v>
      </c>
      <c r="U87" s="255">
        <f t="shared" si="12"/>
        <v>3</v>
      </c>
      <c r="V87" s="255">
        <f t="shared" si="12"/>
        <v>0</v>
      </c>
      <c r="W87" s="255">
        <f t="shared" si="12"/>
        <v>0</v>
      </c>
      <c r="X87" s="255">
        <f t="shared" si="12"/>
        <v>2</v>
      </c>
      <c r="Y87" s="255">
        <f t="shared" si="12"/>
        <v>0</v>
      </c>
      <c r="Z87" s="255">
        <f t="shared" si="12"/>
        <v>1</v>
      </c>
      <c r="AA87" s="255">
        <f t="shared" si="12"/>
        <v>4</v>
      </c>
      <c r="AB87" s="255">
        <f t="shared" si="15"/>
        <v>0</v>
      </c>
      <c r="AC87" s="255">
        <f t="shared" si="15"/>
        <v>0</v>
      </c>
      <c r="AD87" s="255">
        <f t="shared" si="15"/>
        <v>0</v>
      </c>
      <c r="AE87" s="255">
        <f t="shared" si="15"/>
        <v>0</v>
      </c>
      <c r="AF87" s="255">
        <f t="shared" si="15"/>
        <v>0</v>
      </c>
      <c r="AG87" s="255">
        <f t="shared" si="15"/>
        <v>0</v>
      </c>
      <c r="AH87" s="255">
        <f t="shared" si="15"/>
        <v>0</v>
      </c>
      <c r="AI87" s="255">
        <f t="shared" si="15"/>
        <v>0</v>
      </c>
      <c r="AJ87" s="255">
        <f t="shared" si="15"/>
        <v>0</v>
      </c>
      <c r="AK87" s="255">
        <f t="shared" si="15"/>
        <v>0</v>
      </c>
      <c r="AL87" s="255">
        <f t="shared" si="15"/>
        <v>0</v>
      </c>
      <c r="AM87" s="255">
        <f t="shared" si="15"/>
        <v>0</v>
      </c>
      <c r="AN87" s="255">
        <f t="shared" si="15"/>
        <v>0</v>
      </c>
      <c r="AO87" s="255">
        <f t="shared" si="15"/>
        <v>0</v>
      </c>
      <c r="AP87" s="255">
        <f t="shared" si="15"/>
        <v>0</v>
      </c>
      <c r="AQ87" s="255">
        <f t="shared" si="15"/>
        <v>0</v>
      </c>
      <c r="AR87" s="255">
        <f t="shared" si="15"/>
        <v>0</v>
      </c>
      <c r="AS87" s="255">
        <f t="shared" si="15"/>
        <v>0</v>
      </c>
      <c r="AT87" s="255">
        <f t="shared" si="15"/>
        <v>0</v>
      </c>
      <c r="AU87" s="255">
        <f t="shared" si="15"/>
        <v>0</v>
      </c>
      <c r="AV87" s="255">
        <f t="shared" si="15"/>
        <v>0</v>
      </c>
      <c r="AW87" s="255">
        <f t="shared" si="15"/>
        <v>0</v>
      </c>
      <c r="AX87" s="256">
        <f t="shared" si="15"/>
        <v>0</v>
      </c>
    </row>
    <row r="88" spans="6:50" x14ac:dyDescent="0.25">
      <c r="F88" s="56">
        <v>0.64583333333333337</v>
      </c>
      <c r="G88" s="262">
        <v>0.66666666666666663</v>
      </c>
      <c r="H88" s="254">
        <f t="shared" si="13"/>
        <v>0</v>
      </c>
      <c r="I88" s="255">
        <f t="shared" si="15"/>
        <v>0</v>
      </c>
      <c r="J88" s="255">
        <f t="shared" si="15"/>
        <v>0</v>
      </c>
      <c r="K88" s="255">
        <f t="shared" si="15"/>
        <v>0</v>
      </c>
      <c r="L88" s="255">
        <f t="shared" si="15"/>
        <v>0</v>
      </c>
      <c r="M88" s="255">
        <f t="shared" si="15"/>
        <v>0</v>
      </c>
      <c r="N88" s="255">
        <f t="shared" si="15"/>
        <v>0</v>
      </c>
      <c r="O88" s="255">
        <f t="shared" si="15"/>
        <v>0</v>
      </c>
      <c r="P88" s="255">
        <f t="shared" si="15"/>
        <v>0</v>
      </c>
      <c r="Q88" s="255">
        <f t="shared" si="15"/>
        <v>0</v>
      </c>
      <c r="R88" s="255">
        <f t="shared" si="15"/>
        <v>0</v>
      </c>
      <c r="S88" s="255">
        <f t="shared" si="15"/>
        <v>0</v>
      </c>
      <c r="T88" s="255">
        <f t="shared" si="15"/>
        <v>0</v>
      </c>
      <c r="U88" s="255">
        <f t="shared" si="12"/>
        <v>3</v>
      </c>
      <c r="V88" s="255">
        <f t="shared" si="12"/>
        <v>0</v>
      </c>
      <c r="W88" s="255">
        <f t="shared" si="12"/>
        <v>0</v>
      </c>
      <c r="X88" s="255">
        <f t="shared" si="12"/>
        <v>2</v>
      </c>
      <c r="Y88" s="255">
        <f t="shared" si="12"/>
        <v>0</v>
      </c>
      <c r="Z88" s="255">
        <f t="shared" si="12"/>
        <v>1</v>
      </c>
      <c r="AA88" s="255">
        <f t="shared" si="12"/>
        <v>4</v>
      </c>
      <c r="AB88" s="255">
        <f t="shared" si="15"/>
        <v>0</v>
      </c>
      <c r="AC88" s="255">
        <f t="shared" si="15"/>
        <v>0</v>
      </c>
      <c r="AD88" s="255">
        <f t="shared" si="15"/>
        <v>0</v>
      </c>
      <c r="AE88" s="255">
        <f t="shared" si="15"/>
        <v>0</v>
      </c>
      <c r="AF88" s="255">
        <f t="shared" si="15"/>
        <v>0</v>
      </c>
      <c r="AG88" s="255">
        <f t="shared" si="15"/>
        <v>0</v>
      </c>
      <c r="AH88" s="255">
        <f t="shared" si="15"/>
        <v>0</v>
      </c>
      <c r="AI88" s="255">
        <f t="shared" si="15"/>
        <v>0</v>
      </c>
      <c r="AJ88" s="255">
        <f t="shared" si="15"/>
        <v>0</v>
      </c>
      <c r="AK88" s="255">
        <f t="shared" si="15"/>
        <v>0</v>
      </c>
      <c r="AL88" s="255">
        <f t="shared" si="15"/>
        <v>0</v>
      </c>
      <c r="AM88" s="255">
        <f t="shared" si="15"/>
        <v>0</v>
      </c>
      <c r="AN88" s="255">
        <f t="shared" si="15"/>
        <v>0</v>
      </c>
      <c r="AO88" s="255">
        <f t="shared" si="15"/>
        <v>0</v>
      </c>
      <c r="AP88" s="255">
        <f t="shared" si="15"/>
        <v>0</v>
      </c>
      <c r="AQ88" s="255">
        <f t="shared" si="15"/>
        <v>0</v>
      </c>
      <c r="AR88" s="255">
        <f t="shared" si="15"/>
        <v>0</v>
      </c>
      <c r="AS88" s="255">
        <f t="shared" si="15"/>
        <v>0</v>
      </c>
      <c r="AT88" s="255">
        <f t="shared" si="15"/>
        <v>0</v>
      </c>
      <c r="AU88" s="255">
        <f t="shared" si="15"/>
        <v>0</v>
      </c>
      <c r="AV88" s="255">
        <f t="shared" si="15"/>
        <v>0</v>
      </c>
      <c r="AW88" s="255">
        <f t="shared" si="15"/>
        <v>0</v>
      </c>
      <c r="AX88" s="256">
        <f t="shared" si="15"/>
        <v>0</v>
      </c>
    </row>
    <row r="89" spans="6:50" x14ac:dyDescent="0.25">
      <c r="F89" s="56">
        <v>0.66666666666666663</v>
      </c>
      <c r="G89" s="262">
        <v>0.6875</v>
      </c>
      <c r="H89" s="254">
        <f t="shared" si="13"/>
        <v>0</v>
      </c>
      <c r="I89" s="255">
        <f t="shared" si="15"/>
        <v>0</v>
      </c>
      <c r="J89" s="255">
        <f t="shared" si="15"/>
        <v>0</v>
      </c>
      <c r="K89" s="255">
        <f t="shared" si="15"/>
        <v>0</v>
      </c>
      <c r="L89" s="255">
        <f t="shared" si="15"/>
        <v>0</v>
      </c>
      <c r="M89" s="255">
        <f t="shared" si="15"/>
        <v>0</v>
      </c>
      <c r="N89" s="255">
        <f t="shared" si="15"/>
        <v>0</v>
      </c>
      <c r="O89" s="255">
        <f t="shared" si="15"/>
        <v>0</v>
      </c>
      <c r="P89" s="255">
        <f t="shared" si="15"/>
        <v>0</v>
      </c>
      <c r="Q89" s="255">
        <f t="shared" si="15"/>
        <v>0</v>
      </c>
      <c r="R89" s="255">
        <f t="shared" si="15"/>
        <v>0</v>
      </c>
      <c r="S89" s="255">
        <f t="shared" si="15"/>
        <v>0</v>
      </c>
      <c r="T89" s="255">
        <f t="shared" si="15"/>
        <v>0</v>
      </c>
      <c r="U89" s="255">
        <f t="shared" ref="U89:AA92" si="16">U$1*U34</f>
        <v>3</v>
      </c>
      <c r="V89" s="255">
        <f t="shared" si="16"/>
        <v>0</v>
      </c>
      <c r="W89" s="255">
        <f t="shared" si="16"/>
        <v>0</v>
      </c>
      <c r="X89" s="255">
        <f t="shared" si="16"/>
        <v>2</v>
      </c>
      <c r="Y89" s="255">
        <f t="shared" si="16"/>
        <v>0</v>
      </c>
      <c r="Z89" s="255">
        <f t="shared" si="16"/>
        <v>1</v>
      </c>
      <c r="AA89" s="255">
        <f t="shared" si="16"/>
        <v>4</v>
      </c>
      <c r="AB89" s="255">
        <f t="shared" si="15"/>
        <v>0</v>
      </c>
      <c r="AC89" s="255">
        <f t="shared" si="15"/>
        <v>0</v>
      </c>
      <c r="AD89" s="255">
        <f t="shared" si="15"/>
        <v>0</v>
      </c>
      <c r="AE89" s="255">
        <f t="shared" si="15"/>
        <v>0</v>
      </c>
      <c r="AF89" s="255">
        <f t="shared" si="15"/>
        <v>0</v>
      </c>
      <c r="AG89" s="255">
        <f t="shared" si="15"/>
        <v>0</v>
      </c>
      <c r="AH89" s="255">
        <f t="shared" si="15"/>
        <v>0</v>
      </c>
      <c r="AI89" s="255">
        <f t="shared" si="15"/>
        <v>0</v>
      </c>
      <c r="AJ89" s="255">
        <f t="shared" si="15"/>
        <v>0</v>
      </c>
      <c r="AK89" s="255">
        <f t="shared" si="15"/>
        <v>0</v>
      </c>
      <c r="AL89" s="255">
        <f t="shared" si="15"/>
        <v>0</v>
      </c>
      <c r="AM89" s="255">
        <f t="shared" si="15"/>
        <v>0</v>
      </c>
      <c r="AN89" s="255">
        <f t="shared" si="15"/>
        <v>0</v>
      </c>
      <c r="AO89" s="255">
        <f t="shared" si="15"/>
        <v>0</v>
      </c>
      <c r="AP89" s="255">
        <f t="shared" si="15"/>
        <v>0</v>
      </c>
      <c r="AQ89" s="255">
        <f t="shared" si="15"/>
        <v>0</v>
      </c>
      <c r="AR89" s="255">
        <f t="shared" si="15"/>
        <v>0</v>
      </c>
      <c r="AS89" s="255">
        <f t="shared" si="15"/>
        <v>0</v>
      </c>
      <c r="AT89" s="255">
        <f t="shared" si="15"/>
        <v>0</v>
      </c>
      <c r="AU89" s="255">
        <f t="shared" si="15"/>
        <v>0</v>
      </c>
      <c r="AV89" s="255">
        <f t="shared" si="15"/>
        <v>0</v>
      </c>
      <c r="AW89" s="255">
        <f t="shared" si="15"/>
        <v>0</v>
      </c>
      <c r="AX89" s="256">
        <f t="shared" si="15"/>
        <v>0</v>
      </c>
    </row>
    <row r="90" spans="6:50" x14ac:dyDescent="0.25">
      <c r="F90" s="56">
        <v>0.6875</v>
      </c>
      <c r="G90" s="262">
        <v>0.70833333333333337</v>
      </c>
      <c r="H90" s="254">
        <f t="shared" ref="H90:AD104" si="17">H$1*H35</f>
        <v>0</v>
      </c>
      <c r="I90" s="255">
        <f t="shared" si="15"/>
        <v>0</v>
      </c>
      <c r="J90" s="255">
        <f t="shared" si="15"/>
        <v>0</v>
      </c>
      <c r="K90" s="255">
        <f t="shared" si="15"/>
        <v>0</v>
      </c>
      <c r="L90" s="255">
        <f t="shared" si="15"/>
        <v>0</v>
      </c>
      <c r="M90" s="255">
        <f t="shared" si="15"/>
        <v>0</v>
      </c>
      <c r="N90" s="255">
        <f t="shared" si="15"/>
        <v>0</v>
      </c>
      <c r="O90" s="255">
        <f t="shared" si="15"/>
        <v>0</v>
      </c>
      <c r="P90" s="255">
        <f t="shared" si="15"/>
        <v>0</v>
      </c>
      <c r="Q90" s="255">
        <f t="shared" si="15"/>
        <v>0</v>
      </c>
      <c r="R90" s="255">
        <f t="shared" si="15"/>
        <v>0</v>
      </c>
      <c r="S90" s="255">
        <f t="shared" si="15"/>
        <v>0</v>
      </c>
      <c r="T90" s="255">
        <f t="shared" si="15"/>
        <v>0</v>
      </c>
      <c r="U90" s="255">
        <f t="shared" si="16"/>
        <v>3</v>
      </c>
      <c r="V90" s="255">
        <f t="shared" si="16"/>
        <v>0</v>
      </c>
      <c r="W90" s="255">
        <f t="shared" si="16"/>
        <v>0</v>
      </c>
      <c r="X90" s="255">
        <f t="shared" si="16"/>
        <v>2</v>
      </c>
      <c r="Y90" s="255">
        <f t="shared" si="16"/>
        <v>0</v>
      </c>
      <c r="Z90" s="255">
        <f t="shared" si="16"/>
        <v>1</v>
      </c>
      <c r="AA90" s="255">
        <f t="shared" si="16"/>
        <v>4</v>
      </c>
      <c r="AB90" s="255">
        <f t="shared" si="15"/>
        <v>0</v>
      </c>
      <c r="AC90" s="255">
        <f t="shared" si="15"/>
        <v>0</v>
      </c>
      <c r="AD90" s="255">
        <f t="shared" si="15"/>
        <v>0</v>
      </c>
      <c r="AE90" s="255">
        <f t="shared" si="15"/>
        <v>0</v>
      </c>
      <c r="AF90" s="255">
        <f t="shared" si="15"/>
        <v>0</v>
      </c>
      <c r="AG90" s="255">
        <f t="shared" si="15"/>
        <v>0</v>
      </c>
      <c r="AH90" s="255">
        <f t="shared" si="15"/>
        <v>0</v>
      </c>
      <c r="AI90" s="255">
        <f t="shared" si="15"/>
        <v>0</v>
      </c>
      <c r="AJ90" s="255">
        <f t="shared" si="15"/>
        <v>0</v>
      </c>
      <c r="AK90" s="255">
        <f t="shared" si="15"/>
        <v>0</v>
      </c>
      <c r="AL90" s="255">
        <f t="shared" si="15"/>
        <v>0</v>
      </c>
      <c r="AM90" s="255">
        <f t="shared" si="15"/>
        <v>0</v>
      </c>
      <c r="AN90" s="255">
        <f t="shared" si="15"/>
        <v>0</v>
      </c>
      <c r="AO90" s="255">
        <f t="shared" si="15"/>
        <v>0</v>
      </c>
      <c r="AP90" s="255">
        <f t="shared" si="15"/>
        <v>0</v>
      </c>
      <c r="AQ90" s="255">
        <f t="shared" si="15"/>
        <v>0</v>
      </c>
      <c r="AR90" s="255">
        <f t="shared" si="15"/>
        <v>0</v>
      </c>
      <c r="AS90" s="255">
        <f t="shared" si="15"/>
        <v>0</v>
      </c>
      <c r="AT90" s="255">
        <f t="shared" si="15"/>
        <v>0</v>
      </c>
      <c r="AU90" s="255">
        <f t="shared" si="15"/>
        <v>0</v>
      </c>
      <c r="AV90" s="255">
        <f t="shared" si="15"/>
        <v>0</v>
      </c>
      <c r="AW90" s="255">
        <f t="shared" si="15"/>
        <v>0</v>
      </c>
      <c r="AX90" s="256">
        <f t="shared" si="15"/>
        <v>0</v>
      </c>
    </row>
    <row r="91" spans="6:50" x14ac:dyDescent="0.25">
      <c r="F91" s="56">
        <v>0.70833333333333337</v>
      </c>
      <c r="G91" s="262">
        <v>0.72916666666666663</v>
      </c>
      <c r="H91" s="254">
        <f t="shared" si="17"/>
        <v>0</v>
      </c>
      <c r="I91" s="255">
        <f t="shared" si="15"/>
        <v>0</v>
      </c>
      <c r="J91" s="255">
        <f t="shared" si="15"/>
        <v>0</v>
      </c>
      <c r="K91" s="255">
        <f t="shared" si="15"/>
        <v>0</v>
      </c>
      <c r="L91" s="255">
        <f t="shared" si="15"/>
        <v>0</v>
      </c>
      <c r="M91" s="255">
        <f t="shared" si="15"/>
        <v>0</v>
      </c>
      <c r="N91" s="255">
        <f t="shared" si="15"/>
        <v>0</v>
      </c>
      <c r="O91" s="255">
        <f t="shared" si="15"/>
        <v>0</v>
      </c>
      <c r="P91" s="255">
        <f t="shared" si="15"/>
        <v>0</v>
      </c>
      <c r="Q91" s="255">
        <f t="shared" si="15"/>
        <v>0</v>
      </c>
      <c r="R91" s="255">
        <f t="shared" si="15"/>
        <v>0</v>
      </c>
      <c r="S91" s="255">
        <f t="shared" si="15"/>
        <v>0</v>
      </c>
      <c r="T91" s="255">
        <f t="shared" si="15"/>
        <v>0</v>
      </c>
      <c r="U91" s="255">
        <f t="shared" si="16"/>
        <v>3</v>
      </c>
      <c r="V91" s="255">
        <f t="shared" si="16"/>
        <v>0</v>
      </c>
      <c r="W91" s="255">
        <f t="shared" si="16"/>
        <v>0</v>
      </c>
      <c r="X91" s="255">
        <f t="shared" si="16"/>
        <v>2</v>
      </c>
      <c r="Y91" s="255">
        <f t="shared" si="16"/>
        <v>0</v>
      </c>
      <c r="Z91" s="255">
        <f t="shared" si="16"/>
        <v>1</v>
      </c>
      <c r="AA91" s="255">
        <f t="shared" si="16"/>
        <v>4</v>
      </c>
      <c r="AB91" s="255">
        <f t="shared" si="15"/>
        <v>0</v>
      </c>
      <c r="AC91" s="255">
        <f t="shared" si="15"/>
        <v>0</v>
      </c>
      <c r="AD91" s="255">
        <f t="shared" si="15"/>
        <v>0</v>
      </c>
      <c r="AE91" s="255">
        <f t="shared" si="15"/>
        <v>0</v>
      </c>
      <c r="AF91" s="255">
        <f t="shared" si="15"/>
        <v>0</v>
      </c>
      <c r="AG91" s="255">
        <f t="shared" si="15"/>
        <v>0</v>
      </c>
      <c r="AH91" s="255">
        <f t="shared" si="15"/>
        <v>0</v>
      </c>
      <c r="AI91" s="255">
        <f t="shared" si="15"/>
        <v>0</v>
      </c>
      <c r="AJ91" s="255">
        <f t="shared" si="15"/>
        <v>0</v>
      </c>
      <c r="AK91" s="255">
        <f t="shared" si="15"/>
        <v>0</v>
      </c>
      <c r="AL91" s="255">
        <f t="shared" si="15"/>
        <v>0</v>
      </c>
      <c r="AM91" s="255">
        <f t="shared" si="15"/>
        <v>0</v>
      </c>
      <c r="AN91" s="255">
        <f t="shared" si="15"/>
        <v>0</v>
      </c>
      <c r="AO91" s="255">
        <f t="shared" si="15"/>
        <v>0</v>
      </c>
      <c r="AP91" s="255">
        <f t="shared" si="15"/>
        <v>0</v>
      </c>
      <c r="AQ91" s="255">
        <f t="shared" si="15"/>
        <v>0</v>
      </c>
      <c r="AR91" s="255">
        <f t="shared" si="15"/>
        <v>0</v>
      </c>
      <c r="AS91" s="255">
        <f t="shared" si="15"/>
        <v>0</v>
      </c>
      <c r="AT91" s="255">
        <f t="shared" si="15"/>
        <v>0</v>
      </c>
      <c r="AU91" s="255">
        <f t="shared" si="15"/>
        <v>0</v>
      </c>
      <c r="AV91" s="255">
        <f t="shared" si="15"/>
        <v>0</v>
      </c>
      <c r="AW91" s="255">
        <f t="shared" si="15"/>
        <v>0</v>
      </c>
      <c r="AX91" s="256">
        <f t="shared" si="15"/>
        <v>0</v>
      </c>
    </row>
    <row r="92" spans="6:50" x14ac:dyDescent="0.25">
      <c r="F92" s="56">
        <v>0.72916666666666663</v>
      </c>
      <c r="G92" s="262">
        <v>0.75</v>
      </c>
      <c r="H92" s="254">
        <f t="shared" si="17"/>
        <v>0</v>
      </c>
      <c r="I92" s="255">
        <f t="shared" si="15"/>
        <v>0</v>
      </c>
      <c r="J92" s="255">
        <f t="shared" si="15"/>
        <v>0</v>
      </c>
      <c r="K92" s="255">
        <f t="shared" si="15"/>
        <v>0</v>
      </c>
      <c r="L92" s="255">
        <f t="shared" si="15"/>
        <v>0</v>
      </c>
      <c r="M92" s="255">
        <f t="shared" si="15"/>
        <v>0</v>
      </c>
      <c r="N92" s="255">
        <f t="shared" si="15"/>
        <v>0</v>
      </c>
      <c r="O92" s="255">
        <f t="shared" si="15"/>
        <v>0</v>
      </c>
      <c r="P92" s="255">
        <f t="shared" si="15"/>
        <v>0</v>
      </c>
      <c r="Q92" s="255">
        <f t="shared" si="15"/>
        <v>0</v>
      </c>
      <c r="R92" s="255">
        <f t="shared" si="15"/>
        <v>0</v>
      </c>
      <c r="S92" s="255">
        <f t="shared" si="15"/>
        <v>0</v>
      </c>
      <c r="T92" s="255">
        <f t="shared" si="15"/>
        <v>0</v>
      </c>
      <c r="U92" s="255">
        <f t="shared" si="16"/>
        <v>3</v>
      </c>
      <c r="V92" s="255">
        <f t="shared" si="16"/>
        <v>0</v>
      </c>
      <c r="W92" s="255">
        <f t="shared" si="16"/>
        <v>0</v>
      </c>
      <c r="X92" s="255">
        <f t="shared" si="16"/>
        <v>2</v>
      </c>
      <c r="Y92" s="255">
        <f t="shared" si="16"/>
        <v>0</v>
      </c>
      <c r="Z92" s="255">
        <f t="shared" si="16"/>
        <v>1</v>
      </c>
      <c r="AA92" s="255">
        <f t="shared" si="16"/>
        <v>4</v>
      </c>
      <c r="AB92" s="255">
        <f t="shared" si="15"/>
        <v>0</v>
      </c>
      <c r="AC92" s="255">
        <f t="shared" si="15"/>
        <v>0</v>
      </c>
      <c r="AD92" s="255">
        <f t="shared" si="15"/>
        <v>0</v>
      </c>
      <c r="AE92" s="255">
        <f t="shared" si="15"/>
        <v>0</v>
      </c>
      <c r="AF92" s="255">
        <f t="shared" si="15"/>
        <v>0</v>
      </c>
      <c r="AG92" s="255">
        <f t="shared" si="15"/>
        <v>0</v>
      </c>
      <c r="AH92" s="255">
        <f t="shared" si="15"/>
        <v>0</v>
      </c>
      <c r="AI92" s="255">
        <f t="shared" si="15"/>
        <v>0</v>
      </c>
      <c r="AJ92" s="255">
        <f t="shared" si="15"/>
        <v>0</v>
      </c>
      <c r="AK92" s="255">
        <f t="shared" si="15"/>
        <v>0</v>
      </c>
      <c r="AL92" s="255">
        <f t="shared" si="15"/>
        <v>0</v>
      </c>
      <c r="AM92" s="255">
        <f t="shared" si="15"/>
        <v>0</v>
      </c>
      <c r="AN92" s="255">
        <f t="shared" si="15"/>
        <v>0</v>
      </c>
      <c r="AO92" s="255">
        <f t="shared" si="15"/>
        <v>0</v>
      </c>
      <c r="AP92" s="255">
        <f t="shared" si="15"/>
        <v>0</v>
      </c>
      <c r="AQ92" s="255">
        <f t="shared" si="15"/>
        <v>0</v>
      </c>
      <c r="AR92" s="255">
        <f t="shared" si="15"/>
        <v>0</v>
      </c>
      <c r="AS92" s="255">
        <f t="shared" si="15"/>
        <v>0</v>
      </c>
      <c r="AT92" s="255">
        <f t="shared" ref="AT92:AX92" si="18">AT$1*AT37</f>
        <v>0</v>
      </c>
      <c r="AU92" s="255">
        <f t="shared" si="18"/>
        <v>0</v>
      </c>
      <c r="AV92" s="255">
        <f t="shared" si="18"/>
        <v>0</v>
      </c>
      <c r="AW92" s="255">
        <f t="shared" si="18"/>
        <v>0</v>
      </c>
      <c r="AX92" s="256">
        <f t="shared" si="18"/>
        <v>0</v>
      </c>
    </row>
    <row r="93" spans="6:50" x14ac:dyDescent="0.25">
      <c r="F93" s="56">
        <v>0.75</v>
      </c>
      <c r="G93" s="262">
        <v>0.77083333333333337</v>
      </c>
      <c r="H93" s="254">
        <f t="shared" si="17"/>
        <v>0</v>
      </c>
      <c r="I93" s="255">
        <f t="shared" si="17"/>
        <v>0</v>
      </c>
      <c r="J93" s="255">
        <f t="shared" si="17"/>
        <v>0</v>
      </c>
      <c r="K93" s="255">
        <f t="shared" si="17"/>
        <v>0</v>
      </c>
      <c r="L93" s="255">
        <f t="shared" si="17"/>
        <v>0</v>
      </c>
      <c r="M93" s="255">
        <f t="shared" si="17"/>
        <v>0</v>
      </c>
      <c r="N93" s="255">
        <f t="shared" si="17"/>
        <v>0</v>
      </c>
      <c r="O93" s="255">
        <f t="shared" si="17"/>
        <v>0</v>
      </c>
      <c r="P93" s="255">
        <f t="shared" si="17"/>
        <v>0</v>
      </c>
      <c r="Q93" s="255">
        <f t="shared" si="17"/>
        <v>0</v>
      </c>
      <c r="R93" s="255">
        <f t="shared" si="17"/>
        <v>0</v>
      </c>
      <c r="S93" s="255">
        <f t="shared" si="17"/>
        <v>0</v>
      </c>
      <c r="T93" s="255">
        <f t="shared" si="17"/>
        <v>0</v>
      </c>
      <c r="U93" s="255">
        <f t="shared" ref="U93:AA100" si="19">U$1*U38</f>
        <v>3</v>
      </c>
      <c r="V93" s="255">
        <f t="shared" si="19"/>
        <v>0</v>
      </c>
      <c r="W93" s="255">
        <f t="shared" si="19"/>
        <v>0</v>
      </c>
      <c r="X93" s="255">
        <f t="shared" si="19"/>
        <v>2</v>
      </c>
      <c r="Y93" s="255">
        <f t="shared" si="19"/>
        <v>0</v>
      </c>
      <c r="Z93" s="255">
        <f t="shared" si="19"/>
        <v>1</v>
      </c>
      <c r="AA93" s="255">
        <f t="shared" si="19"/>
        <v>4</v>
      </c>
      <c r="AB93" s="255">
        <f t="shared" si="17"/>
        <v>0</v>
      </c>
      <c r="AC93" s="255">
        <f t="shared" si="17"/>
        <v>0</v>
      </c>
      <c r="AD93" s="255">
        <f t="shared" si="17"/>
        <v>0</v>
      </c>
      <c r="AE93" s="255">
        <f t="shared" ref="I93:AX100" si="20">AE$1*AE38</f>
        <v>0</v>
      </c>
      <c r="AF93" s="255">
        <f t="shared" si="20"/>
        <v>0</v>
      </c>
      <c r="AG93" s="255">
        <f t="shared" si="20"/>
        <v>0</v>
      </c>
      <c r="AH93" s="255">
        <f t="shared" si="20"/>
        <v>0</v>
      </c>
      <c r="AI93" s="255">
        <f t="shared" si="20"/>
        <v>0</v>
      </c>
      <c r="AJ93" s="255">
        <f t="shared" si="20"/>
        <v>0</v>
      </c>
      <c r="AK93" s="255">
        <f t="shared" si="20"/>
        <v>0</v>
      </c>
      <c r="AL93" s="255">
        <f t="shared" si="20"/>
        <v>0</v>
      </c>
      <c r="AM93" s="255">
        <f t="shared" si="20"/>
        <v>0</v>
      </c>
      <c r="AN93" s="255">
        <f t="shared" si="20"/>
        <v>0</v>
      </c>
      <c r="AO93" s="255">
        <f t="shared" si="20"/>
        <v>0</v>
      </c>
      <c r="AP93" s="255">
        <f t="shared" si="20"/>
        <v>0</v>
      </c>
      <c r="AQ93" s="255">
        <f t="shared" si="20"/>
        <v>0</v>
      </c>
      <c r="AR93" s="255">
        <f t="shared" si="20"/>
        <v>0</v>
      </c>
      <c r="AS93" s="255">
        <f t="shared" si="20"/>
        <v>0</v>
      </c>
      <c r="AT93" s="255">
        <f t="shared" si="20"/>
        <v>0</v>
      </c>
      <c r="AU93" s="255">
        <f t="shared" si="20"/>
        <v>0</v>
      </c>
      <c r="AV93" s="255">
        <f t="shared" si="20"/>
        <v>0</v>
      </c>
      <c r="AW93" s="255">
        <f t="shared" si="20"/>
        <v>0</v>
      </c>
      <c r="AX93" s="256">
        <f t="shared" si="20"/>
        <v>0</v>
      </c>
    </row>
    <row r="94" spans="6:50" x14ac:dyDescent="0.25">
      <c r="F94" s="56">
        <v>0.77083333333333337</v>
      </c>
      <c r="G94" s="262">
        <v>0.79166666666666663</v>
      </c>
      <c r="H94" s="254">
        <f t="shared" si="17"/>
        <v>0</v>
      </c>
      <c r="I94" s="255">
        <f t="shared" si="20"/>
        <v>0</v>
      </c>
      <c r="J94" s="255">
        <f t="shared" si="20"/>
        <v>0</v>
      </c>
      <c r="K94" s="255">
        <f t="shared" si="20"/>
        <v>0</v>
      </c>
      <c r="L94" s="255">
        <f t="shared" si="20"/>
        <v>0</v>
      </c>
      <c r="M94" s="255">
        <f t="shared" si="20"/>
        <v>0</v>
      </c>
      <c r="N94" s="255">
        <f t="shared" si="20"/>
        <v>0</v>
      </c>
      <c r="O94" s="255">
        <f t="shared" si="20"/>
        <v>0</v>
      </c>
      <c r="P94" s="255">
        <f t="shared" si="20"/>
        <v>0</v>
      </c>
      <c r="Q94" s="255">
        <f t="shared" si="20"/>
        <v>0</v>
      </c>
      <c r="R94" s="255">
        <f t="shared" si="20"/>
        <v>0</v>
      </c>
      <c r="S94" s="255">
        <f t="shared" si="20"/>
        <v>0</v>
      </c>
      <c r="T94" s="255">
        <f t="shared" si="20"/>
        <v>0</v>
      </c>
      <c r="U94" s="255">
        <f t="shared" si="19"/>
        <v>3</v>
      </c>
      <c r="V94" s="255">
        <f t="shared" si="19"/>
        <v>0</v>
      </c>
      <c r="W94" s="255">
        <f t="shared" si="19"/>
        <v>0</v>
      </c>
      <c r="X94" s="255">
        <f t="shared" si="19"/>
        <v>2</v>
      </c>
      <c r="Y94" s="255">
        <f t="shared" si="19"/>
        <v>0</v>
      </c>
      <c r="Z94" s="255">
        <f t="shared" si="19"/>
        <v>1</v>
      </c>
      <c r="AA94" s="255">
        <f t="shared" si="19"/>
        <v>4</v>
      </c>
      <c r="AB94" s="255">
        <f t="shared" si="20"/>
        <v>0</v>
      </c>
      <c r="AC94" s="255">
        <f t="shared" si="20"/>
        <v>0</v>
      </c>
      <c r="AD94" s="255">
        <f t="shared" si="20"/>
        <v>0</v>
      </c>
      <c r="AE94" s="255">
        <f t="shared" si="20"/>
        <v>0</v>
      </c>
      <c r="AF94" s="255">
        <f t="shared" si="20"/>
        <v>0</v>
      </c>
      <c r="AG94" s="255">
        <f t="shared" si="20"/>
        <v>0</v>
      </c>
      <c r="AH94" s="255">
        <f t="shared" si="20"/>
        <v>0</v>
      </c>
      <c r="AI94" s="255">
        <f t="shared" si="20"/>
        <v>0</v>
      </c>
      <c r="AJ94" s="255">
        <f t="shared" si="20"/>
        <v>0</v>
      </c>
      <c r="AK94" s="255">
        <f t="shared" si="20"/>
        <v>0</v>
      </c>
      <c r="AL94" s="255">
        <f t="shared" si="20"/>
        <v>0</v>
      </c>
      <c r="AM94" s="255">
        <f t="shared" si="20"/>
        <v>0</v>
      </c>
      <c r="AN94" s="255">
        <f t="shared" si="20"/>
        <v>0</v>
      </c>
      <c r="AO94" s="255">
        <f t="shared" si="20"/>
        <v>0</v>
      </c>
      <c r="AP94" s="255">
        <f t="shared" si="20"/>
        <v>0</v>
      </c>
      <c r="AQ94" s="255">
        <f t="shared" si="20"/>
        <v>0</v>
      </c>
      <c r="AR94" s="255">
        <f t="shared" si="20"/>
        <v>0</v>
      </c>
      <c r="AS94" s="255">
        <f t="shared" si="20"/>
        <v>0</v>
      </c>
      <c r="AT94" s="255">
        <f t="shared" si="20"/>
        <v>0</v>
      </c>
      <c r="AU94" s="255">
        <f t="shared" si="20"/>
        <v>0</v>
      </c>
      <c r="AV94" s="255">
        <f t="shared" si="20"/>
        <v>0</v>
      </c>
      <c r="AW94" s="255">
        <f t="shared" si="20"/>
        <v>0</v>
      </c>
      <c r="AX94" s="256">
        <f t="shared" si="20"/>
        <v>0</v>
      </c>
    </row>
    <row r="95" spans="6:50" x14ac:dyDescent="0.25">
      <c r="F95" s="56">
        <v>0.79166666666666663</v>
      </c>
      <c r="G95" s="262">
        <v>0.8125</v>
      </c>
      <c r="H95" s="254">
        <f t="shared" si="17"/>
        <v>0</v>
      </c>
      <c r="I95" s="255">
        <f t="shared" si="20"/>
        <v>0</v>
      </c>
      <c r="J95" s="255">
        <f t="shared" si="20"/>
        <v>0</v>
      </c>
      <c r="K95" s="255">
        <f t="shared" si="20"/>
        <v>0</v>
      </c>
      <c r="L95" s="255">
        <f t="shared" si="20"/>
        <v>0</v>
      </c>
      <c r="M95" s="255">
        <f t="shared" si="20"/>
        <v>0</v>
      </c>
      <c r="N95" s="255">
        <f t="shared" si="20"/>
        <v>0</v>
      </c>
      <c r="O95" s="255">
        <f t="shared" si="20"/>
        <v>0</v>
      </c>
      <c r="P95" s="255">
        <f t="shared" si="20"/>
        <v>0</v>
      </c>
      <c r="Q95" s="255">
        <f t="shared" si="20"/>
        <v>0</v>
      </c>
      <c r="R95" s="255">
        <f t="shared" si="20"/>
        <v>0</v>
      </c>
      <c r="S95" s="255">
        <f t="shared" si="20"/>
        <v>0</v>
      </c>
      <c r="T95" s="255">
        <f t="shared" si="20"/>
        <v>0</v>
      </c>
      <c r="U95" s="255">
        <f t="shared" si="19"/>
        <v>0</v>
      </c>
      <c r="V95" s="255">
        <f t="shared" si="19"/>
        <v>0</v>
      </c>
      <c r="W95" s="255">
        <f t="shared" si="19"/>
        <v>0</v>
      </c>
      <c r="X95" s="255">
        <f t="shared" si="19"/>
        <v>2</v>
      </c>
      <c r="Y95" s="255">
        <f t="shared" si="19"/>
        <v>0</v>
      </c>
      <c r="Z95" s="255">
        <f t="shared" si="19"/>
        <v>1</v>
      </c>
      <c r="AA95" s="255">
        <f t="shared" si="19"/>
        <v>4</v>
      </c>
      <c r="AB95" s="255">
        <f t="shared" si="20"/>
        <v>0</v>
      </c>
      <c r="AC95" s="255">
        <f t="shared" si="20"/>
        <v>0</v>
      </c>
      <c r="AD95" s="255">
        <f t="shared" si="20"/>
        <v>0</v>
      </c>
      <c r="AE95" s="255">
        <f t="shared" si="20"/>
        <v>0</v>
      </c>
      <c r="AF95" s="255">
        <f t="shared" si="20"/>
        <v>0</v>
      </c>
      <c r="AG95" s="255">
        <f t="shared" si="20"/>
        <v>0</v>
      </c>
      <c r="AH95" s="255">
        <f t="shared" si="20"/>
        <v>0</v>
      </c>
      <c r="AI95" s="255">
        <f t="shared" si="20"/>
        <v>0</v>
      </c>
      <c r="AJ95" s="255">
        <f t="shared" si="20"/>
        <v>0</v>
      </c>
      <c r="AK95" s="255">
        <f t="shared" si="20"/>
        <v>0</v>
      </c>
      <c r="AL95" s="255">
        <f t="shared" si="20"/>
        <v>0</v>
      </c>
      <c r="AM95" s="255">
        <f t="shared" si="20"/>
        <v>0</v>
      </c>
      <c r="AN95" s="255">
        <f t="shared" si="20"/>
        <v>0</v>
      </c>
      <c r="AO95" s="255">
        <f t="shared" si="20"/>
        <v>0</v>
      </c>
      <c r="AP95" s="255">
        <f t="shared" si="20"/>
        <v>0</v>
      </c>
      <c r="AQ95" s="255">
        <f t="shared" si="20"/>
        <v>0</v>
      </c>
      <c r="AR95" s="255">
        <f t="shared" si="20"/>
        <v>0</v>
      </c>
      <c r="AS95" s="255">
        <f t="shared" si="20"/>
        <v>0</v>
      </c>
      <c r="AT95" s="255">
        <f t="shared" si="20"/>
        <v>0</v>
      </c>
      <c r="AU95" s="255">
        <f t="shared" si="20"/>
        <v>0</v>
      </c>
      <c r="AV95" s="255">
        <f t="shared" si="20"/>
        <v>0</v>
      </c>
      <c r="AW95" s="255">
        <f t="shared" si="20"/>
        <v>0</v>
      </c>
      <c r="AX95" s="256">
        <f t="shared" si="20"/>
        <v>0</v>
      </c>
    </row>
    <row r="96" spans="6:50" x14ac:dyDescent="0.25">
      <c r="F96" s="56">
        <v>0.8125</v>
      </c>
      <c r="G96" s="262">
        <v>0.83333333333333337</v>
      </c>
      <c r="H96" s="254">
        <f t="shared" si="17"/>
        <v>0</v>
      </c>
      <c r="I96" s="255">
        <f t="shared" si="20"/>
        <v>0</v>
      </c>
      <c r="J96" s="255">
        <f t="shared" si="20"/>
        <v>0</v>
      </c>
      <c r="K96" s="255">
        <f t="shared" si="20"/>
        <v>0</v>
      </c>
      <c r="L96" s="255">
        <f t="shared" si="20"/>
        <v>0</v>
      </c>
      <c r="M96" s="255">
        <f t="shared" si="20"/>
        <v>0</v>
      </c>
      <c r="N96" s="255">
        <f t="shared" si="20"/>
        <v>0</v>
      </c>
      <c r="O96" s="255">
        <f t="shared" si="20"/>
        <v>0</v>
      </c>
      <c r="P96" s="255">
        <f t="shared" si="20"/>
        <v>0</v>
      </c>
      <c r="Q96" s="255">
        <f t="shared" si="20"/>
        <v>0</v>
      </c>
      <c r="R96" s="255">
        <f t="shared" si="20"/>
        <v>0</v>
      </c>
      <c r="S96" s="255">
        <f t="shared" si="20"/>
        <v>0</v>
      </c>
      <c r="T96" s="255">
        <f t="shared" si="20"/>
        <v>0</v>
      </c>
      <c r="U96" s="255">
        <f t="shared" si="19"/>
        <v>0</v>
      </c>
      <c r="V96" s="255">
        <f t="shared" si="19"/>
        <v>0</v>
      </c>
      <c r="W96" s="255">
        <f t="shared" si="19"/>
        <v>0</v>
      </c>
      <c r="X96" s="255">
        <f t="shared" si="19"/>
        <v>2</v>
      </c>
      <c r="Y96" s="255">
        <f t="shared" si="19"/>
        <v>0</v>
      </c>
      <c r="Z96" s="255">
        <f t="shared" si="19"/>
        <v>1</v>
      </c>
      <c r="AA96" s="255">
        <f t="shared" si="19"/>
        <v>4</v>
      </c>
      <c r="AB96" s="255">
        <f t="shared" si="20"/>
        <v>0</v>
      </c>
      <c r="AC96" s="255">
        <f t="shared" si="20"/>
        <v>0</v>
      </c>
      <c r="AD96" s="255">
        <f t="shared" si="20"/>
        <v>0</v>
      </c>
      <c r="AE96" s="255">
        <f t="shared" si="20"/>
        <v>0</v>
      </c>
      <c r="AF96" s="255">
        <f t="shared" si="20"/>
        <v>0</v>
      </c>
      <c r="AG96" s="255">
        <f t="shared" si="20"/>
        <v>0</v>
      </c>
      <c r="AH96" s="255">
        <f t="shared" si="20"/>
        <v>0</v>
      </c>
      <c r="AI96" s="255">
        <f t="shared" si="20"/>
        <v>0</v>
      </c>
      <c r="AJ96" s="255">
        <f t="shared" si="20"/>
        <v>0</v>
      </c>
      <c r="AK96" s="255">
        <f t="shared" si="20"/>
        <v>0</v>
      </c>
      <c r="AL96" s="255">
        <f t="shared" si="20"/>
        <v>0</v>
      </c>
      <c r="AM96" s="255">
        <f t="shared" si="20"/>
        <v>0</v>
      </c>
      <c r="AN96" s="255">
        <f t="shared" si="20"/>
        <v>0</v>
      </c>
      <c r="AO96" s="255">
        <f t="shared" si="20"/>
        <v>0</v>
      </c>
      <c r="AP96" s="255">
        <f t="shared" si="20"/>
        <v>0</v>
      </c>
      <c r="AQ96" s="255">
        <f t="shared" si="20"/>
        <v>0</v>
      </c>
      <c r="AR96" s="255">
        <f t="shared" si="20"/>
        <v>0</v>
      </c>
      <c r="AS96" s="255">
        <f t="shared" si="20"/>
        <v>0</v>
      </c>
      <c r="AT96" s="255">
        <f t="shared" si="20"/>
        <v>0</v>
      </c>
      <c r="AU96" s="255">
        <f t="shared" si="20"/>
        <v>0</v>
      </c>
      <c r="AV96" s="255">
        <f t="shared" si="20"/>
        <v>0</v>
      </c>
      <c r="AW96" s="255">
        <f t="shared" si="20"/>
        <v>0</v>
      </c>
      <c r="AX96" s="256">
        <f t="shared" si="20"/>
        <v>0</v>
      </c>
    </row>
    <row r="97" spans="6:50" x14ac:dyDescent="0.25">
      <c r="F97" s="56">
        <v>0.83333333333333337</v>
      </c>
      <c r="G97" s="262">
        <v>0.85416666666666663</v>
      </c>
      <c r="H97" s="254">
        <f t="shared" si="17"/>
        <v>0</v>
      </c>
      <c r="I97" s="255">
        <f t="shared" si="20"/>
        <v>0</v>
      </c>
      <c r="J97" s="255">
        <f t="shared" si="20"/>
        <v>0</v>
      </c>
      <c r="K97" s="255">
        <f t="shared" si="20"/>
        <v>0</v>
      </c>
      <c r="L97" s="255">
        <f t="shared" si="20"/>
        <v>0</v>
      </c>
      <c r="M97" s="255">
        <f t="shared" si="20"/>
        <v>0</v>
      </c>
      <c r="N97" s="255">
        <f t="shared" si="20"/>
        <v>0</v>
      </c>
      <c r="O97" s="255">
        <f t="shared" si="20"/>
        <v>0</v>
      </c>
      <c r="P97" s="255">
        <f t="shared" si="20"/>
        <v>0</v>
      </c>
      <c r="Q97" s="255">
        <f t="shared" si="20"/>
        <v>0</v>
      </c>
      <c r="R97" s="255">
        <f t="shared" si="20"/>
        <v>0</v>
      </c>
      <c r="S97" s="255">
        <f t="shared" si="20"/>
        <v>0</v>
      </c>
      <c r="T97" s="255">
        <f t="shared" si="20"/>
        <v>0</v>
      </c>
      <c r="U97" s="255">
        <f t="shared" si="19"/>
        <v>0</v>
      </c>
      <c r="V97" s="255">
        <f t="shared" si="19"/>
        <v>0</v>
      </c>
      <c r="W97" s="255">
        <f t="shared" si="19"/>
        <v>0</v>
      </c>
      <c r="X97" s="255">
        <f t="shared" si="19"/>
        <v>2</v>
      </c>
      <c r="Y97" s="255">
        <f t="shared" si="19"/>
        <v>0</v>
      </c>
      <c r="Z97" s="255">
        <f t="shared" si="19"/>
        <v>1</v>
      </c>
      <c r="AA97" s="255">
        <f t="shared" si="19"/>
        <v>4</v>
      </c>
      <c r="AB97" s="255">
        <f t="shared" si="20"/>
        <v>0</v>
      </c>
      <c r="AC97" s="255">
        <f t="shared" si="20"/>
        <v>0</v>
      </c>
      <c r="AD97" s="255">
        <f t="shared" si="20"/>
        <v>0</v>
      </c>
      <c r="AE97" s="255">
        <f t="shared" si="20"/>
        <v>0</v>
      </c>
      <c r="AF97" s="255">
        <f t="shared" si="20"/>
        <v>0</v>
      </c>
      <c r="AG97" s="255">
        <f t="shared" si="20"/>
        <v>0</v>
      </c>
      <c r="AH97" s="255">
        <f t="shared" si="20"/>
        <v>0</v>
      </c>
      <c r="AI97" s="255">
        <f t="shared" si="20"/>
        <v>0</v>
      </c>
      <c r="AJ97" s="255">
        <f t="shared" si="20"/>
        <v>0</v>
      </c>
      <c r="AK97" s="255">
        <f t="shared" si="20"/>
        <v>0</v>
      </c>
      <c r="AL97" s="255">
        <f t="shared" si="20"/>
        <v>0</v>
      </c>
      <c r="AM97" s="255">
        <f t="shared" si="20"/>
        <v>0</v>
      </c>
      <c r="AN97" s="255">
        <f t="shared" si="20"/>
        <v>0</v>
      </c>
      <c r="AO97" s="255">
        <f t="shared" si="20"/>
        <v>0</v>
      </c>
      <c r="AP97" s="255">
        <f t="shared" si="20"/>
        <v>0</v>
      </c>
      <c r="AQ97" s="255">
        <f t="shared" si="20"/>
        <v>0</v>
      </c>
      <c r="AR97" s="255">
        <f t="shared" si="20"/>
        <v>0</v>
      </c>
      <c r="AS97" s="255">
        <f t="shared" si="20"/>
        <v>0</v>
      </c>
      <c r="AT97" s="255">
        <f t="shared" si="20"/>
        <v>0</v>
      </c>
      <c r="AU97" s="255">
        <f t="shared" si="20"/>
        <v>0</v>
      </c>
      <c r="AV97" s="255">
        <f t="shared" si="20"/>
        <v>0</v>
      </c>
      <c r="AW97" s="255">
        <f t="shared" si="20"/>
        <v>0</v>
      </c>
      <c r="AX97" s="256">
        <f t="shared" si="20"/>
        <v>0</v>
      </c>
    </row>
    <row r="98" spans="6:50" x14ac:dyDescent="0.25">
      <c r="F98" s="56">
        <v>0.85416666666666663</v>
      </c>
      <c r="G98" s="262">
        <v>0.875</v>
      </c>
      <c r="H98" s="254">
        <f t="shared" si="17"/>
        <v>0</v>
      </c>
      <c r="I98" s="255">
        <f t="shared" si="20"/>
        <v>0</v>
      </c>
      <c r="J98" s="255">
        <f t="shared" si="20"/>
        <v>0</v>
      </c>
      <c r="K98" s="255">
        <f t="shared" si="20"/>
        <v>0</v>
      </c>
      <c r="L98" s="255">
        <f t="shared" si="20"/>
        <v>0</v>
      </c>
      <c r="M98" s="255">
        <f t="shared" si="20"/>
        <v>0</v>
      </c>
      <c r="N98" s="255">
        <f t="shared" si="20"/>
        <v>0</v>
      </c>
      <c r="O98" s="255">
        <f t="shared" si="20"/>
        <v>0</v>
      </c>
      <c r="P98" s="255">
        <f t="shared" si="20"/>
        <v>0</v>
      </c>
      <c r="Q98" s="255">
        <f t="shared" si="20"/>
        <v>0</v>
      </c>
      <c r="R98" s="255">
        <f t="shared" si="20"/>
        <v>0</v>
      </c>
      <c r="S98" s="255">
        <f t="shared" si="20"/>
        <v>0</v>
      </c>
      <c r="T98" s="255">
        <f t="shared" si="20"/>
        <v>0</v>
      </c>
      <c r="U98" s="255">
        <f t="shared" si="19"/>
        <v>0</v>
      </c>
      <c r="V98" s="255">
        <f t="shared" si="19"/>
        <v>0</v>
      </c>
      <c r="W98" s="255">
        <f t="shared" si="19"/>
        <v>0</v>
      </c>
      <c r="X98" s="255">
        <f t="shared" si="19"/>
        <v>0</v>
      </c>
      <c r="Y98" s="255">
        <f t="shared" si="19"/>
        <v>0</v>
      </c>
      <c r="Z98" s="255">
        <f t="shared" si="19"/>
        <v>1</v>
      </c>
      <c r="AA98" s="255">
        <f t="shared" si="19"/>
        <v>4</v>
      </c>
      <c r="AB98" s="255">
        <f t="shared" si="20"/>
        <v>0</v>
      </c>
      <c r="AC98" s="255">
        <f t="shared" si="20"/>
        <v>0</v>
      </c>
      <c r="AD98" s="255">
        <f t="shared" si="20"/>
        <v>0</v>
      </c>
      <c r="AE98" s="255">
        <f t="shared" si="20"/>
        <v>0</v>
      </c>
      <c r="AF98" s="255">
        <f t="shared" si="20"/>
        <v>0</v>
      </c>
      <c r="AG98" s="255">
        <f t="shared" si="20"/>
        <v>0</v>
      </c>
      <c r="AH98" s="255">
        <f t="shared" si="20"/>
        <v>0</v>
      </c>
      <c r="AI98" s="255">
        <f t="shared" si="20"/>
        <v>0</v>
      </c>
      <c r="AJ98" s="255">
        <f t="shared" si="20"/>
        <v>0</v>
      </c>
      <c r="AK98" s="255">
        <f t="shared" si="20"/>
        <v>0</v>
      </c>
      <c r="AL98" s="255">
        <f t="shared" si="20"/>
        <v>0</v>
      </c>
      <c r="AM98" s="255">
        <f t="shared" si="20"/>
        <v>0</v>
      </c>
      <c r="AN98" s="255">
        <f t="shared" si="20"/>
        <v>0</v>
      </c>
      <c r="AO98" s="255">
        <f t="shared" si="20"/>
        <v>0</v>
      </c>
      <c r="AP98" s="255">
        <f t="shared" si="20"/>
        <v>0</v>
      </c>
      <c r="AQ98" s="255">
        <f t="shared" si="20"/>
        <v>0</v>
      </c>
      <c r="AR98" s="255">
        <f t="shared" si="20"/>
        <v>0</v>
      </c>
      <c r="AS98" s="255">
        <f t="shared" si="20"/>
        <v>0</v>
      </c>
      <c r="AT98" s="255">
        <f t="shared" si="20"/>
        <v>0</v>
      </c>
      <c r="AU98" s="255">
        <f t="shared" si="20"/>
        <v>0</v>
      </c>
      <c r="AV98" s="255">
        <f t="shared" si="20"/>
        <v>0</v>
      </c>
      <c r="AW98" s="255">
        <f t="shared" si="20"/>
        <v>0</v>
      </c>
      <c r="AX98" s="256">
        <f t="shared" si="20"/>
        <v>0</v>
      </c>
    </row>
    <row r="99" spans="6:50" x14ac:dyDescent="0.25">
      <c r="F99" s="56">
        <v>0.875</v>
      </c>
      <c r="G99" s="262">
        <v>0.89583333333333337</v>
      </c>
      <c r="H99" s="254">
        <f t="shared" si="17"/>
        <v>0</v>
      </c>
      <c r="I99" s="255">
        <f t="shared" si="20"/>
        <v>0</v>
      </c>
      <c r="J99" s="255">
        <f t="shared" si="20"/>
        <v>0</v>
      </c>
      <c r="K99" s="255">
        <f t="shared" si="20"/>
        <v>0</v>
      </c>
      <c r="L99" s="255">
        <f t="shared" si="20"/>
        <v>0</v>
      </c>
      <c r="M99" s="255">
        <f t="shared" si="20"/>
        <v>0</v>
      </c>
      <c r="N99" s="255">
        <f t="shared" si="20"/>
        <v>0</v>
      </c>
      <c r="O99" s="255">
        <f t="shared" si="20"/>
        <v>0</v>
      </c>
      <c r="P99" s="255">
        <f t="shared" si="20"/>
        <v>0</v>
      </c>
      <c r="Q99" s="255">
        <f t="shared" si="20"/>
        <v>0</v>
      </c>
      <c r="R99" s="255">
        <f t="shared" si="20"/>
        <v>0</v>
      </c>
      <c r="S99" s="255">
        <f t="shared" si="20"/>
        <v>0</v>
      </c>
      <c r="T99" s="255">
        <f t="shared" si="20"/>
        <v>0</v>
      </c>
      <c r="U99" s="255">
        <f t="shared" si="19"/>
        <v>0</v>
      </c>
      <c r="V99" s="255">
        <f t="shared" si="19"/>
        <v>0</v>
      </c>
      <c r="W99" s="255">
        <f t="shared" si="19"/>
        <v>0</v>
      </c>
      <c r="X99" s="255">
        <f t="shared" si="19"/>
        <v>0</v>
      </c>
      <c r="Y99" s="255">
        <f t="shared" si="19"/>
        <v>0</v>
      </c>
      <c r="Z99" s="255">
        <f t="shared" si="19"/>
        <v>1</v>
      </c>
      <c r="AA99" s="255">
        <f t="shared" si="19"/>
        <v>4</v>
      </c>
      <c r="AB99" s="255">
        <f t="shared" si="20"/>
        <v>0</v>
      </c>
      <c r="AC99" s="255">
        <f t="shared" si="20"/>
        <v>0</v>
      </c>
      <c r="AD99" s="255">
        <f t="shared" si="20"/>
        <v>0</v>
      </c>
      <c r="AE99" s="255">
        <f t="shared" si="20"/>
        <v>0</v>
      </c>
      <c r="AF99" s="255">
        <f t="shared" si="20"/>
        <v>0</v>
      </c>
      <c r="AG99" s="255">
        <f t="shared" si="20"/>
        <v>0</v>
      </c>
      <c r="AH99" s="255">
        <f t="shared" si="20"/>
        <v>0</v>
      </c>
      <c r="AI99" s="255">
        <f t="shared" si="20"/>
        <v>0</v>
      </c>
      <c r="AJ99" s="255">
        <f t="shared" si="20"/>
        <v>0</v>
      </c>
      <c r="AK99" s="255">
        <f t="shared" si="20"/>
        <v>0</v>
      </c>
      <c r="AL99" s="255">
        <f t="shared" si="20"/>
        <v>0</v>
      </c>
      <c r="AM99" s="255">
        <f t="shared" si="20"/>
        <v>0</v>
      </c>
      <c r="AN99" s="255">
        <f t="shared" si="20"/>
        <v>0</v>
      </c>
      <c r="AO99" s="255">
        <f t="shared" si="20"/>
        <v>0</v>
      </c>
      <c r="AP99" s="255">
        <f t="shared" si="20"/>
        <v>0</v>
      </c>
      <c r="AQ99" s="255">
        <f t="shared" si="20"/>
        <v>0</v>
      </c>
      <c r="AR99" s="255">
        <f t="shared" si="20"/>
        <v>0</v>
      </c>
      <c r="AS99" s="255">
        <f t="shared" si="20"/>
        <v>0</v>
      </c>
      <c r="AT99" s="255">
        <f t="shared" si="20"/>
        <v>0</v>
      </c>
      <c r="AU99" s="255">
        <f t="shared" si="20"/>
        <v>0</v>
      </c>
      <c r="AV99" s="255">
        <f t="shared" si="20"/>
        <v>0</v>
      </c>
      <c r="AW99" s="255">
        <f t="shared" si="20"/>
        <v>0</v>
      </c>
      <c r="AX99" s="256">
        <f t="shared" si="20"/>
        <v>0</v>
      </c>
    </row>
    <row r="100" spans="6:50" x14ac:dyDescent="0.25">
      <c r="F100" s="56">
        <v>0.89583333333333337</v>
      </c>
      <c r="G100" s="262">
        <v>0.91666666666666663</v>
      </c>
      <c r="H100" s="254">
        <f t="shared" si="17"/>
        <v>0</v>
      </c>
      <c r="I100" s="255">
        <f t="shared" si="20"/>
        <v>0</v>
      </c>
      <c r="J100" s="255">
        <f t="shared" si="20"/>
        <v>0</v>
      </c>
      <c r="K100" s="255">
        <f t="shared" si="20"/>
        <v>0</v>
      </c>
      <c r="L100" s="255">
        <f t="shared" si="20"/>
        <v>0</v>
      </c>
      <c r="M100" s="255">
        <f t="shared" si="20"/>
        <v>0</v>
      </c>
      <c r="N100" s="255">
        <f t="shared" si="20"/>
        <v>0</v>
      </c>
      <c r="O100" s="255">
        <f t="shared" si="20"/>
        <v>0</v>
      </c>
      <c r="P100" s="255">
        <f t="shared" si="20"/>
        <v>0</v>
      </c>
      <c r="Q100" s="255">
        <f t="shared" si="20"/>
        <v>0</v>
      </c>
      <c r="R100" s="255">
        <f t="shared" si="20"/>
        <v>0</v>
      </c>
      <c r="S100" s="255">
        <f t="shared" si="20"/>
        <v>0</v>
      </c>
      <c r="T100" s="255">
        <f t="shared" si="20"/>
        <v>0</v>
      </c>
      <c r="U100" s="255">
        <f t="shared" si="19"/>
        <v>0</v>
      </c>
      <c r="V100" s="255">
        <f t="shared" si="19"/>
        <v>0</v>
      </c>
      <c r="W100" s="255">
        <f t="shared" si="19"/>
        <v>0</v>
      </c>
      <c r="X100" s="255">
        <f t="shared" si="19"/>
        <v>0</v>
      </c>
      <c r="Y100" s="255">
        <f t="shared" si="19"/>
        <v>0</v>
      </c>
      <c r="Z100" s="255">
        <f t="shared" si="19"/>
        <v>0</v>
      </c>
      <c r="AA100" s="255">
        <f t="shared" si="19"/>
        <v>4</v>
      </c>
      <c r="AB100" s="255">
        <f t="shared" si="20"/>
        <v>0</v>
      </c>
      <c r="AC100" s="255">
        <f t="shared" si="20"/>
        <v>0</v>
      </c>
      <c r="AD100" s="255">
        <f t="shared" si="20"/>
        <v>0</v>
      </c>
      <c r="AE100" s="255">
        <f t="shared" si="20"/>
        <v>0</v>
      </c>
      <c r="AF100" s="255">
        <f t="shared" si="20"/>
        <v>0</v>
      </c>
      <c r="AG100" s="255">
        <f t="shared" si="20"/>
        <v>0</v>
      </c>
      <c r="AH100" s="255">
        <f t="shared" ref="I100:AX104" si="21">AH$1*AH45</f>
        <v>0</v>
      </c>
      <c r="AI100" s="255">
        <f t="shared" si="21"/>
        <v>0</v>
      </c>
      <c r="AJ100" s="255">
        <f t="shared" si="21"/>
        <v>0</v>
      </c>
      <c r="AK100" s="255">
        <f t="shared" si="21"/>
        <v>0</v>
      </c>
      <c r="AL100" s="255">
        <f t="shared" si="21"/>
        <v>0</v>
      </c>
      <c r="AM100" s="255">
        <f t="shared" si="21"/>
        <v>0</v>
      </c>
      <c r="AN100" s="255">
        <f t="shared" si="21"/>
        <v>0</v>
      </c>
      <c r="AO100" s="255">
        <f t="shared" si="21"/>
        <v>0</v>
      </c>
      <c r="AP100" s="255">
        <f t="shared" si="21"/>
        <v>0</v>
      </c>
      <c r="AQ100" s="255">
        <f t="shared" si="21"/>
        <v>0</v>
      </c>
      <c r="AR100" s="255">
        <f t="shared" si="21"/>
        <v>0</v>
      </c>
      <c r="AS100" s="255">
        <f t="shared" si="21"/>
        <v>0</v>
      </c>
      <c r="AT100" s="255">
        <f t="shared" si="21"/>
        <v>0</v>
      </c>
      <c r="AU100" s="255">
        <f t="shared" si="21"/>
        <v>0</v>
      </c>
      <c r="AV100" s="255">
        <f t="shared" si="21"/>
        <v>0</v>
      </c>
      <c r="AW100" s="255">
        <f t="shared" si="21"/>
        <v>0</v>
      </c>
      <c r="AX100" s="256">
        <f t="shared" si="21"/>
        <v>0</v>
      </c>
    </row>
    <row r="101" spans="6:50" x14ac:dyDescent="0.25">
      <c r="F101" s="56">
        <v>0.91666666666666663</v>
      </c>
      <c r="G101" s="262">
        <v>0.9375</v>
      </c>
      <c r="H101" s="254">
        <f t="shared" si="17"/>
        <v>0</v>
      </c>
      <c r="I101" s="255">
        <f t="shared" si="21"/>
        <v>0</v>
      </c>
      <c r="J101" s="255">
        <f t="shared" si="21"/>
        <v>0</v>
      </c>
      <c r="K101" s="255">
        <f t="shared" si="21"/>
        <v>0</v>
      </c>
      <c r="L101" s="255">
        <f t="shared" si="21"/>
        <v>0</v>
      </c>
      <c r="M101" s="255">
        <f t="shared" si="21"/>
        <v>0</v>
      </c>
      <c r="N101" s="255">
        <f t="shared" si="21"/>
        <v>0</v>
      </c>
      <c r="O101" s="255">
        <f t="shared" si="21"/>
        <v>0</v>
      </c>
      <c r="P101" s="255">
        <f t="shared" si="21"/>
        <v>0</v>
      </c>
      <c r="Q101" s="255">
        <f t="shared" si="21"/>
        <v>0</v>
      </c>
      <c r="R101" s="255">
        <f t="shared" si="21"/>
        <v>0</v>
      </c>
      <c r="S101" s="255">
        <f t="shared" si="21"/>
        <v>0</v>
      </c>
      <c r="T101" s="255">
        <f t="shared" si="21"/>
        <v>0</v>
      </c>
      <c r="U101" s="255">
        <f t="shared" ref="U101:AA101" si="22">U$1*U46</f>
        <v>0</v>
      </c>
      <c r="V101" s="255">
        <f t="shared" si="22"/>
        <v>0</v>
      </c>
      <c r="W101" s="255">
        <f t="shared" si="22"/>
        <v>0</v>
      </c>
      <c r="X101" s="255">
        <f t="shared" si="22"/>
        <v>0</v>
      </c>
      <c r="Y101" s="255">
        <f t="shared" si="22"/>
        <v>0</v>
      </c>
      <c r="Z101" s="255">
        <f t="shared" si="22"/>
        <v>0</v>
      </c>
      <c r="AA101" s="255">
        <f t="shared" si="22"/>
        <v>0</v>
      </c>
      <c r="AB101" s="255">
        <f t="shared" si="21"/>
        <v>0</v>
      </c>
      <c r="AC101" s="255">
        <f t="shared" si="21"/>
        <v>0</v>
      </c>
      <c r="AD101" s="255">
        <f t="shared" si="21"/>
        <v>0</v>
      </c>
      <c r="AE101" s="255">
        <f t="shared" si="21"/>
        <v>0</v>
      </c>
      <c r="AF101" s="255">
        <f t="shared" si="21"/>
        <v>0</v>
      </c>
      <c r="AG101" s="255">
        <f t="shared" si="21"/>
        <v>0</v>
      </c>
      <c r="AH101" s="255">
        <f t="shared" si="21"/>
        <v>0</v>
      </c>
      <c r="AI101" s="255">
        <f t="shared" si="21"/>
        <v>0</v>
      </c>
      <c r="AJ101" s="255">
        <f t="shared" si="21"/>
        <v>0</v>
      </c>
      <c r="AK101" s="255">
        <f t="shared" si="21"/>
        <v>0</v>
      </c>
      <c r="AL101" s="255">
        <f t="shared" si="21"/>
        <v>0</v>
      </c>
      <c r="AM101" s="255">
        <f t="shared" si="21"/>
        <v>0</v>
      </c>
      <c r="AN101" s="255">
        <f t="shared" si="21"/>
        <v>0</v>
      </c>
      <c r="AO101" s="255">
        <f t="shared" si="21"/>
        <v>0</v>
      </c>
      <c r="AP101" s="255">
        <f t="shared" si="21"/>
        <v>0</v>
      </c>
      <c r="AQ101" s="255">
        <f t="shared" si="21"/>
        <v>0</v>
      </c>
      <c r="AR101" s="255">
        <f t="shared" si="21"/>
        <v>0</v>
      </c>
      <c r="AS101" s="255">
        <f t="shared" si="21"/>
        <v>0</v>
      </c>
      <c r="AT101" s="255">
        <f t="shared" si="21"/>
        <v>0</v>
      </c>
      <c r="AU101" s="255">
        <f t="shared" si="21"/>
        <v>0</v>
      </c>
      <c r="AV101" s="255">
        <f t="shared" si="21"/>
        <v>0</v>
      </c>
      <c r="AW101" s="255">
        <f t="shared" si="21"/>
        <v>0</v>
      </c>
      <c r="AX101" s="256">
        <f t="shared" si="21"/>
        <v>0</v>
      </c>
    </row>
    <row r="102" spans="6:50" x14ac:dyDescent="0.25">
      <c r="F102" s="56">
        <v>0.9375</v>
      </c>
      <c r="G102" s="262">
        <v>0.95833333333333337</v>
      </c>
      <c r="H102" s="254">
        <f t="shared" si="17"/>
        <v>0</v>
      </c>
      <c r="I102" s="255">
        <f t="shared" si="21"/>
        <v>0</v>
      </c>
      <c r="J102" s="255">
        <f t="shared" si="21"/>
        <v>0</v>
      </c>
      <c r="K102" s="255">
        <f t="shared" si="21"/>
        <v>0</v>
      </c>
      <c r="L102" s="255">
        <f t="shared" si="21"/>
        <v>0</v>
      </c>
      <c r="M102" s="255">
        <f t="shared" si="21"/>
        <v>0</v>
      </c>
      <c r="N102" s="255">
        <f t="shared" si="21"/>
        <v>0</v>
      </c>
      <c r="O102" s="255">
        <f t="shared" si="21"/>
        <v>0</v>
      </c>
      <c r="P102" s="255">
        <f t="shared" si="21"/>
        <v>0</v>
      </c>
      <c r="Q102" s="255">
        <f t="shared" si="21"/>
        <v>0</v>
      </c>
      <c r="R102" s="255">
        <f t="shared" si="21"/>
        <v>0</v>
      </c>
      <c r="S102" s="255">
        <f t="shared" si="21"/>
        <v>0</v>
      </c>
      <c r="T102" s="255">
        <f t="shared" si="21"/>
        <v>0</v>
      </c>
      <c r="U102" s="255">
        <f t="shared" ref="U102:AA102" si="23">U$1*U47</f>
        <v>0</v>
      </c>
      <c r="V102" s="255">
        <f t="shared" si="23"/>
        <v>0</v>
      </c>
      <c r="W102" s="255">
        <f t="shared" si="23"/>
        <v>0</v>
      </c>
      <c r="X102" s="255">
        <f t="shared" si="23"/>
        <v>0</v>
      </c>
      <c r="Y102" s="255">
        <f t="shared" si="23"/>
        <v>0</v>
      </c>
      <c r="Z102" s="255">
        <f t="shared" si="23"/>
        <v>0</v>
      </c>
      <c r="AA102" s="255">
        <f t="shared" si="23"/>
        <v>0</v>
      </c>
      <c r="AB102" s="255">
        <f t="shared" si="21"/>
        <v>0</v>
      </c>
      <c r="AC102" s="255">
        <f t="shared" si="21"/>
        <v>0</v>
      </c>
      <c r="AD102" s="255">
        <f t="shared" si="21"/>
        <v>0</v>
      </c>
      <c r="AE102" s="255">
        <f t="shared" si="21"/>
        <v>0</v>
      </c>
      <c r="AF102" s="255">
        <f t="shared" si="21"/>
        <v>0</v>
      </c>
      <c r="AG102" s="255">
        <f t="shared" si="21"/>
        <v>0</v>
      </c>
      <c r="AH102" s="255">
        <f t="shared" si="21"/>
        <v>0</v>
      </c>
      <c r="AI102" s="255">
        <f t="shared" si="21"/>
        <v>0</v>
      </c>
      <c r="AJ102" s="255">
        <f t="shared" si="21"/>
        <v>0</v>
      </c>
      <c r="AK102" s="255">
        <f t="shared" si="21"/>
        <v>0</v>
      </c>
      <c r="AL102" s="255">
        <f t="shared" si="21"/>
        <v>0</v>
      </c>
      <c r="AM102" s="255">
        <f t="shared" si="21"/>
        <v>0</v>
      </c>
      <c r="AN102" s="255">
        <f t="shared" si="21"/>
        <v>0</v>
      </c>
      <c r="AO102" s="255">
        <f t="shared" si="21"/>
        <v>0</v>
      </c>
      <c r="AP102" s="255">
        <f t="shared" si="21"/>
        <v>0</v>
      </c>
      <c r="AQ102" s="255">
        <f t="shared" si="21"/>
        <v>0</v>
      </c>
      <c r="AR102" s="255">
        <f t="shared" si="21"/>
        <v>0</v>
      </c>
      <c r="AS102" s="255">
        <f t="shared" si="21"/>
        <v>0</v>
      </c>
      <c r="AT102" s="255">
        <f t="shared" si="21"/>
        <v>0</v>
      </c>
      <c r="AU102" s="255">
        <f t="shared" si="21"/>
        <v>0</v>
      </c>
      <c r="AV102" s="255">
        <f t="shared" si="21"/>
        <v>0</v>
      </c>
      <c r="AW102" s="255">
        <f t="shared" si="21"/>
        <v>0</v>
      </c>
      <c r="AX102" s="256">
        <f t="shared" si="21"/>
        <v>0</v>
      </c>
    </row>
    <row r="103" spans="6:50" x14ac:dyDescent="0.25">
      <c r="F103" s="56">
        <v>0.95833333333333337</v>
      </c>
      <c r="G103" s="262">
        <v>0.97916666666666663</v>
      </c>
      <c r="H103" s="254">
        <f t="shared" si="17"/>
        <v>0</v>
      </c>
      <c r="I103" s="255">
        <f t="shared" si="21"/>
        <v>0</v>
      </c>
      <c r="J103" s="255">
        <f t="shared" si="21"/>
        <v>0</v>
      </c>
      <c r="K103" s="255">
        <f t="shared" si="21"/>
        <v>0</v>
      </c>
      <c r="L103" s="255">
        <f t="shared" si="21"/>
        <v>0</v>
      </c>
      <c r="M103" s="255">
        <f t="shared" si="21"/>
        <v>0</v>
      </c>
      <c r="N103" s="255">
        <f t="shared" si="21"/>
        <v>0</v>
      </c>
      <c r="O103" s="255">
        <f t="shared" si="21"/>
        <v>0</v>
      </c>
      <c r="P103" s="255">
        <f t="shared" si="21"/>
        <v>0</v>
      </c>
      <c r="Q103" s="255">
        <f t="shared" si="21"/>
        <v>0</v>
      </c>
      <c r="R103" s="255">
        <f t="shared" si="21"/>
        <v>0</v>
      </c>
      <c r="S103" s="255">
        <f t="shared" si="21"/>
        <v>0</v>
      </c>
      <c r="T103" s="255">
        <f t="shared" si="21"/>
        <v>0</v>
      </c>
      <c r="U103" s="255">
        <f t="shared" ref="U103:AA103" si="24">U$1*U48</f>
        <v>0</v>
      </c>
      <c r="V103" s="255">
        <f t="shared" si="24"/>
        <v>0</v>
      </c>
      <c r="W103" s="255">
        <f t="shared" si="24"/>
        <v>0</v>
      </c>
      <c r="X103" s="255">
        <f t="shared" si="24"/>
        <v>0</v>
      </c>
      <c r="Y103" s="255">
        <f t="shared" si="24"/>
        <v>0</v>
      </c>
      <c r="Z103" s="255">
        <f t="shared" si="24"/>
        <v>0</v>
      </c>
      <c r="AA103" s="255">
        <f t="shared" si="24"/>
        <v>0</v>
      </c>
      <c r="AB103" s="255">
        <f t="shared" si="21"/>
        <v>0</v>
      </c>
      <c r="AC103" s="255">
        <f t="shared" si="21"/>
        <v>0</v>
      </c>
      <c r="AD103" s="255">
        <f t="shared" si="21"/>
        <v>0</v>
      </c>
      <c r="AE103" s="255">
        <f t="shared" si="21"/>
        <v>0</v>
      </c>
      <c r="AF103" s="255">
        <f t="shared" si="21"/>
        <v>0</v>
      </c>
      <c r="AG103" s="255">
        <f t="shared" si="21"/>
        <v>0</v>
      </c>
      <c r="AH103" s="255">
        <f t="shared" si="21"/>
        <v>0</v>
      </c>
      <c r="AI103" s="255">
        <f t="shared" si="21"/>
        <v>0</v>
      </c>
      <c r="AJ103" s="255">
        <f t="shared" si="21"/>
        <v>0</v>
      </c>
      <c r="AK103" s="255">
        <f t="shared" si="21"/>
        <v>0</v>
      </c>
      <c r="AL103" s="255">
        <f t="shared" si="21"/>
        <v>0</v>
      </c>
      <c r="AM103" s="255">
        <f t="shared" si="21"/>
        <v>0</v>
      </c>
      <c r="AN103" s="255">
        <f t="shared" si="21"/>
        <v>0</v>
      </c>
      <c r="AO103" s="255">
        <f t="shared" si="21"/>
        <v>0</v>
      </c>
      <c r="AP103" s="255">
        <f t="shared" si="21"/>
        <v>0</v>
      </c>
      <c r="AQ103" s="255">
        <f t="shared" si="21"/>
        <v>0</v>
      </c>
      <c r="AR103" s="255">
        <f t="shared" si="21"/>
        <v>0</v>
      </c>
      <c r="AS103" s="255">
        <f t="shared" si="21"/>
        <v>0</v>
      </c>
      <c r="AT103" s="255">
        <f t="shared" si="21"/>
        <v>0</v>
      </c>
      <c r="AU103" s="255">
        <f t="shared" si="21"/>
        <v>0</v>
      </c>
      <c r="AV103" s="255">
        <f t="shared" si="21"/>
        <v>0</v>
      </c>
      <c r="AW103" s="255">
        <f t="shared" si="21"/>
        <v>0</v>
      </c>
      <c r="AX103" s="256">
        <f t="shared" si="21"/>
        <v>0</v>
      </c>
    </row>
    <row r="104" spans="6:50" ht="15.75" thickBot="1" x14ac:dyDescent="0.3">
      <c r="F104" s="58">
        <v>0.97916666666666663</v>
      </c>
      <c r="G104" s="263">
        <v>0</v>
      </c>
      <c r="H104" s="257">
        <f t="shared" si="17"/>
        <v>0</v>
      </c>
      <c r="I104" s="258">
        <f t="shared" si="21"/>
        <v>0</v>
      </c>
      <c r="J104" s="258">
        <f t="shared" si="21"/>
        <v>0</v>
      </c>
      <c r="K104" s="258">
        <f t="shared" si="21"/>
        <v>0</v>
      </c>
      <c r="L104" s="258">
        <f t="shared" si="21"/>
        <v>0</v>
      </c>
      <c r="M104" s="258">
        <f t="shared" si="21"/>
        <v>0</v>
      </c>
      <c r="N104" s="258">
        <f t="shared" si="21"/>
        <v>0</v>
      </c>
      <c r="O104" s="258">
        <f t="shared" si="21"/>
        <v>0</v>
      </c>
      <c r="P104" s="258">
        <f t="shared" si="21"/>
        <v>0</v>
      </c>
      <c r="Q104" s="258">
        <f t="shared" si="21"/>
        <v>0</v>
      </c>
      <c r="R104" s="258">
        <f t="shared" si="21"/>
        <v>0</v>
      </c>
      <c r="S104" s="258">
        <f t="shared" si="21"/>
        <v>0</v>
      </c>
      <c r="T104" s="258">
        <f t="shared" si="21"/>
        <v>0</v>
      </c>
      <c r="U104" s="258">
        <f t="shared" ref="U104:AA104" si="25">U$1*U49</f>
        <v>0</v>
      </c>
      <c r="V104" s="258">
        <f t="shared" si="25"/>
        <v>0</v>
      </c>
      <c r="W104" s="258">
        <f t="shared" si="25"/>
        <v>0</v>
      </c>
      <c r="X104" s="258">
        <f t="shared" si="25"/>
        <v>0</v>
      </c>
      <c r="Y104" s="258">
        <f t="shared" si="25"/>
        <v>0</v>
      </c>
      <c r="Z104" s="258">
        <f t="shared" si="25"/>
        <v>0</v>
      </c>
      <c r="AA104" s="258">
        <f t="shared" si="25"/>
        <v>0</v>
      </c>
      <c r="AB104" s="258">
        <f t="shared" si="21"/>
        <v>0</v>
      </c>
      <c r="AC104" s="258">
        <f t="shared" si="21"/>
        <v>0</v>
      </c>
      <c r="AD104" s="258">
        <f t="shared" si="21"/>
        <v>0</v>
      </c>
      <c r="AE104" s="258">
        <f t="shared" si="21"/>
        <v>0</v>
      </c>
      <c r="AF104" s="258">
        <f t="shared" si="21"/>
        <v>0</v>
      </c>
      <c r="AG104" s="258">
        <f t="shared" si="21"/>
        <v>0</v>
      </c>
      <c r="AH104" s="258">
        <f t="shared" si="21"/>
        <v>0</v>
      </c>
      <c r="AI104" s="258">
        <f t="shared" si="21"/>
        <v>0</v>
      </c>
      <c r="AJ104" s="258">
        <f t="shared" si="21"/>
        <v>0</v>
      </c>
      <c r="AK104" s="258">
        <f t="shared" si="21"/>
        <v>0</v>
      </c>
      <c r="AL104" s="258">
        <f t="shared" si="21"/>
        <v>0</v>
      </c>
      <c r="AM104" s="258">
        <f t="shared" si="21"/>
        <v>0</v>
      </c>
      <c r="AN104" s="258">
        <f t="shared" si="21"/>
        <v>0</v>
      </c>
      <c r="AO104" s="258">
        <f t="shared" si="21"/>
        <v>0</v>
      </c>
      <c r="AP104" s="258">
        <f t="shared" si="21"/>
        <v>0</v>
      </c>
      <c r="AQ104" s="258">
        <f t="shared" si="21"/>
        <v>0</v>
      </c>
      <c r="AR104" s="258">
        <f t="shared" si="21"/>
        <v>0</v>
      </c>
      <c r="AS104" s="258">
        <f t="shared" si="21"/>
        <v>0</v>
      </c>
      <c r="AT104" s="258">
        <f t="shared" si="21"/>
        <v>0</v>
      </c>
      <c r="AU104" s="258">
        <f t="shared" si="21"/>
        <v>0</v>
      </c>
      <c r="AV104" s="258">
        <f t="shared" si="21"/>
        <v>0</v>
      </c>
      <c r="AW104" s="258">
        <f t="shared" si="21"/>
        <v>0</v>
      </c>
      <c r="AX104" s="259">
        <f t="shared" si="21"/>
        <v>0</v>
      </c>
    </row>
  </sheetData>
  <dataValidations count="1">
    <dataValidation type="list" allowBlank="1" showInputMessage="1" showErrorMessage="1" sqref="A1">
      <formula1>"пн,вт,ср,чт,пт,сб,вс"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2"/>
  <sheetViews>
    <sheetView workbookViewId="0">
      <selection activeCell="A3" sqref="A3"/>
    </sheetView>
  </sheetViews>
  <sheetFormatPr defaultRowHeight="15" x14ac:dyDescent="0.25"/>
  <sheetData>
    <row r="1" spans="1:1" x14ac:dyDescent="0.25">
      <c r="A1" t="s">
        <v>25</v>
      </c>
    </row>
    <row r="2" spans="1:1" x14ac:dyDescent="0.25">
      <c r="A2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S357"/>
  <sheetViews>
    <sheetView topLeftCell="A306" zoomScale="55" zoomScaleNormal="55" workbookViewId="0">
      <selection activeCell="J353" sqref="J353"/>
    </sheetView>
  </sheetViews>
  <sheetFormatPr defaultRowHeight="15" x14ac:dyDescent="0.25"/>
  <sheetData>
    <row r="1" spans="1:45" s="23" customFormat="1" ht="24" thickBot="1" x14ac:dyDescent="0.3">
      <c r="A1" s="356" t="s">
        <v>60</v>
      </c>
      <c r="B1" s="357"/>
      <c r="C1" s="357"/>
      <c r="D1" s="357"/>
      <c r="E1" s="357"/>
      <c r="F1" s="357"/>
      <c r="G1" s="357"/>
      <c r="H1" s="357"/>
      <c r="I1" s="357"/>
      <c r="J1" s="357"/>
      <c r="K1" s="357"/>
      <c r="L1" s="357"/>
      <c r="M1" s="357"/>
      <c r="N1" s="357"/>
      <c r="O1" s="357"/>
      <c r="P1" s="357"/>
      <c r="Q1" s="357"/>
      <c r="R1" s="357"/>
      <c r="S1" s="357"/>
      <c r="T1" s="357"/>
      <c r="U1" s="357"/>
      <c r="V1" s="357"/>
      <c r="W1" s="357"/>
      <c r="X1" s="357"/>
      <c r="Y1" s="357"/>
      <c r="Z1" s="357"/>
      <c r="AA1" s="357"/>
      <c r="AB1" s="357"/>
      <c r="AC1" s="357"/>
      <c r="AD1" s="357"/>
      <c r="AE1" s="357"/>
      <c r="AF1" s="357"/>
      <c r="AG1" s="357"/>
      <c r="AH1" s="357"/>
      <c r="AI1" s="357"/>
      <c r="AJ1" s="357"/>
      <c r="AK1" s="357"/>
      <c r="AL1" s="357"/>
      <c r="AM1" s="357"/>
      <c r="AN1" s="357"/>
      <c r="AO1" s="357"/>
      <c r="AP1" s="357"/>
      <c r="AQ1" s="357"/>
      <c r="AR1" s="357"/>
    </row>
    <row r="2" spans="1:45" s="23" customFormat="1" x14ac:dyDescent="0.25">
      <c r="A2" s="349" t="s">
        <v>56</v>
      </c>
      <c r="B2" s="350"/>
      <c r="C2" s="353" t="s">
        <v>57</v>
      </c>
      <c r="D2" s="354"/>
      <c r="E2" s="354"/>
      <c r="F2" s="354"/>
      <c r="G2" s="354"/>
      <c r="H2" s="354"/>
      <c r="I2" s="354"/>
      <c r="J2" s="354"/>
      <c r="K2" s="354"/>
      <c r="L2" s="354"/>
      <c r="M2" s="354"/>
      <c r="N2" s="354"/>
      <c r="O2" s="355"/>
      <c r="P2" s="353" t="s">
        <v>58</v>
      </c>
      <c r="Q2" s="354"/>
      <c r="R2" s="354"/>
      <c r="S2" s="354"/>
      <c r="T2" s="354"/>
      <c r="U2" s="354"/>
      <c r="V2" s="355"/>
      <c r="W2" s="353" t="s">
        <v>59</v>
      </c>
      <c r="X2" s="354"/>
      <c r="Y2" s="354"/>
      <c r="Z2" s="354"/>
      <c r="AA2" s="354"/>
      <c r="AB2" s="354"/>
      <c r="AC2" s="354"/>
      <c r="AD2" s="354"/>
      <c r="AE2" s="354"/>
      <c r="AF2" s="354"/>
      <c r="AG2" s="354"/>
      <c r="AH2" s="354"/>
      <c r="AI2" s="354"/>
      <c r="AJ2" s="354"/>
      <c r="AK2" s="354"/>
      <c r="AL2" s="354"/>
      <c r="AM2" s="354"/>
      <c r="AN2" s="354"/>
      <c r="AO2" s="354"/>
      <c r="AP2" s="354"/>
      <c r="AQ2" s="354"/>
      <c r="AR2" s="355"/>
    </row>
    <row r="3" spans="1:45" ht="15.75" thickBot="1" x14ac:dyDescent="0.3">
      <c r="A3" s="351"/>
      <c r="B3" s="352"/>
      <c r="C3" s="69">
        <f>MAX(C4:C51)</f>
        <v>0</v>
      </c>
      <c r="D3" s="70">
        <f t="shared" ref="D3:AR3" si="0">MAX(D4:D51)</f>
        <v>0</v>
      </c>
      <c r="E3" s="70">
        <f t="shared" si="0"/>
        <v>0</v>
      </c>
      <c r="F3" s="70">
        <f t="shared" si="0"/>
        <v>0</v>
      </c>
      <c r="G3" s="70">
        <f t="shared" si="0"/>
        <v>0</v>
      </c>
      <c r="H3" s="70">
        <f t="shared" si="0"/>
        <v>0</v>
      </c>
      <c r="I3" s="70">
        <f t="shared" si="0"/>
        <v>0</v>
      </c>
      <c r="J3" s="70">
        <f t="shared" si="0"/>
        <v>0</v>
      </c>
      <c r="K3" s="70">
        <f t="shared" si="0"/>
        <v>0</v>
      </c>
      <c r="L3" s="70">
        <f t="shared" si="0"/>
        <v>0</v>
      </c>
      <c r="M3" s="70">
        <f t="shared" si="0"/>
        <v>0</v>
      </c>
      <c r="N3" s="70">
        <f t="shared" si="0"/>
        <v>0</v>
      </c>
      <c r="O3" s="73">
        <f t="shared" si="0"/>
        <v>0</v>
      </c>
      <c r="P3" s="74">
        <f t="shared" si="0"/>
        <v>0</v>
      </c>
      <c r="Q3" s="71">
        <f t="shared" si="0"/>
        <v>0</v>
      </c>
      <c r="R3" s="71">
        <f t="shared" si="0"/>
        <v>0</v>
      </c>
      <c r="S3" s="71">
        <f t="shared" si="0"/>
        <v>0</v>
      </c>
      <c r="T3" s="71">
        <f t="shared" si="0"/>
        <v>0</v>
      </c>
      <c r="U3" s="71">
        <f t="shared" si="0"/>
        <v>0</v>
      </c>
      <c r="V3" s="75">
        <f t="shared" si="0"/>
        <v>0</v>
      </c>
      <c r="W3" s="76">
        <f t="shared" si="0"/>
        <v>0</v>
      </c>
      <c r="X3" s="72">
        <f t="shared" si="0"/>
        <v>0</v>
      </c>
      <c r="Y3" s="72">
        <f t="shared" si="0"/>
        <v>0</v>
      </c>
      <c r="Z3" s="72">
        <f t="shared" si="0"/>
        <v>0</v>
      </c>
      <c r="AA3" s="72">
        <f t="shared" si="0"/>
        <v>0</v>
      </c>
      <c r="AB3" s="72">
        <f t="shared" si="0"/>
        <v>0</v>
      </c>
      <c r="AC3" s="72">
        <f t="shared" si="0"/>
        <v>0</v>
      </c>
      <c r="AD3" s="72">
        <f t="shared" si="0"/>
        <v>0</v>
      </c>
      <c r="AE3" s="72">
        <f t="shared" si="0"/>
        <v>0</v>
      </c>
      <c r="AF3" s="72">
        <f t="shared" si="0"/>
        <v>0</v>
      </c>
      <c r="AG3" s="72">
        <f t="shared" si="0"/>
        <v>0</v>
      </c>
      <c r="AH3" s="72">
        <f t="shared" si="0"/>
        <v>0</v>
      </c>
      <c r="AI3" s="72">
        <f t="shared" si="0"/>
        <v>0</v>
      </c>
      <c r="AJ3" s="72">
        <f t="shared" si="0"/>
        <v>0</v>
      </c>
      <c r="AK3" s="72">
        <f t="shared" si="0"/>
        <v>0</v>
      </c>
      <c r="AL3" s="72">
        <f t="shared" si="0"/>
        <v>0</v>
      </c>
      <c r="AM3" s="72">
        <f t="shared" si="0"/>
        <v>0</v>
      </c>
      <c r="AN3" s="72">
        <f t="shared" si="0"/>
        <v>0</v>
      </c>
      <c r="AO3" s="72">
        <f t="shared" si="0"/>
        <v>0</v>
      </c>
      <c r="AP3" s="72">
        <f t="shared" si="0"/>
        <v>0</v>
      </c>
      <c r="AQ3" s="72">
        <f t="shared" si="0"/>
        <v>0</v>
      </c>
      <c r="AR3" s="77">
        <f t="shared" si="0"/>
        <v>0</v>
      </c>
    </row>
    <row r="4" spans="1:45" x14ac:dyDescent="0.25">
      <c r="A4" s="65">
        <v>0</v>
      </c>
      <c r="B4" s="66">
        <v>2.0833333333333332E-2</v>
      </c>
      <c r="C4" s="67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2"/>
      <c r="P4" s="67"/>
      <c r="Q4" s="68"/>
      <c r="R4" s="68"/>
      <c r="S4" s="68"/>
      <c r="T4" s="68"/>
      <c r="U4" s="68"/>
      <c r="V4" s="62"/>
      <c r="W4" s="67"/>
      <c r="X4" s="68"/>
      <c r="Y4" s="68"/>
      <c r="Z4" s="68"/>
      <c r="AA4" s="68"/>
      <c r="AB4" s="68"/>
      <c r="AC4" s="68"/>
      <c r="AD4" s="68"/>
      <c r="AE4" s="68"/>
      <c r="AF4" s="68"/>
      <c r="AG4" s="68"/>
      <c r="AH4" s="68"/>
      <c r="AI4" s="68"/>
      <c r="AJ4" s="68"/>
      <c r="AK4" s="68"/>
      <c r="AL4" s="68"/>
      <c r="AM4" s="68"/>
      <c r="AN4" s="68"/>
      <c r="AO4" s="68"/>
      <c r="AP4" s="68"/>
      <c r="AQ4" s="68"/>
      <c r="AR4" s="62"/>
      <c r="AS4" s="23"/>
    </row>
    <row r="5" spans="1:45" x14ac:dyDescent="0.25">
      <c r="A5" s="56">
        <v>2.0833333333333332E-2</v>
      </c>
      <c r="B5" s="5">
        <v>4.1666666666666664E-2</v>
      </c>
      <c r="C5" s="63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57"/>
      <c r="P5" s="63"/>
      <c r="Q5" s="2"/>
      <c r="R5" s="2"/>
      <c r="S5" s="2"/>
      <c r="T5" s="2"/>
      <c r="U5" s="2"/>
      <c r="V5" s="57"/>
      <c r="W5" s="63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57"/>
      <c r="AS5" s="23"/>
    </row>
    <row r="6" spans="1:45" x14ac:dyDescent="0.25">
      <c r="A6" s="56">
        <v>4.1666666666666664E-2</v>
      </c>
      <c r="B6" s="5">
        <v>6.25E-2</v>
      </c>
      <c r="C6" s="63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57"/>
      <c r="P6" s="63"/>
      <c r="Q6" s="2"/>
      <c r="R6" s="2"/>
      <c r="S6" s="2"/>
      <c r="T6" s="2"/>
      <c r="U6" s="2"/>
      <c r="V6" s="57"/>
      <c r="W6" s="63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57"/>
      <c r="AS6" s="23"/>
    </row>
    <row r="7" spans="1:45" x14ac:dyDescent="0.25">
      <c r="A7" s="56">
        <v>6.25E-2</v>
      </c>
      <c r="B7" s="5">
        <v>8.3333333333333329E-2</v>
      </c>
      <c r="C7" s="63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57"/>
      <c r="P7" s="63"/>
      <c r="Q7" s="2"/>
      <c r="R7" s="2"/>
      <c r="S7" s="2"/>
      <c r="T7" s="2"/>
      <c r="U7" s="2"/>
      <c r="V7" s="57"/>
      <c r="W7" s="63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57"/>
      <c r="AS7" s="23"/>
    </row>
    <row r="8" spans="1:45" x14ac:dyDescent="0.25">
      <c r="A8" s="56">
        <v>8.3333333333333329E-2</v>
      </c>
      <c r="B8" s="5">
        <v>0.10416666666666667</v>
      </c>
      <c r="C8" s="63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57"/>
      <c r="P8" s="63"/>
      <c r="Q8" s="2"/>
      <c r="R8" s="2"/>
      <c r="S8" s="2"/>
      <c r="T8" s="2"/>
      <c r="U8" s="2"/>
      <c r="V8" s="57"/>
      <c r="W8" s="63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57"/>
      <c r="AS8" s="23"/>
    </row>
    <row r="9" spans="1:45" x14ac:dyDescent="0.25">
      <c r="A9" s="56">
        <v>0.10416666666666667</v>
      </c>
      <c r="B9" s="5">
        <v>0.125</v>
      </c>
      <c r="C9" s="63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57"/>
      <c r="P9" s="63"/>
      <c r="Q9" s="2"/>
      <c r="R9" s="2"/>
      <c r="S9" s="2"/>
      <c r="T9" s="2"/>
      <c r="U9" s="2"/>
      <c r="V9" s="57"/>
      <c r="W9" s="63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57"/>
      <c r="AS9" s="23"/>
    </row>
    <row r="10" spans="1:45" x14ac:dyDescent="0.25">
      <c r="A10" s="56">
        <v>0.125</v>
      </c>
      <c r="B10" s="5">
        <v>0.14583333333333334</v>
      </c>
      <c r="C10" s="63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57"/>
      <c r="P10" s="63"/>
      <c r="Q10" s="2"/>
      <c r="R10" s="2"/>
      <c r="S10" s="2"/>
      <c r="T10" s="2"/>
      <c r="U10" s="2"/>
      <c r="V10" s="57"/>
      <c r="W10" s="63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57"/>
      <c r="AS10" s="23"/>
    </row>
    <row r="11" spans="1:45" x14ac:dyDescent="0.25">
      <c r="A11" s="56">
        <v>0.14583333333333334</v>
      </c>
      <c r="B11" s="5">
        <v>0.16666666666666666</v>
      </c>
      <c r="C11" s="63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57"/>
      <c r="P11" s="63"/>
      <c r="Q11" s="2"/>
      <c r="R11" s="2"/>
      <c r="S11" s="2"/>
      <c r="T11" s="2"/>
      <c r="U11" s="2"/>
      <c r="V11" s="57"/>
      <c r="W11" s="63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57"/>
      <c r="AS11" s="23"/>
    </row>
    <row r="12" spans="1:45" x14ac:dyDescent="0.25">
      <c r="A12" s="56">
        <v>0.16666666666666666</v>
      </c>
      <c r="B12" s="5">
        <v>0.1875</v>
      </c>
      <c r="C12" s="63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57"/>
      <c r="P12" s="63"/>
      <c r="Q12" s="2"/>
      <c r="R12" s="2"/>
      <c r="S12" s="2"/>
      <c r="T12" s="2"/>
      <c r="U12" s="2"/>
      <c r="V12" s="57"/>
      <c r="W12" s="63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57"/>
      <c r="AS12" s="23"/>
    </row>
    <row r="13" spans="1:45" x14ac:dyDescent="0.25">
      <c r="A13" s="56">
        <v>0.1875</v>
      </c>
      <c r="B13" s="5">
        <v>0.20833333333333334</v>
      </c>
      <c r="C13" s="63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57"/>
      <c r="P13" s="63"/>
      <c r="Q13" s="2"/>
      <c r="R13" s="2"/>
      <c r="S13" s="2"/>
      <c r="T13" s="2"/>
      <c r="U13" s="2"/>
      <c r="V13" s="57"/>
      <c r="W13" s="63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57"/>
      <c r="AS13" s="23"/>
    </row>
    <row r="14" spans="1:45" x14ac:dyDescent="0.25">
      <c r="A14" s="56">
        <v>0.20833333333333334</v>
      </c>
      <c r="B14" s="5">
        <v>0.22916666666666666</v>
      </c>
      <c r="C14" s="63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57"/>
      <c r="P14" s="63"/>
      <c r="Q14" s="2"/>
      <c r="R14" s="2"/>
      <c r="S14" s="2"/>
      <c r="T14" s="2"/>
      <c r="U14" s="2"/>
      <c r="V14" s="57"/>
      <c r="W14" s="63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57"/>
      <c r="AS14" s="23"/>
    </row>
    <row r="15" spans="1:45" x14ac:dyDescent="0.25">
      <c r="A15" s="56">
        <v>0.22916666666666666</v>
      </c>
      <c r="B15" s="5">
        <v>0.25</v>
      </c>
      <c r="C15" s="63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57"/>
      <c r="P15" s="63"/>
      <c r="Q15" s="2"/>
      <c r="R15" s="2"/>
      <c r="S15" s="2"/>
      <c r="T15" s="2"/>
      <c r="U15" s="2"/>
      <c r="V15" s="57"/>
      <c r="W15" s="63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57"/>
      <c r="AS15" s="23"/>
    </row>
    <row r="16" spans="1:45" x14ac:dyDescent="0.25">
      <c r="A16" s="56">
        <v>0.25</v>
      </c>
      <c r="B16" s="5">
        <v>0.27083333333333331</v>
      </c>
      <c r="C16" s="63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57"/>
      <c r="P16" s="63"/>
      <c r="Q16" s="2"/>
      <c r="R16" s="2"/>
      <c r="S16" s="2"/>
      <c r="T16" s="2"/>
      <c r="U16" s="2"/>
      <c r="V16" s="57"/>
      <c r="W16" s="63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57"/>
      <c r="AS16" s="23"/>
    </row>
    <row r="17" spans="1:45" x14ac:dyDescent="0.25">
      <c r="A17" s="56">
        <v>0.27083333333333331</v>
      </c>
      <c r="B17" s="5">
        <v>0.29166666666666669</v>
      </c>
      <c r="C17" s="63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57"/>
      <c r="P17" s="63"/>
      <c r="Q17" s="2"/>
      <c r="R17" s="2"/>
      <c r="S17" s="2"/>
      <c r="T17" s="2"/>
      <c r="U17" s="2"/>
      <c r="V17" s="57"/>
      <c r="W17" s="63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57"/>
      <c r="AS17" s="23"/>
    </row>
    <row r="18" spans="1:45" x14ac:dyDescent="0.25">
      <c r="A18" s="56">
        <v>0.29166666666666669</v>
      </c>
      <c r="B18" s="5">
        <v>0.3125</v>
      </c>
      <c r="C18" s="63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57"/>
      <c r="P18" s="63"/>
      <c r="Q18" s="2"/>
      <c r="R18" s="2"/>
      <c r="S18" s="2"/>
      <c r="T18" s="2"/>
      <c r="U18" s="2"/>
      <c r="V18" s="57"/>
      <c r="W18" s="63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57"/>
      <c r="AS18" s="23"/>
    </row>
    <row r="19" spans="1:45" x14ac:dyDescent="0.25">
      <c r="A19" s="56">
        <v>0.3125</v>
      </c>
      <c r="B19" s="5">
        <v>0.33333333333333331</v>
      </c>
      <c r="C19" s="63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57"/>
      <c r="P19" s="63"/>
      <c r="Q19" s="2"/>
      <c r="R19" s="2"/>
      <c r="S19" s="2"/>
      <c r="T19" s="2"/>
      <c r="U19" s="2"/>
      <c r="V19" s="57"/>
      <c r="W19" s="63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57"/>
      <c r="AS19" s="23"/>
    </row>
    <row r="20" spans="1:45" x14ac:dyDescent="0.25">
      <c r="A20" s="56">
        <v>0.33333333333333331</v>
      </c>
      <c r="B20" s="5">
        <v>0.35416666666666669</v>
      </c>
      <c r="C20" s="63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57"/>
      <c r="P20" s="63"/>
      <c r="Q20" s="2"/>
      <c r="R20" s="2"/>
      <c r="S20" s="2"/>
      <c r="T20" s="2"/>
      <c r="U20" s="2"/>
      <c r="V20" s="57"/>
      <c r="W20" s="63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57"/>
      <c r="AS20" s="23"/>
    </row>
    <row r="21" spans="1:45" x14ac:dyDescent="0.25">
      <c r="A21" s="56">
        <v>0.35416666666666669</v>
      </c>
      <c r="B21" s="5">
        <v>0.375</v>
      </c>
      <c r="C21" s="63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57"/>
      <c r="P21" s="63"/>
      <c r="Q21" s="2"/>
      <c r="R21" s="2"/>
      <c r="S21" s="2"/>
      <c r="T21" s="2"/>
      <c r="U21" s="2"/>
      <c r="V21" s="57"/>
      <c r="W21" s="63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57"/>
      <c r="AS21" s="23"/>
    </row>
    <row r="22" spans="1:45" x14ac:dyDescent="0.25">
      <c r="A22" s="56">
        <v>0.375</v>
      </c>
      <c r="B22" s="5">
        <v>0.39583333333333331</v>
      </c>
      <c r="C22" s="63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57"/>
      <c r="P22" s="63"/>
      <c r="Q22" s="2"/>
      <c r="R22" s="2"/>
      <c r="S22" s="2"/>
      <c r="T22" s="2"/>
      <c r="U22" s="2"/>
      <c r="V22" s="57"/>
      <c r="W22" s="63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57"/>
      <c r="AS22" s="23"/>
    </row>
    <row r="23" spans="1:45" x14ac:dyDescent="0.25">
      <c r="A23" s="56">
        <v>0.39583333333333331</v>
      </c>
      <c r="B23" s="5">
        <v>0.41666666666666669</v>
      </c>
      <c r="C23" s="63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57"/>
      <c r="P23" s="63"/>
      <c r="Q23" s="2"/>
      <c r="R23" s="2"/>
      <c r="S23" s="2"/>
      <c r="T23" s="2"/>
      <c r="U23" s="2"/>
      <c r="V23" s="57"/>
      <c r="W23" s="63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57"/>
      <c r="AS23" s="23"/>
    </row>
    <row r="24" spans="1:45" x14ac:dyDescent="0.25">
      <c r="A24" s="56">
        <v>0.41666666666666669</v>
      </c>
      <c r="B24" s="5">
        <v>0.4375</v>
      </c>
      <c r="C24" s="63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57"/>
      <c r="P24" s="63"/>
      <c r="Q24" s="2"/>
      <c r="R24" s="2"/>
      <c r="S24" s="2"/>
      <c r="T24" s="2"/>
      <c r="U24" s="2"/>
      <c r="V24" s="57"/>
      <c r="W24" s="63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57"/>
      <c r="AS24" s="23"/>
    </row>
    <row r="25" spans="1:45" x14ac:dyDescent="0.25">
      <c r="A25" s="56">
        <v>0.4375</v>
      </c>
      <c r="B25" s="5">
        <v>0.45833333333333331</v>
      </c>
      <c r="C25" s="63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57"/>
      <c r="P25" s="63"/>
      <c r="Q25" s="2"/>
      <c r="R25" s="2"/>
      <c r="S25" s="2"/>
      <c r="T25" s="2"/>
      <c r="U25" s="2"/>
      <c r="V25" s="57"/>
      <c r="W25" s="63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57"/>
      <c r="AS25" s="23"/>
    </row>
    <row r="26" spans="1:45" x14ac:dyDescent="0.25">
      <c r="A26" s="56">
        <v>0.45833333333333331</v>
      </c>
      <c r="B26" s="5">
        <v>0.47916666666666669</v>
      </c>
      <c r="C26" s="63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57"/>
      <c r="P26" s="63"/>
      <c r="Q26" s="2"/>
      <c r="R26" s="2"/>
      <c r="S26" s="2"/>
      <c r="T26" s="2"/>
      <c r="U26" s="2"/>
      <c r="V26" s="57"/>
      <c r="W26" s="63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57"/>
      <c r="AS26" s="23"/>
    </row>
    <row r="27" spans="1:45" x14ac:dyDescent="0.25">
      <c r="A27" s="56">
        <v>0.47916666666666669</v>
      </c>
      <c r="B27" s="5">
        <v>0.5</v>
      </c>
      <c r="C27" s="63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57"/>
      <c r="P27" s="63"/>
      <c r="Q27" s="2"/>
      <c r="R27" s="2"/>
      <c r="S27" s="2"/>
      <c r="T27" s="2"/>
      <c r="U27" s="2"/>
      <c r="V27" s="57"/>
      <c r="W27" s="63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57"/>
      <c r="AS27" s="23"/>
    </row>
    <row r="28" spans="1:45" x14ac:dyDescent="0.25">
      <c r="A28" s="56">
        <v>0.5</v>
      </c>
      <c r="B28" s="5">
        <v>0.52083333333333337</v>
      </c>
      <c r="C28" s="63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57"/>
      <c r="P28" s="63"/>
      <c r="Q28" s="2"/>
      <c r="R28" s="2"/>
      <c r="S28" s="2"/>
      <c r="T28" s="2"/>
      <c r="U28" s="2"/>
      <c r="V28" s="57"/>
      <c r="W28" s="63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57"/>
      <c r="AS28" s="23"/>
    </row>
    <row r="29" spans="1:45" x14ac:dyDescent="0.25">
      <c r="A29" s="56">
        <v>0.52083333333333337</v>
      </c>
      <c r="B29" s="5">
        <v>0.54166666666666663</v>
      </c>
      <c r="C29" s="63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57"/>
      <c r="P29" s="63"/>
      <c r="Q29" s="2"/>
      <c r="R29" s="2"/>
      <c r="S29" s="2"/>
      <c r="T29" s="2"/>
      <c r="U29" s="2"/>
      <c r="V29" s="57"/>
      <c r="W29" s="63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57"/>
      <c r="AS29" s="23"/>
    </row>
    <row r="30" spans="1:45" x14ac:dyDescent="0.25">
      <c r="A30" s="56">
        <v>0.54166666666666663</v>
      </c>
      <c r="B30" s="5">
        <v>0.5625</v>
      </c>
      <c r="C30" s="63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57"/>
      <c r="P30" s="63"/>
      <c r="Q30" s="2"/>
      <c r="R30" s="2"/>
      <c r="S30" s="2"/>
      <c r="T30" s="2"/>
      <c r="U30" s="2"/>
      <c r="V30" s="57"/>
      <c r="W30" s="63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57"/>
      <c r="AS30" s="23"/>
    </row>
    <row r="31" spans="1:45" x14ac:dyDescent="0.25">
      <c r="A31" s="56">
        <v>0.5625</v>
      </c>
      <c r="B31" s="5">
        <v>0.58333333333333337</v>
      </c>
      <c r="C31" s="63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57"/>
      <c r="P31" s="63"/>
      <c r="Q31" s="2"/>
      <c r="R31" s="2"/>
      <c r="S31" s="2"/>
      <c r="T31" s="2"/>
      <c r="U31" s="2"/>
      <c r="V31" s="57"/>
      <c r="W31" s="63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57"/>
      <c r="AS31" s="23"/>
    </row>
    <row r="32" spans="1:45" x14ac:dyDescent="0.25">
      <c r="A32" s="56">
        <v>0.58333333333333337</v>
      </c>
      <c r="B32" s="5">
        <v>0.60416666666666663</v>
      </c>
      <c r="C32" s="63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57"/>
      <c r="P32" s="63"/>
      <c r="Q32" s="2"/>
      <c r="R32" s="2"/>
      <c r="S32" s="2"/>
      <c r="T32" s="2"/>
      <c r="U32" s="2"/>
      <c r="V32" s="57"/>
      <c r="W32" s="63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57"/>
      <c r="AS32" s="23"/>
    </row>
    <row r="33" spans="1:45" x14ac:dyDescent="0.25">
      <c r="A33" s="56">
        <v>0.60416666666666663</v>
      </c>
      <c r="B33" s="5">
        <v>0.625</v>
      </c>
      <c r="C33" s="63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57"/>
      <c r="P33" s="63"/>
      <c r="Q33" s="2"/>
      <c r="R33" s="2"/>
      <c r="S33" s="2"/>
      <c r="T33" s="2"/>
      <c r="U33" s="2"/>
      <c r="V33" s="57"/>
      <c r="W33" s="63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57"/>
      <c r="AS33" s="23"/>
    </row>
    <row r="34" spans="1:45" x14ac:dyDescent="0.25">
      <c r="A34" s="56">
        <v>0.625</v>
      </c>
      <c r="B34" s="5">
        <v>0.64583333333333337</v>
      </c>
      <c r="C34" s="63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57"/>
      <c r="P34" s="63"/>
      <c r="Q34" s="2"/>
      <c r="R34" s="2"/>
      <c r="S34" s="2"/>
      <c r="T34" s="2"/>
      <c r="U34" s="2"/>
      <c r="V34" s="57"/>
      <c r="W34" s="63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57"/>
      <c r="AS34" s="23"/>
    </row>
    <row r="35" spans="1:45" x14ac:dyDescent="0.25">
      <c r="A35" s="56">
        <v>0.64583333333333337</v>
      </c>
      <c r="B35" s="5">
        <v>0.66666666666666663</v>
      </c>
      <c r="C35" s="63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57"/>
      <c r="P35" s="63"/>
      <c r="Q35" s="2"/>
      <c r="R35" s="2"/>
      <c r="S35" s="2"/>
      <c r="T35" s="2"/>
      <c r="U35" s="2"/>
      <c r="V35" s="57"/>
      <c r="W35" s="63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57"/>
      <c r="AS35" s="23"/>
    </row>
    <row r="36" spans="1:45" x14ac:dyDescent="0.25">
      <c r="A36" s="56">
        <v>0.66666666666666663</v>
      </c>
      <c r="B36" s="5">
        <v>0.6875</v>
      </c>
      <c r="C36" s="63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57"/>
      <c r="P36" s="63"/>
      <c r="Q36" s="2"/>
      <c r="R36" s="2"/>
      <c r="S36" s="2"/>
      <c r="T36" s="2"/>
      <c r="U36" s="2"/>
      <c r="V36" s="57"/>
      <c r="W36" s="63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57"/>
      <c r="AS36" s="23"/>
    </row>
    <row r="37" spans="1:45" x14ac:dyDescent="0.25">
      <c r="A37" s="56">
        <v>0.6875</v>
      </c>
      <c r="B37" s="5">
        <v>0.70833333333333337</v>
      </c>
      <c r="C37" s="63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57"/>
      <c r="P37" s="63"/>
      <c r="Q37" s="2"/>
      <c r="R37" s="2"/>
      <c r="S37" s="2"/>
      <c r="T37" s="2"/>
      <c r="U37" s="2"/>
      <c r="V37" s="57"/>
      <c r="W37" s="63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57"/>
      <c r="AS37" s="23"/>
    </row>
    <row r="38" spans="1:45" x14ac:dyDescent="0.25">
      <c r="A38" s="56">
        <v>0.70833333333333337</v>
      </c>
      <c r="B38" s="5">
        <v>0.72916666666666663</v>
      </c>
      <c r="C38" s="63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57"/>
      <c r="P38" s="63"/>
      <c r="Q38" s="2"/>
      <c r="R38" s="2"/>
      <c r="S38" s="2"/>
      <c r="T38" s="2"/>
      <c r="U38" s="2"/>
      <c r="V38" s="57"/>
      <c r="W38" s="63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57"/>
      <c r="AS38" s="23"/>
    </row>
    <row r="39" spans="1:45" x14ac:dyDescent="0.25">
      <c r="A39" s="56">
        <v>0.72916666666666663</v>
      </c>
      <c r="B39" s="5">
        <v>0.75</v>
      </c>
      <c r="C39" s="63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57"/>
      <c r="P39" s="63"/>
      <c r="Q39" s="2"/>
      <c r="R39" s="2"/>
      <c r="S39" s="2"/>
      <c r="T39" s="2"/>
      <c r="U39" s="2"/>
      <c r="V39" s="57"/>
      <c r="W39" s="63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57"/>
      <c r="AS39" s="23"/>
    </row>
    <row r="40" spans="1:45" x14ac:dyDescent="0.25">
      <c r="A40" s="56">
        <v>0.75</v>
      </c>
      <c r="B40" s="5">
        <v>0.77083333333333337</v>
      </c>
      <c r="C40" s="63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57"/>
      <c r="P40" s="63"/>
      <c r="Q40" s="2"/>
      <c r="R40" s="2"/>
      <c r="S40" s="2"/>
      <c r="T40" s="2"/>
      <c r="U40" s="2"/>
      <c r="V40" s="57"/>
      <c r="W40" s="63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57"/>
      <c r="AS40" s="23"/>
    </row>
    <row r="41" spans="1:45" x14ac:dyDescent="0.25">
      <c r="A41" s="56">
        <v>0.77083333333333337</v>
      </c>
      <c r="B41" s="5">
        <v>0.79166666666666663</v>
      </c>
      <c r="C41" s="63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57"/>
      <c r="P41" s="63"/>
      <c r="Q41" s="2"/>
      <c r="R41" s="2"/>
      <c r="S41" s="2"/>
      <c r="T41" s="2"/>
      <c r="U41" s="2"/>
      <c r="V41" s="57"/>
      <c r="W41" s="63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57"/>
      <c r="AS41" s="23"/>
    </row>
    <row r="42" spans="1:45" x14ac:dyDescent="0.25">
      <c r="A42" s="56">
        <v>0.79166666666666663</v>
      </c>
      <c r="B42" s="5">
        <v>0.8125</v>
      </c>
      <c r="C42" s="63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57"/>
      <c r="P42" s="63"/>
      <c r="Q42" s="2"/>
      <c r="R42" s="2"/>
      <c r="S42" s="2"/>
      <c r="T42" s="2"/>
      <c r="U42" s="2"/>
      <c r="V42" s="57"/>
      <c r="W42" s="63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57"/>
      <c r="AS42" s="23"/>
    </row>
    <row r="43" spans="1:45" x14ac:dyDescent="0.25">
      <c r="A43" s="56">
        <v>0.8125</v>
      </c>
      <c r="B43" s="5">
        <v>0.83333333333333337</v>
      </c>
      <c r="C43" s="63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57"/>
      <c r="P43" s="63"/>
      <c r="Q43" s="2"/>
      <c r="R43" s="2"/>
      <c r="S43" s="2"/>
      <c r="T43" s="2"/>
      <c r="U43" s="2"/>
      <c r="V43" s="57"/>
      <c r="W43" s="63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57"/>
      <c r="AS43" s="23"/>
    </row>
    <row r="44" spans="1:45" x14ac:dyDescent="0.25">
      <c r="A44" s="56">
        <v>0.83333333333333337</v>
      </c>
      <c r="B44" s="5">
        <v>0.85416666666666663</v>
      </c>
      <c r="C44" s="63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57"/>
      <c r="P44" s="63"/>
      <c r="Q44" s="2"/>
      <c r="R44" s="2"/>
      <c r="S44" s="2"/>
      <c r="T44" s="2"/>
      <c r="U44" s="2"/>
      <c r="V44" s="57"/>
      <c r="W44" s="63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57"/>
      <c r="AS44" s="23"/>
    </row>
    <row r="45" spans="1:45" x14ac:dyDescent="0.25">
      <c r="A45" s="56">
        <v>0.85416666666666663</v>
      </c>
      <c r="B45" s="5">
        <v>0.875</v>
      </c>
      <c r="C45" s="63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57"/>
      <c r="P45" s="63"/>
      <c r="Q45" s="2"/>
      <c r="R45" s="2"/>
      <c r="S45" s="2"/>
      <c r="T45" s="2"/>
      <c r="U45" s="2"/>
      <c r="V45" s="57"/>
      <c r="W45" s="63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57"/>
      <c r="AS45" s="23"/>
    </row>
    <row r="46" spans="1:45" x14ac:dyDescent="0.25">
      <c r="A46" s="56">
        <v>0.875</v>
      </c>
      <c r="B46" s="5">
        <v>0.89583333333333337</v>
      </c>
      <c r="C46" s="63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57"/>
      <c r="P46" s="63"/>
      <c r="Q46" s="2"/>
      <c r="R46" s="2"/>
      <c r="S46" s="2"/>
      <c r="T46" s="2"/>
      <c r="U46" s="2"/>
      <c r="V46" s="57"/>
      <c r="W46" s="63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57"/>
      <c r="AS46" s="23"/>
    </row>
    <row r="47" spans="1:45" x14ac:dyDescent="0.25">
      <c r="A47" s="56">
        <v>0.89583333333333337</v>
      </c>
      <c r="B47" s="5">
        <v>0.91666666666666663</v>
      </c>
      <c r="C47" s="63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57"/>
      <c r="P47" s="63"/>
      <c r="Q47" s="2"/>
      <c r="R47" s="2"/>
      <c r="S47" s="2"/>
      <c r="T47" s="2"/>
      <c r="U47" s="2"/>
      <c r="V47" s="57"/>
      <c r="W47" s="63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57"/>
      <c r="AS47" s="23"/>
    </row>
    <row r="48" spans="1:45" x14ac:dyDescent="0.25">
      <c r="A48" s="56">
        <v>0.91666666666666663</v>
      </c>
      <c r="B48" s="5">
        <v>0.9375</v>
      </c>
      <c r="C48" s="63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57"/>
      <c r="P48" s="63"/>
      <c r="Q48" s="2"/>
      <c r="R48" s="2"/>
      <c r="S48" s="2"/>
      <c r="T48" s="2"/>
      <c r="U48" s="2"/>
      <c r="V48" s="57"/>
      <c r="W48" s="63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57"/>
      <c r="AS48" s="23"/>
    </row>
    <row r="49" spans="1:45" x14ac:dyDescent="0.25">
      <c r="A49" s="56">
        <v>0.9375</v>
      </c>
      <c r="B49" s="5">
        <v>0.95833333333333337</v>
      </c>
      <c r="C49" s="63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57"/>
      <c r="P49" s="63"/>
      <c r="Q49" s="2"/>
      <c r="R49" s="2"/>
      <c r="S49" s="2"/>
      <c r="T49" s="2"/>
      <c r="U49" s="2"/>
      <c r="V49" s="57"/>
      <c r="W49" s="63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57"/>
      <c r="AS49" s="23"/>
    </row>
    <row r="50" spans="1:45" x14ac:dyDescent="0.25">
      <c r="A50" s="56">
        <v>0.95833333333333337</v>
      </c>
      <c r="B50" s="5">
        <v>0.97916666666666663</v>
      </c>
      <c r="C50" s="63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57"/>
      <c r="P50" s="63"/>
      <c r="Q50" s="2"/>
      <c r="R50" s="2"/>
      <c r="S50" s="2"/>
      <c r="T50" s="2"/>
      <c r="U50" s="2"/>
      <c r="V50" s="57"/>
      <c r="W50" s="63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57"/>
      <c r="AS50" s="23"/>
    </row>
    <row r="51" spans="1:45" ht="15.75" thickBot="1" x14ac:dyDescent="0.3">
      <c r="A51" s="58">
        <v>0.97916666666666663</v>
      </c>
      <c r="B51" s="59">
        <v>0</v>
      </c>
      <c r="C51" s="64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1"/>
      <c r="P51" s="64"/>
      <c r="Q51" s="60"/>
      <c r="R51" s="60"/>
      <c r="S51" s="60"/>
      <c r="T51" s="60"/>
      <c r="U51" s="60"/>
      <c r="V51" s="61"/>
      <c r="W51" s="64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  <c r="AN51" s="60"/>
      <c r="AO51" s="60"/>
      <c r="AP51" s="60"/>
      <c r="AQ51" s="60"/>
      <c r="AR51" s="61"/>
      <c r="AS51" s="23"/>
    </row>
    <row r="52" spans="1:45" ht="24" thickBot="1" x14ac:dyDescent="0.3">
      <c r="A52" s="356" t="s">
        <v>61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  <c r="M52" s="357"/>
      <c r="N52" s="357"/>
      <c r="O52" s="357"/>
      <c r="P52" s="357"/>
      <c r="Q52" s="357"/>
      <c r="R52" s="357"/>
      <c r="S52" s="357"/>
      <c r="T52" s="357"/>
      <c r="U52" s="357"/>
      <c r="V52" s="357"/>
      <c r="W52" s="357"/>
      <c r="X52" s="357"/>
      <c r="Y52" s="357"/>
      <c r="Z52" s="357"/>
      <c r="AA52" s="357"/>
      <c r="AB52" s="357"/>
      <c r="AC52" s="357"/>
      <c r="AD52" s="357"/>
      <c r="AE52" s="357"/>
      <c r="AF52" s="357"/>
      <c r="AG52" s="357"/>
      <c r="AH52" s="357"/>
      <c r="AI52" s="357"/>
      <c r="AJ52" s="357"/>
      <c r="AK52" s="357"/>
      <c r="AL52" s="357"/>
      <c r="AM52" s="357"/>
      <c r="AN52" s="357"/>
      <c r="AO52" s="357"/>
      <c r="AP52" s="357"/>
      <c r="AQ52" s="357"/>
      <c r="AR52" s="357"/>
    </row>
    <row r="53" spans="1:45" x14ac:dyDescent="0.25">
      <c r="A53" s="349" t="s">
        <v>56</v>
      </c>
      <c r="B53" s="350"/>
      <c r="C53" s="353" t="s">
        <v>57</v>
      </c>
      <c r="D53" s="354"/>
      <c r="E53" s="354"/>
      <c r="F53" s="354"/>
      <c r="G53" s="354"/>
      <c r="H53" s="354"/>
      <c r="I53" s="354"/>
      <c r="J53" s="354"/>
      <c r="K53" s="354"/>
      <c r="L53" s="354"/>
      <c r="M53" s="354"/>
      <c r="N53" s="354"/>
      <c r="O53" s="355"/>
      <c r="P53" s="353" t="s">
        <v>58</v>
      </c>
      <c r="Q53" s="354"/>
      <c r="R53" s="354"/>
      <c r="S53" s="354"/>
      <c r="T53" s="354"/>
      <c r="U53" s="354"/>
      <c r="V53" s="355"/>
      <c r="W53" s="353" t="s">
        <v>59</v>
      </c>
      <c r="X53" s="354"/>
      <c r="Y53" s="354"/>
      <c r="Z53" s="354"/>
      <c r="AA53" s="354"/>
      <c r="AB53" s="354"/>
      <c r="AC53" s="354"/>
      <c r="AD53" s="354"/>
      <c r="AE53" s="354"/>
      <c r="AF53" s="354"/>
      <c r="AG53" s="354"/>
      <c r="AH53" s="354"/>
      <c r="AI53" s="354"/>
      <c r="AJ53" s="354"/>
      <c r="AK53" s="354"/>
      <c r="AL53" s="354"/>
      <c r="AM53" s="354"/>
      <c r="AN53" s="354"/>
      <c r="AO53" s="354"/>
      <c r="AP53" s="354"/>
      <c r="AQ53" s="354"/>
      <c r="AR53" s="355"/>
    </row>
    <row r="54" spans="1:45" ht="15.75" thickBot="1" x14ac:dyDescent="0.3">
      <c r="A54" s="351"/>
      <c r="B54" s="352"/>
      <c r="C54" s="69">
        <f>MAX(C55:C102)</f>
        <v>0</v>
      </c>
      <c r="D54" s="70">
        <f t="shared" ref="D54:AR54" si="1">MAX(D55:D102)</f>
        <v>0</v>
      </c>
      <c r="E54" s="70">
        <f t="shared" si="1"/>
        <v>0</v>
      </c>
      <c r="F54" s="70">
        <f t="shared" si="1"/>
        <v>0</v>
      </c>
      <c r="G54" s="70">
        <f t="shared" si="1"/>
        <v>0</v>
      </c>
      <c r="H54" s="70">
        <f t="shared" si="1"/>
        <v>0</v>
      </c>
      <c r="I54" s="70">
        <f t="shared" si="1"/>
        <v>0</v>
      </c>
      <c r="J54" s="70">
        <f t="shared" si="1"/>
        <v>0</v>
      </c>
      <c r="K54" s="70">
        <f t="shared" si="1"/>
        <v>0</v>
      </c>
      <c r="L54" s="70">
        <f t="shared" si="1"/>
        <v>0</v>
      </c>
      <c r="M54" s="70">
        <f t="shared" si="1"/>
        <v>0</v>
      </c>
      <c r="N54" s="70">
        <f t="shared" si="1"/>
        <v>0</v>
      </c>
      <c r="O54" s="73">
        <f t="shared" si="1"/>
        <v>0</v>
      </c>
      <c r="P54" s="74">
        <f t="shared" si="1"/>
        <v>0</v>
      </c>
      <c r="Q54" s="71">
        <f t="shared" si="1"/>
        <v>0</v>
      </c>
      <c r="R54" s="71">
        <f t="shared" si="1"/>
        <v>0</v>
      </c>
      <c r="S54" s="71">
        <f t="shared" si="1"/>
        <v>0</v>
      </c>
      <c r="T54" s="71">
        <f t="shared" si="1"/>
        <v>0</v>
      </c>
      <c r="U54" s="71">
        <f t="shared" si="1"/>
        <v>0</v>
      </c>
      <c r="V54" s="75">
        <f t="shared" si="1"/>
        <v>0</v>
      </c>
      <c r="W54" s="76">
        <f t="shared" si="1"/>
        <v>0</v>
      </c>
      <c r="X54" s="72">
        <f t="shared" si="1"/>
        <v>0</v>
      </c>
      <c r="Y54" s="72">
        <f t="shared" si="1"/>
        <v>0</v>
      </c>
      <c r="Z54" s="72">
        <f t="shared" si="1"/>
        <v>0</v>
      </c>
      <c r="AA54" s="72">
        <f t="shared" si="1"/>
        <v>0</v>
      </c>
      <c r="AB54" s="72">
        <f t="shared" si="1"/>
        <v>0</v>
      </c>
      <c r="AC54" s="72">
        <f t="shared" si="1"/>
        <v>0</v>
      </c>
      <c r="AD54" s="72">
        <f t="shared" si="1"/>
        <v>0</v>
      </c>
      <c r="AE54" s="72">
        <f t="shared" si="1"/>
        <v>0</v>
      </c>
      <c r="AF54" s="72">
        <f t="shared" si="1"/>
        <v>0</v>
      </c>
      <c r="AG54" s="72">
        <f t="shared" si="1"/>
        <v>0</v>
      </c>
      <c r="AH54" s="72">
        <f t="shared" si="1"/>
        <v>0</v>
      </c>
      <c r="AI54" s="72">
        <f t="shared" si="1"/>
        <v>0</v>
      </c>
      <c r="AJ54" s="72">
        <f t="shared" si="1"/>
        <v>0</v>
      </c>
      <c r="AK54" s="72">
        <f t="shared" si="1"/>
        <v>0</v>
      </c>
      <c r="AL54" s="72">
        <f t="shared" si="1"/>
        <v>0</v>
      </c>
      <c r="AM54" s="72">
        <f t="shared" si="1"/>
        <v>0</v>
      </c>
      <c r="AN54" s="72">
        <f t="shared" si="1"/>
        <v>0</v>
      </c>
      <c r="AO54" s="72">
        <f t="shared" si="1"/>
        <v>0</v>
      </c>
      <c r="AP54" s="72">
        <f t="shared" si="1"/>
        <v>0</v>
      </c>
      <c r="AQ54" s="72">
        <f t="shared" si="1"/>
        <v>0</v>
      </c>
      <c r="AR54" s="77">
        <f t="shared" si="1"/>
        <v>0</v>
      </c>
    </row>
    <row r="55" spans="1:45" x14ac:dyDescent="0.25">
      <c r="A55" s="65">
        <v>0</v>
      </c>
      <c r="B55" s="66">
        <v>2.0833333333333332E-2</v>
      </c>
      <c r="C55" s="67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2"/>
      <c r="P55" s="67"/>
      <c r="Q55" s="68"/>
      <c r="R55" s="68"/>
      <c r="S55" s="68"/>
      <c r="T55" s="68"/>
      <c r="U55" s="68"/>
      <c r="V55" s="62"/>
      <c r="W55" s="67"/>
      <c r="X55" s="68"/>
      <c r="Y55" s="68"/>
      <c r="Z55" s="68"/>
      <c r="AA55" s="68"/>
      <c r="AB55" s="68"/>
      <c r="AC55" s="68"/>
      <c r="AD55" s="68"/>
      <c r="AE55" s="68"/>
      <c r="AF55" s="68"/>
      <c r="AG55" s="68"/>
      <c r="AH55" s="68"/>
      <c r="AI55" s="68"/>
      <c r="AJ55" s="68"/>
      <c r="AK55" s="68"/>
      <c r="AL55" s="68"/>
      <c r="AM55" s="68"/>
      <c r="AN55" s="68"/>
      <c r="AO55" s="68"/>
      <c r="AP55" s="68"/>
      <c r="AQ55" s="68"/>
      <c r="AR55" s="62"/>
      <c r="AS55" s="23"/>
    </row>
    <row r="56" spans="1:45" x14ac:dyDescent="0.25">
      <c r="A56" s="56">
        <v>2.0833333333333332E-2</v>
      </c>
      <c r="B56" s="5">
        <v>4.1666666666666664E-2</v>
      </c>
      <c r="C56" s="63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57"/>
      <c r="P56" s="63"/>
      <c r="Q56" s="2"/>
      <c r="R56" s="2"/>
      <c r="S56" s="2"/>
      <c r="T56" s="2"/>
      <c r="U56" s="2"/>
      <c r="V56" s="57"/>
      <c r="W56" s="63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57"/>
      <c r="AS56" s="23"/>
    </row>
    <row r="57" spans="1:45" x14ac:dyDescent="0.25">
      <c r="A57" s="56">
        <v>4.1666666666666664E-2</v>
      </c>
      <c r="B57" s="5">
        <v>6.25E-2</v>
      </c>
      <c r="C57" s="63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57"/>
      <c r="P57" s="63"/>
      <c r="Q57" s="2"/>
      <c r="R57" s="2"/>
      <c r="S57" s="2"/>
      <c r="T57" s="2"/>
      <c r="U57" s="2"/>
      <c r="V57" s="57"/>
      <c r="W57" s="63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57"/>
      <c r="AS57" s="23"/>
    </row>
    <row r="58" spans="1:45" x14ac:dyDescent="0.25">
      <c r="A58" s="56">
        <v>6.25E-2</v>
      </c>
      <c r="B58" s="5">
        <v>8.3333333333333329E-2</v>
      </c>
      <c r="C58" s="63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57"/>
      <c r="P58" s="63"/>
      <c r="Q58" s="2"/>
      <c r="R58" s="2"/>
      <c r="S58" s="2"/>
      <c r="T58" s="2"/>
      <c r="U58" s="2"/>
      <c r="V58" s="57"/>
      <c r="W58" s="63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57"/>
      <c r="AS58" s="23"/>
    </row>
    <row r="59" spans="1:45" x14ac:dyDescent="0.25">
      <c r="A59" s="56">
        <v>8.3333333333333329E-2</v>
      </c>
      <c r="B59" s="5">
        <v>0.10416666666666667</v>
      </c>
      <c r="C59" s="63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57"/>
      <c r="P59" s="63"/>
      <c r="Q59" s="2"/>
      <c r="R59" s="2"/>
      <c r="S59" s="2"/>
      <c r="T59" s="2"/>
      <c r="U59" s="2"/>
      <c r="V59" s="57"/>
      <c r="W59" s="63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57"/>
      <c r="AS59" s="23"/>
    </row>
    <row r="60" spans="1:45" x14ac:dyDescent="0.25">
      <c r="A60" s="56">
        <v>0.10416666666666667</v>
      </c>
      <c r="B60" s="5">
        <v>0.125</v>
      </c>
      <c r="C60" s="63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57"/>
      <c r="P60" s="63"/>
      <c r="Q60" s="2"/>
      <c r="R60" s="2"/>
      <c r="S60" s="2"/>
      <c r="T60" s="2"/>
      <c r="U60" s="2"/>
      <c r="V60" s="57"/>
      <c r="W60" s="63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57"/>
      <c r="AS60" s="23"/>
    </row>
    <row r="61" spans="1:45" x14ac:dyDescent="0.25">
      <c r="A61" s="56">
        <v>0.125</v>
      </c>
      <c r="B61" s="5">
        <v>0.14583333333333334</v>
      </c>
      <c r="C61" s="63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57"/>
      <c r="P61" s="63"/>
      <c r="Q61" s="2"/>
      <c r="R61" s="2"/>
      <c r="S61" s="2"/>
      <c r="T61" s="2"/>
      <c r="U61" s="2"/>
      <c r="V61" s="57"/>
      <c r="W61" s="63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57"/>
      <c r="AS61" s="23"/>
    </row>
    <row r="62" spans="1:45" x14ac:dyDescent="0.25">
      <c r="A62" s="56">
        <v>0.14583333333333334</v>
      </c>
      <c r="B62" s="5">
        <v>0.16666666666666666</v>
      </c>
      <c r="C62" s="63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57"/>
      <c r="P62" s="63"/>
      <c r="Q62" s="2"/>
      <c r="R62" s="2"/>
      <c r="S62" s="2"/>
      <c r="T62" s="2"/>
      <c r="U62" s="2"/>
      <c r="V62" s="57"/>
      <c r="W62" s="63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57"/>
      <c r="AS62" s="23"/>
    </row>
    <row r="63" spans="1:45" x14ac:dyDescent="0.25">
      <c r="A63" s="56">
        <v>0.16666666666666666</v>
      </c>
      <c r="B63" s="5">
        <v>0.1875</v>
      </c>
      <c r="C63" s="63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57"/>
      <c r="P63" s="63"/>
      <c r="Q63" s="2"/>
      <c r="R63" s="2"/>
      <c r="S63" s="2"/>
      <c r="T63" s="2"/>
      <c r="U63" s="2"/>
      <c r="V63" s="57"/>
      <c r="W63" s="63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57"/>
      <c r="AS63" s="23"/>
    </row>
    <row r="64" spans="1:45" x14ac:dyDescent="0.25">
      <c r="A64" s="56">
        <v>0.1875</v>
      </c>
      <c r="B64" s="5">
        <v>0.20833333333333334</v>
      </c>
      <c r="C64" s="63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57"/>
      <c r="P64" s="63"/>
      <c r="Q64" s="2"/>
      <c r="R64" s="2"/>
      <c r="S64" s="2"/>
      <c r="T64" s="2"/>
      <c r="U64" s="2"/>
      <c r="V64" s="57"/>
      <c r="W64" s="63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57"/>
      <c r="AS64" s="23"/>
    </row>
    <row r="65" spans="1:45" x14ac:dyDescent="0.25">
      <c r="A65" s="56">
        <v>0.20833333333333334</v>
      </c>
      <c r="B65" s="5">
        <v>0.22916666666666666</v>
      </c>
      <c r="C65" s="63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57"/>
      <c r="P65" s="63"/>
      <c r="Q65" s="2"/>
      <c r="R65" s="2"/>
      <c r="S65" s="2"/>
      <c r="T65" s="2"/>
      <c r="U65" s="2"/>
      <c r="V65" s="57"/>
      <c r="W65" s="63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57"/>
      <c r="AS65" s="23"/>
    </row>
    <row r="66" spans="1:45" x14ac:dyDescent="0.25">
      <c r="A66" s="56">
        <v>0.22916666666666666</v>
      </c>
      <c r="B66" s="5">
        <v>0.25</v>
      </c>
      <c r="C66" s="63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57"/>
      <c r="P66" s="63"/>
      <c r="Q66" s="2"/>
      <c r="R66" s="2"/>
      <c r="S66" s="2"/>
      <c r="T66" s="2"/>
      <c r="U66" s="2"/>
      <c r="V66" s="57"/>
      <c r="W66" s="63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57"/>
      <c r="AS66" s="23"/>
    </row>
    <row r="67" spans="1:45" x14ac:dyDescent="0.25">
      <c r="A67" s="56">
        <v>0.25</v>
      </c>
      <c r="B67" s="5">
        <v>0.27083333333333331</v>
      </c>
      <c r="C67" s="63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57"/>
      <c r="P67" s="63"/>
      <c r="Q67" s="2"/>
      <c r="R67" s="2"/>
      <c r="S67" s="2"/>
      <c r="T67" s="2"/>
      <c r="U67" s="2"/>
      <c r="V67" s="57"/>
      <c r="W67" s="63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57"/>
      <c r="AS67" s="23"/>
    </row>
    <row r="68" spans="1:45" x14ac:dyDescent="0.25">
      <c r="A68" s="56">
        <v>0.27083333333333331</v>
      </c>
      <c r="B68" s="5">
        <v>0.29166666666666669</v>
      </c>
      <c r="C68" s="63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57"/>
      <c r="P68" s="63"/>
      <c r="Q68" s="2"/>
      <c r="R68" s="2"/>
      <c r="S68" s="2"/>
      <c r="T68" s="2"/>
      <c r="U68" s="2"/>
      <c r="V68" s="57"/>
      <c r="W68" s="63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57"/>
      <c r="AS68" s="23"/>
    </row>
    <row r="69" spans="1:45" x14ac:dyDescent="0.25">
      <c r="A69" s="56">
        <v>0.29166666666666669</v>
      </c>
      <c r="B69" s="5">
        <v>0.3125</v>
      </c>
      <c r="C69" s="63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57"/>
      <c r="P69" s="63"/>
      <c r="Q69" s="2"/>
      <c r="R69" s="2"/>
      <c r="S69" s="2"/>
      <c r="T69" s="2"/>
      <c r="U69" s="2"/>
      <c r="V69" s="57"/>
      <c r="W69" s="63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57"/>
      <c r="AS69" s="23"/>
    </row>
    <row r="70" spans="1:45" x14ac:dyDescent="0.25">
      <c r="A70" s="56">
        <v>0.3125</v>
      </c>
      <c r="B70" s="5">
        <v>0.33333333333333331</v>
      </c>
      <c r="C70" s="63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57"/>
      <c r="P70" s="63"/>
      <c r="Q70" s="2"/>
      <c r="R70" s="2"/>
      <c r="S70" s="2"/>
      <c r="T70" s="2"/>
      <c r="U70" s="2"/>
      <c r="V70" s="57"/>
      <c r="W70" s="63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57"/>
      <c r="AS70" s="23"/>
    </row>
    <row r="71" spans="1:45" x14ac:dyDescent="0.25">
      <c r="A71" s="56">
        <v>0.33333333333333331</v>
      </c>
      <c r="B71" s="5">
        <v>0.35416666666666669</v>
      </c>
      <c r="C71" s="63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57"/>
      <c r="P71" s="63"/>
      <c r="Q71" s="2"/>
      <c r="R71" s="2"/>
      <c r="S71" s="2"/>
      <c r="T71" s="2"/>
      <c r="U71" s="2"/>
      <c r="V71" s="57"/>
      <c r="W71" s="63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57"/>
      <c r="AS71" s="23"/>
    </row>
    <row r="72" spans="1:45" x14ac:dyDescent="0.25">
      <c r="A72" s="56">
        <v>0.35416666666666669</v>
      </c>
      <c r="B72" s="5">
        <v>0.375</v>
      </c>
      <c r="C72" s="63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57"/>
      <c r="P72" s="63"/>
      <c r="Q72" s="2"/>
      <c r="R72" s="2"/>
      <c r="S72" s="2"/>
      <c r="T72" s="2"/>
      <c r="U72" s="2"/>
      <c r="V72" s="57"/>
      <c r="W72" s="63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57"/>
      <c r="AS72" s="23"/>
    </row>
    <row r="73" spans="1:45" x14ac:dyDescent="0.25">
      <c r="A73" s="56">
        <v>0.375</v>
      </c>
      <c r="B73" s="5">
        <v>0.39583333333333331</v>
      </c>
      <c r="C73" s="63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57"/>
      <c r="P73" s="63"/>
      <c r="Q73" s="2"/>
      <c r="R73" s="2"/>
      <c r="S73" s="2"/>
      <c r="T73" s="2"/>
      <c r="U73" s="2"/>
      <c r="V73" s="57"/>
      <c r="W73" s="63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57"/>
      <c r="AS73" s="23"/>
    </row>
    <row r="74" spans="1:45" x14ac:dyDescent="0.25">
      <c r="A74" s="56">
        <v>0.39583333333333331</v>
      </c>
      <c r="B74" s="5">
        <v>0.41666666666666669</v>
      </c>
      <c r="C74" s="63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57"/>
      <c r="P74" s="63"/>
      <c r="Q74" s="2"/>
      <c r="R74" s="2"/>
      <c r="S74" s="2"/>
      <c r="T74" s="2"/>
      <c r="U74" s="2"/>
      <c r="V74" s="57"/>
      <c r="W74" s="63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57"/>
      <c r="AS74" s="23"/>
    </row>
    <row r="75" spans="1:45" x14ac:dyDescent="0.25">
      <c r="A75" s="56">
        <v>0.41666666666666669</v>
      </c>
      <c r="B75" s="5">
        <v>0.4375</v>
      </c>
      <c r="C75" s="63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57"/>
      <c r="P75" s="63"/>
      <c r="Q75" s="2"/>
      <c r="R75" s="2"/>
      <c r="S75" s="2"/>
      <c r="T75" s="2"/>
      <c r="U75" s="2"/>
      <c r="V75" s="57"/>
      <c r="W75" s="63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57"/>
      <c r="AS75" s="23"/>
    </row>
    <row r="76" spans="1:45" x14ac:dyDescent="0.25">
      <c r="A76" s="56">
        <v>0.4375</v>
      </c>
      <c r="B76" s="5">
        <v>0.45833333333333331</v>
      </c>
      <c r="C76" s="63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57"/>
      <c r="P76" s="63"/>
      <c r="Q76" s="2"/>
      <c r="R76" s="2"/>
      <c r="S76" s="2"/>
      <c r="T76" s="2"/>
      <c r="U76" s="2"/>
      <c r="V76" s="57"/>
      <c r="W76" s="63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57"/>
      <c r="AS76" s="23"/>
    </row>
    <row r="77" spans="1:45" x14ac:dyDescent="0.25">
      <c r="A77" s="56">
        <v>0.45833333333333331</v>
      </c>
      <c r="B77" s="5">
        <v>0.47916666666666669</v>
      </c>
      <c r="C77" s="63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57"/>
      <c r="P77" s="63"/>
      <c r="Q77" s="2"/>
      <c r="R77" s="2"/>
      <c r="S77" s="2"/>
      <c r="T77" s="2"/>
      <c r="U77" s="2"/>
      <c r="V77" s="57"/>
      <c r="W77" s="63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57"/>
      <c r="AS77" s="23"/>
    </row>
    <row r="78" spans="1:45" x14ac:dyDescent="0.25">
      <c r="A78" s="56">
        <v>0.47916666666666669</v>
      </c>
      <c r="B78" s="5">
        <v>0.5</v>
      </c>
      <c r="C78" s="63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57"/>
      <c r="P78" s="63"/>
      <c r="Q78" s="2"/>
      <c r="R78" s="2"/>
      <c r="S78" s="2"/>
      <c r="T78" s="2"/>
      <c r="U78" s="2"/>
      <c r="V78" s="57"/>
      <c r="W78" s="63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57"/>
      <c r="AS78" s="23"/>
    </row>
    <row r="79" spans="1:45" x14ac:dyDescent="0.25">
      <c r="A79" s="56">
        <v>0.5</v>
      </c>
      <c r="B79" s="5">
        <v>0.52083333333333337</v>
      </c>
      <c r="C79" s="63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57"/>
      <c r="P79" s="63"/>
      <c r="Q79" s="2"/>
      <c r="R79" s="2"/>
      <c r="S79" s="2"/>
      <c r="T79" s="2"/>
      <c r="U79" s="2"/>
      <c r="V79" s="57"/>
      <c r="W79" s="63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57"/>
      <c r="AS79" s="23"/>
    </row>
    <row r="80" spans="1:45" x14ac:dyDescent="0.25">
      <c r="A80" s="56">
        <v>0.52083333333333337</v>
      </c>
      <c r="B80" s="5">
        <v>0.54166666666666663</v>
      </c>
      <c r="C80" s="63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57"/>
      <c r="P80" s="63"/>
      <c r="Q80" s="2"/>
      <c r="R80" s="2"/>
      <c r="S80" s="2"/>
      <c r="T80" s="2"/>
      <c r="U80" s="2"/>
      <c r="V80" s="57"/>
      <c r="W80" s="63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57"/>
      <c r="AS80" s="23"/>
    </row>
    <row r="81" spans="1:45" x14ac:dyDescent="0.25">
      <c r="A81" s="56">
        <v>0.54166666666666663</v>
      </c>
      <c r="B81" s="5">
        <v>0.5625</v>
      </c>
      <c r="C81" s="63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57"/>
      <c r="P81" s="63"/>
      <c r="Q81" s="2"/>
      <c r="R81" s="2"/>
      <c r="S81" s="2"/>
      <c r="T81" s="2"/>
      <c r="U81" s="2"/>
      <c r="V81" s="57"/>
      <c r="W81" s="63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57"/>
      <c r="AS81" s="23"/>
    </row>
    <row r="82" spans="1:45" x14ac:dyDescent="0.25">
      <c r="A82" s="56">
        <v>0.5625</v>
      </c>
      <c r="B82" s="5">
        <v>0.58333333333333337</v>
      </c>
      <c r="C82" s="63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57"/>
      <c r="P82" s="63"/>
      <c r="Q82" s="2"/>
      <c r="R82" s="2"/>
      <c r="S82" s="2"/>
      <c r="T82" s="2"/>
      <c r="U82" s="2"/>
      <c r="V82" s="57"/>
      <c r="W82" s="63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57"/>
      <c r="AS82" s="23"/>
    </row>
    <row r="83" spans="1:45" x14ac:dyDescent="0.25">
      <c r="A83" s="56">
        <v>0.58333333333333337</v>
      </c>
      <c r="B83" s="5">
        <v>0.60416666666666663</v>
      </c>
      <c r="C83" s="63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57"/>
      <c r="P83" s="63"/>
      <c r="Q83" s="2"/>
      <c r="R83" s="2"/>
      <c r="S83" s="2"/>
      <c r="T83" s="2"/>
      <c r="U83" s="2"/>
      <c r="V83" s="57"/>
      <c r="W83" s="63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57"/>
      <c r="AS83" s="23"/>
    </row>
    <row r="84" spans="1:45" x14ac:dyDescent="0.25">
      <c r="A84" s="56">
        <v>0.60416666666666663</v>
      </c>
      <c r="B84" s="5">
        <v>0.625</v>
      </c>
      <c r="C84" s="63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57"/>
      <c r="P84" s="63"/>
      <c r="Q84" s="2"/>
      <c r="R84" s="2"/>
      <c r="S84" s="2"/>
      <c r="T84" s="2"/>
      <c r="U84" s="2"/>
      <c r="V84" s="57"/>
      <c r="W84" s="63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57"/>
      <c r="AS84" s="23"/>
    </row>
    <row r="85" spans="1:45" x14ac:dyDescent="0.25">
      <c r="A85" s="56">
        <v>0.625</v>
      </c>
      <c r="B85" s="5">
        <v>0.64583333333333337</v>
      </c>
      <c r="C85" s="63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57"/>
      <c r="P85" s="63"/>
      <c r="Q85" s="2"/>
      <c r="R85" s="2"/>
      <c r="S85" s="2"/>
      <c r="T85" s="2"/>
      <c r="U85" s="2"/>
      <c r="V85" s="57"/>
      <c r="W85" s="63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57"/>
      <c r="AS85" s="23"/>
    </row>
    <row r="86" spans="1:45" x14ac:dyDescent="0.25">
      <c r="A86" s="56">
        <v>0.64583333333333337</v>
      </c>
      <c r="B86" s="5">
        <v>0.66666666666666663</v>
      </c>
      <c r="C86" s="63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57"/>
      <c r="P86" s="63"/>
      <c r="Q86" s="2"/>
      <c r="R86" s="2"/>
      <c r="S86" s="2"/>
      <c r="T86" s="2"/>
      <c r="U86" s="2"/>
      <c r="V86" s="57"/>
      <c r="W86" s="63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57"/>
      <c r="AS86" s="23"/>
    </row>
    <row r="87" spans="1:45" x14ac:dyDescent="0.25">
      <c r="A87" s="56">
        <v>0.66666666666666663</v>
      </c>
      <c r="B87" s="5">
        <v>0.6875</v>
      </c>
      <c r="C87" s="63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57"/>
      <c r="P87" s="63"/>
      <c r="Q87" s="2"/>
      <c r="R87" s="2"/>
      <c r="S87" s="2"/>
      <c r="T87" s="2"/>
      <c r="U87" s="2"/>
      <c r="V87" s="57"/>
      <c r="W87" s="63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57"/>
      <c r="AS87" s="23"/>
    </row>
    <row r="88" spans="1:45" x14ac:dyDescent="0.25">
      <c r="A88" s="56">
        <v>0.6875</v>
      </c>
      <c r="B88" s="5">
        <v>0.70833333333333337</v>
      </c>
      <c r="C88" s="63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57"/>
      <c r="P88" s="63"/>
      <c r="Q88" s="2"/>
      <c r="R88" s="2"/>
      <c r="S88" s="2"/>
      <c r="T88" s="2"/>
      <c r="U88" s="2"/>
      <c r="V88" s="57"/>
      <c r="W88" s="63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57"/>
      <c r="AS88" s="23"/>
    </row>
    <row r="89" spans="1:45" x14ac:dyDescent="0.25">
      <c r="A89" s="56">
        <v>0.70833333333333337</v>
      </c>
      <c r="B89" s="5">
        <v>0.72916666666666663</v>
      </c>
      <c r="C89" s="63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57"/>
      <c r="P89" s="63"/>
      <c r="Q89" s="2"/>
      <c r="R89" s="2"/>
      <c r="S89" s="2"/>
      <c r="T89" s="2"/>
      <c r="U89" s="2"/>
      <c r="V89" s="57"/>
      <c r="W89" s="63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57"/>
      <c r="AS89" s="23"/>
    </row>
    <row r="90" spans="1:45" x14ac:dyDescent="0.25">
      <c r="A90" s="56">
        <v>0.72916666666666663</v>
      </c>
      <c r="B90" s="5">
        <v>0.75</v>
      </c>
      <c r="C90" s="63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57"/>
      <c r="P90" s="63"/>
      <c r="Q90" s="2"/>
      <c r="R90" s="2"/>
      <c r="S90" s="2"/>
      <c r="T90" s="2"/>
      <c r="U90" s="2"/>
      <c r="V90" s="57"/>
      <c r="W90" s="63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57"/>
      <c r="AS90" s="23"/>
    </row>
    <row r="91" spans="1:45" x14ac:dyDescent="0.25">
      <c r="A91" s="56">
        <v>0.75</v>
      </c>
      <c r="B91" s="5">
        <v>0.77083333333333337</v>
      </c>
      <c r="C91" s="63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57"/>
      <c r="P91" s="63"/>
      <c r="Q91" s="2"/>
      <c r="R91" s="2"/>
      <c r="S91" s="2"/>
      <c r="T91" s="2"/>
      <c r="U91" s="2"/>
      <c r="V91" s="57"/>
      <c r="W91" s="63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57"/>
      <c r="AS91" s="23"/>
    </row>
    <row r="92" spans="1:45" x14ac:dyDescent="0.25">
      <c r="A92" s="56">
        <v>0.77083333333333337</v>
      </c>
      <c r="B92" s="5">
        <v>0.79166666666666663</v>
      </c>
      <c r="C92" s="63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57"/>
      <c r="P92" s="63"/>
      <c r="Q92" s="2"/>
      <c r="R92" s="2"/>
      <c r="S92" s="2"/>
      <c r="T92" s="2"/>
      <c r="U92" s="2"/>
      <c r="V92" s="57"/>
      <c r="W92" s="63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57"/>
      <c r="AS92" s="23"/>
    </row>
    <row r="93" spans="1:45" x14ac:dyDescent="0.25">
      <c r="A93" s="56">
        <v>0.79166666666666663</v>
      </c>
      <c r="B93" s="5">
        <v>0.8125</v>
      </c>
      <c r="C93" s="63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57"/>
      <c r="P93" s="63"/>
      <c r="Q93" s="2"/>
      <c r="R93" s="2"/>
      <c r="S93" s="2"/>
      <c r="T93" s="2"/>
      <c r="U93" s="2"/>
      <c r="V93" s="57"/>
      <c r="W93" s="63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57"/>
      <c r="AS93" s="23"/>
    </row>
    <row r="94" spans="1:45" x14ac:dyDescent="0.25">
      <c r="A94" s="56">
        <v>0.8125</v>
      </c>
      <c r="B94" s="5">
        <v>0.83333333333333337</v>
      </c>
      <c r="C94" s="63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57"/>
      <c r="P94" s="63"/>
      <c r="Q94" s="2"/>
      <c r="R94" s="2"/>
      <c r="S94" s="2"/>
      <c r="T94" s="2"/>
      <c r="U94" s="2"/>
      <c r="V94" s="57"/>
      <c r="W94" s="63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57"/>
      <c r="AS94" s="23"/>
    </row>
    <row r="95" spans="1:45" x14ac:dyDescent="0.25">
      <c r="A95" s="56">
        <v>0.83333333333333337</v>
      </c>
      <c r="B95" s="5">
        <v>0.85416666666666663</v>
      </c>
      <c r="C95" s="63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57"/>
      <c r="P95" s="63"/>
      <c r="Q95" s="2"/>
      <c r="R95" s="2"/>
      <c r="S95" s="2"/>
      <c r="T95" s="2"/>
      <c r="U95" s="2"/>
      <c r="V95" s="57"/>
      <c r="W95" s="63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57"/>
      <c r="AS95" s="23"/>
    </row>
    <row r="96" spans="1:45" x14ac:dyDescent="0.25">
      <c r="A96" s="56">
        <v>0.85416666666666663</v>
      </c>
      <c r="B96" s="5">
        <v>0.875</v>
      </c>
      <c r="C96" s="63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57"/>
      <c r="P96" s="63"/>
      <c r="Q96" s="2"/>
      <c r="R96" s="2"/>
      <c r="S96" s="2"/>
      <c r="T96" s="2"/>
      <c r="U96" s="2"/>
      <c r="V96" s="57"/>
      <c r="W96" s="63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57"/>
      <c r="AS96" s="23"/>
    </row>
    <row r="97" spans="1:45" x14ac:dyDescent="0.25">
      <c r="A97" s="56">
        <v>0.875</v>
      </c>
      <c r="B97" s="5">
        <v>0.89583333333333337</v>
      </c>
      <c r="C97" s="63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57"/>
      <c r="P97" s="63"/>
      <c r="Q97" s="2"/>
      <c r="R97" s="2"/>
      <c r="S97" s="2"/>
      <c r="T97" s="2"/>
      <c r="U97" s="2"/>
      <c r="V97" s="57"/>
      <c r="W97" s="63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57"/>
      <c r="AS97" s="23"/>
    </row>
    <row r="98" spans="1:45" x14ac:dyDescent="0.25">
      <c r="A98" s="56">
        <v>0.89583333333333337</v>
      </c>
      <c r="B98" s="5">
        <v>0.91666666666666663</v>
      </c>
      <c r="C98" s="63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57"/>
      <c r="P98" s="63"/>
      <c r="Q98" s="2"/>
      <c r="R98" s="2"/>
      <c r="S98" s="2"/>
      <c r="T98" s="2"/>
      <c r="U98" s="2"/>
      <c r="V98" s="57"/>
      <c r="W98" s="63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57"/>
      <c r="AS98" s="23"/>
    </row>
    <row r="99" spans="1:45" x14ac:dyDescent="0.25">
      <c r="A99" s="56">
        <v>0.91666666666666663</v>
      </c>
      <c r="B99" s="5">
        <v>0.9375</v>
      </c>
      <c r="C99" s="63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57"/>
      <c r="P99" s="63"/>
      <c r="Q99" s="2"/>
      <c r="R99" s="2"/>
      <c r="S99" s="2"/>
      <c r="T99" s="2"/>
      <c r="U99" s="2"/>
      <c r="V99" s="57"/>
      <c r="W99" s="63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57"/>
      <c r="AS99" s="23"/>
    </row>
    <row r="100" spans="1:45" x14ac:dyDescent="0.25">
      <c r="A100" s="56">
        <v>0.9375</v>
      </c>
      <c r="B100" s="5">
        <v>0.95833333333333337</v>
      </c>
      <c r="C100" s="63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57"/>
      <c r="P100" s="63"/>
      <c r="Q100" s="2"/>
      <c r="R100" s="2"/>
      <c r="S100" s="2"/>
      <c r="T100" s="2"/>
      <c r="U100" s="2"/>
      <c r="V100" s="57"/>
      <c r="W100" s="63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57"/>
      <c r="AS100" s="23"/>
    </row>
    <row r="101" spans="1:45" x14ac:dyDescent="0.25">
      <c r="A101" s="56">
        <v>0.95833333333333337</v>
      </c>
      <c r="B101" s="5">
        <v>0.97916666666666663</v>
      </c>
      <c r="C101" s="63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57"/>
      <c r="P101" s="63"/>
      <c r="Q101" s="2"/>
      <c r="R101" s="2"/>
      <c r="S101" s="2"/>
      <c r="T101" s="2"/>
      <c r="U101" s="2"/>
      <c r="V101" s="57"/>
      <c r="W101" s="63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57"/>
      <c r="AS101" s="23"/>
    </row>
    <row r="102" spans="1:45" ht="15.75" thickBot="1" x14ac:dyDescent="0.3">
      <c r="A102" s="58">
        <v>0.97916666666666663</v>
      </c>
      <c r="B102" s="59">
        <v>0</v>
      </c>
      <c r="C102" s="64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60"/>
      <c r="O102" s="61"/>
      <c r="P102" s="64"/>
      <c r="Q102" s="60"/>
      <c r="R102" s="60"/>
      <c r="S102" s="60"/>
      <c r="T102" s="60"/>
      <c r="U102" s="60"/>
      <c r="V102" s="61"/>
      <c r="W102" s="64"/>
      <c r="X102" s="60"/>
      <c r="Y102" s="60"/>
      <c r="Z102" s="60"/>
      <c r="AA102" s="60"/>
      <c r="AB102" s="60"/>
      <c r="AC102" s="60"/>
      <c r="AD102" s="60"/>
      <c r="AE102" s="60"/>
      <c r="AF102" s="60"/>
      <c r="AG102" s="60"/>
      <c r="AH102" s="60"/>
      <c r="AI102" s="60"/>
      <c r="AJ102" s="60"/>
      <c r="AK102" s="60"/>
      <c r="AL102" s="60"/>
      <c r="AM102" s="60"/>
      <c r="AN102" s="60"/>
      <c r="AO102" s="60"/>
      <c r="AP102" s="60"/>
      <c r="AQ102" s="60"/>
      <c r="AR102" s="61"/>
      <c r="AS102" s="23"/>
    </row>
    <row r="103" spans="1:45" ht="24" thickBot="1" x14ac:dyDescent="0.3">
      <c r="A103" s="356" t="s">
        <v>62</v>
      </c>
      <c r="B103" s="357"/>
      <c r="C103" s="357"/>
      <c r="D103" s="357"/>
      <c r="E103" s="357"/>
      <c r="F103" s="357"/>
      <c r="G103" s="357"/>
      <c r="H103" s="357"/>
      <c r="I103" s="357"/>
      <c r="J103" s="357"/>
      <c r="K103" s="357"/>
      <c r="L103" s="357"/>
      <c r="M103" s="357"/>
      <c r="N103" s="357"/>
      <c r="O103" s="357"/>
      <c r="P103" s="357"/>
      <c r="Q103" s="357"/>
      <c r="R103" s="357"/>
      <c r="S103" s="357"/>
      <c r="T103" s="357"/>
      <c r="U103" s="357"/>
      <c r="V103" s="357"/>
      <c r="W103" s="357"/>
      <c r="X103" s="357"/>
      <c r="Y103" s="357"/>
      <c r="Z103" s="357"/>
      <c r="AA103" s="357"/>
      <c r="AB103" s="357"/>
      <c r="AC103" s="357"/>
      <c r="AD103" s="357"/>
      <c r="AE103" s="357"/>
      <c r="AF103" s="357"/>
      <c r="AG103" s="357"/>
      <c r="AH103" s="357"/>
      <c r="AI103" s="357"/>
      <c r="AJ103" s="357"/>
      <c r="AK103" s="357"/>
      <c r="AL103" s="357"/>
      <c r="AM103" s="357"/>
      <c r="AN103" s="357"/>
      <c r="AO103" s="357"/>
      <c r="AP103" s="357"/>
      <c r="AQ103" s="357"/>
      <c r="AR103" s="357"/>
    </row>
    <row r="104" spans="1:45" x14ac:dyDescent="0.25">
      <c r="A104" s="349" t="s">
        <v>56</v>
      </c>
      <c r="B104" s="350"/>
      <c r="C104" s="353" t="s">
        <v>57</v>
      </c>
      <c r="D104" s="354"/>
      <c r="E104" s="354"/>
      <c r="F104" s="354"/>
      <c r="G104" s="354"/>
      <c r="H104" s="354"/>
      <c r="I104" s="354"/>
      <c r="J104" s="354"/>
      <c r="K104" s="354"/>
      <c r="L104" s="354"/>
      <c r="M104" s="354"/>
      <c r="N104" s="354"/>
      <c r="O104" s="355"/>
      <c r="P104" s="353" t="s">
        <v>58</v>
      </c>
      <c r="Q104" s="354"/>
      <c r="R104" s="354"/>
      <c r="S104" s="354"/>
      <c r="T104" s="354"/>
      <c r="U104" s="354"/>
      <c r="V104" s="355"/>
      <c r="W104" s="353" t="s">
        <v>59</v>
      </c>
      <c r="X104" s="354"/>
      <c r="Y104" s="354"/>
      <c r="Z104" s="354"/>
      <c r="AA104" s="354"/>
      <c r="AB104" s="354"/>
      <c r="AC104" s="354"/>
      <c r="AD104" s="354"/>
      <c r="AE104" s="354"/>
      <c r="AF104" s="354"/>
      <c r="AG104" s="354"/>
      <c r="AH104" s="354"/>
      <c r="AI104" s="354"/>
      <c r="AJ104" s="354"/>
      <c r="AK104" s="354"/>
      <c r="AL104" s="354"/>
      <c r="AM104" s="354"/>
      <c r="AN104" s="354"/>
      <c r="AO104" s="354"/>
      <c r="AP104" s="354"/>
      <c r="AQ104" s="354"/>
      <c r="AR104" s="355"/>
    </row>
    <row r="105" spans="1:45" ht="15.75" thickBot="1" x14ac:dyDescent="0.3">
      <c r="A105" s="351"/>
      <c r="B105" s="352"/>
      <c r="C105" s="69">
        <f>MAX(C106:C153)</f>
        <v>0</v>
      </c>
      <c r="D105" s="70">
        <f t="shared" ref="D105:AR105" si="2">MAX(D106:D153)</f>
        <v>0</v>
      </c>
      <c r="E105" s="70">
        <f t="shared" si="2"/>
        <v>0</v>
      </c>
      <c r="F105" s="70">
        <f t="shared" si="2"/>
        <v>0</v>
      </c>
      <c r="G105" s="70">
        <f t="shared" si="2"/>
        <v>0</v>
      </c>
      <c r="H105" s="70">
        <f t="shared" si="2"/>
        <v>0</v>
      </c>
      <c r="I105" s="70">
        <f t="shared" si="2"/>
        <v>0</v>
      </c>
      <c r="J105" s="70">
        <f t="shared" si="2"/>
        <v>0</v>
      </c>
      <c r="K105" s="70">
        <f t="shared" si="2"/>
        <v>0</v>
      </c>
      <c r="L105" s="70">
        <f t="shared" si="2"/>
        <v>0</v>
      </c>
      <c r="M105" s="70">
        <f t="shared" si="2"/>
        <v>0</v>
      </c>
      <c r="N105" s="70">
        <f t="shared" si="2"/>
        <v>0</v>
      </c>
      <c r="O105" s="73">
        <f t="shared" si="2"/>
        <v>0</v>
      </c>
      <c r="P105" s="74">
        <f t="shared" si="2"/>
        <v>0</v>
      </c>
      <c r="Q105" s="71">
        <f t="shared" si="2"/>
        <v>0</v>
      </c>
      <c r="R105" s="71">
        <f t="shared" si="2"/>
        <v>0</v>
      </c>
      <c r="S105" s="71">
        <f t="shared" si="2"/>
        <v>0</v>
      </c>
      <c r="T105" s="71">
        <f t="shared" si="2"/>
        <v>0</v>
      </c>
      <c r="U105" s="71">
        <f t="shared" si="2"/>
        <v>0</v>
      </c>
      <c r="V105" s="75">
        <f t="shared" si="2"/>
        <v>0</v>
      </c>
      <c r="W105" s="76">
        <f t="shared" si="2"/>
        <v>0</v>
      </c>
      <c r="X105" s="72">
        <f t="shared" si="2"/>
        <v>0</v>
      </c>
      <c r="Y105" s="72">
        <f t="shared" si="2"/>
        <v>0</v>
      </c>
      <c r="Z105" s="72">
        <f t="shared" si="2"/>
        <v>0</v>
      </c>
      <c r="AA105" s="72">
        <f t="shared" si="2"/>
        <v>0</v>
      </c>
      <c r="AB105" s="72">
        <f t="shared" si="2"/>
        <v>0</v>
      </c>
      <c r="AC105" s="72">
        <f t="shared" si="2"/>
        <v>0</v>
      </c>
      <c r="AD105" s="72">
        <f t="shared" si="2"/>
        <v>0</v>
      </c>
      <c r="AE105" s="72">
        <f t="shared" si="2"/>
        <v>0</v>
      </c>
      <c r="AF105" s="72">
        <f t="shared" si="2"/>
        <v>0</v>
      </c>
      <c r="AG105" s="72">
        <f t="shared" si="2"/>
        <v>0</v>
      </c>
      <c r="AH105" s="72">
        <f t="shared" si="2"/>
        <v>0</v>
      </c>
      <c r="AI105" s="72">
        <f t="shared" si="2"/>
        <v>0</v>
      </c>
      <c r="AJ105" s="72">
        <f t="shared" si="2"/>
        <v>0</v>
      </c>
      <c r="AK105" s="72">
        <f t="shared" si="2"/>
        <v>0</v>
      </c>
      <c r="AL105" s="72">
        <f t="shared" si="2"/>
        <v>0</v>
      </c>
      <c r="AM105" s="72">
        <f t="shared" si="2"/>
        <v>0</v>
      </c>
      <c r="AN105" s="72">
        <f t="shared" si="2"/>
        <v>0</v>
      </c>
      <c r="AO105" s="72">
        <f t="shared" si="2"/>
        <v>0</v>
      </c>
      <c r="AP105" s="72">
        <f t="shared" si="2"/>
        <v>0</v>
      </c>
      <c r="AQ105" s="72">
        <f t="shared" si="2"/>
        <v>0</v>
      </c>
      <c r="AR105" s="77">
        <f t="shared" si="2"/>
        <v>0</v>
      </c>
    </row>
    <row r="106" spans="1:45" x14ac:dyDescent="0.25">
      <c r="A106" s="65">
        <v>0</v>
      </c>
      <c r="B106" s="66">
        <v>2.0833333333333332E-2</v>
      </c>
      <c r="C106" s="67"/>
      <c r="D106" s="68"/>
      <c r="E106" s="68"/>
      <c r="F106" s="68"/>
      <c r="G106" s="68"/>
      <c r="H106" s="68"/>
      <c r="I106" s="68"/>
      <c r="J106" s="68"/>
      <c r="K106" s="68"/>
      <c r="L106" s="68"/>
      <c r="M106" s="68"/>
      <c r="N106" s="68"/>
      <c r="O106" s="62"/>
      <c r="P106" s="67"/>
      <c r="Q106" s="68"/>
      <c r="R106" s="68"/>
      <c r="S106" s="68"/>
      <c r="T106" s="68"/>
      <c r="U106" s="68"/>
      <c r="V106" s="62"/>
      <c r="W106" s="67"/>
      <c r="X106" s="68"/>
      <c r="Y106" s="68"/>
      <c r="Z106" s="68"/>
      <c r="AA106" s="68"/>
      <c r="AB106" s="68"/>
      <c r="AC106" s="68"/>
      <c r="AD106" s="68"/>
      <c r="AE106" s="68"/>
      <c r="AF106" s="68"/>
      <c r="AG106" s="68"/>
      <c r="AH106" s="68"/>
      <c r="AI106" s="68"/>
      <c r="AJ106" s="68"/>
      <c r="AK106" s="68"/>
      <c r="AL106" s="68"/>
      <c r="AM106" s="68"/>
      <c r="AN106" s="68"/>
      <c r="AO106" s="68"/>
      <c r="AP106" s="68"/>
      <c r="AQ106" s="68"/>
      <c r="AR106" s="62"/>
      <c r="AS106" s="23"/>
    </row>
    <row r="107" spans="1:45" x14ac:dyDescent="0.25">
      <c r="A107" s="56">
        <v>2.0833333333333332E-2</v>
      </c>
      <c r="B107" s="5">
        <v>4.1666666666666664E-2</v>
      </c>
      <c r="C107" s="63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57"/>
      <c r="P107" s="63"/>
      <c r="Q107" s="2"/>
      <c r="R107" s="2"/>
      <c r="S107" s="2"/>
      <c r="T107" s="2"/>
      <c r="U107" s="2"/>
      <c r="V107" s="57"/>
      <c r="W107" s="63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57"/>
      <c r="AS107" s="23"/>
    </row>
    <row r="108" spans="1:45" x14ac:dyDescent="0.25">
      <c r="A108" s="56">
        <v>4.1666666666666664E-2</v>
      </c>
      <c r="B108" s="5">
        <v>6.25E-2</v>
      </c>
      <c r="C108" s="63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57"/>
      <c r="P108" s="63"/>
      <c r="Q108" s="2"/>
      <c r="R108" s="2"/>
      <c r="S108" s="2"/>
      <c r="T108" s="2"/>
      <c r="U108" s="2"/>
      <c r="V108" s="57"/>
      <c r="W108" s="63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57"/>
      <c r="AS108" s="23"/>
    </row>
    <row r="109" spans="1:45" x14ac:dyDescent="0.25">
      <c r="A109" s="56">
        <v>6.25E-2</v>
      </c>
      <c r="B109" s="5">
        <v>8.3333333333333329E-2</v>
      </c>
      <c r="C109" s="63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57"/>
      <c r="P109" s="63"/>
      <c r="Q109" s="2"/>
      <c r="R109" s="2"/>
      <c r="S109" s="2"/>
      <c r="T109" s="2"/>
      <c r="U109" s="2"/>
      <c r="V109" s="57"/>
      <c r="W109" s="63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57"/>
      <c r="AS109" s="23"/>
    </row>
    <row r="110" spans="1:45" x14ac:dyDescent="0.25">
      <c r="A110" s="56">
        <v>8.3333333333333329E-2</v>
      </c>
      <c r="B110" s="5">
        <v>0.10416666666666667</v>
      </c>
      <c r="C110" s="63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57"/>
      <c r="P110" s="63"/>
      <c r="Q110" s="2"/>
      <c r="R110" s="2"/>
      <c r="S110" s="2"/>
      <c r="T110" s="2"/>
      <c r="U110" s="2"/>
      <c r="V110" s="57"/>
      <c r="W110" s="63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57"/>
      <c r="AS110" s="23"/>
    </row>
    <row r="111" spans="1:45" x14ac:dyDescent="0.25">
      <c r="A111" s="56">
        <v>0.10416666666666667</v>
      </c>
      <c r="B111" s="5">
        <v>0.125</v>
      </c>
      <c r="C111" s="63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57"/>
      <c r="P111" s="63"/>
      <c r="Q111" s="2"/>
      <c r="R111" s="2"/>
      <c r="S111" s="2"/>
      <c r="T111" s="2"/>
      <c r="U111" s="2"/>
      <c r="V111" s="57"/>
      <c r="W111" s="63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57"/>
      <c r="AS111" s="23"/>
    </row>
    <row r="112" spans="1:45" x14ac:dyDescent="0.25">
      <c r="A112" s="56">
        <v>0.125</v>
      </c>
      <c r="B112" s="5">
        <v>0.14583333333333334</v>
      </c>
      <c r="C112" s="63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57"/>
      <c r="P112" s="63"/>
      <c r="Q112" s="2"/>
      <c r="R112" s="2"/>
      <c r="S112" s="2"/>
      <c r="T112" s="2"/>
      <c r="U112" s="2"/>
      <c r="V112" s="57"/>
      <c r="W112" s="63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57"/>
      <c r="AS112" s="23"/>
    </row>
    <row r="113" spans="1:45" x14ac:dyDescent="0.25">
      <c r="A113" s="56">
        <v>0.14583333333333334</v>
      </c>
      <c r="B113" s="5">
        <v>0.16666666666666666</v>
      </c>
      <c r="C113" s="63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57"/>
      <c r="P113" s="63"/>
      <c r="Q113" s="2"/>
      <c r="R113" s="2"/>
      <c r="S113" s="2"/>
      <c r="T113" s="2"/>
      <c r="U113" s="2"/>
      <c r="V113" s="57"/>
      <c r="W113" s="63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57"/>
      <c r="AS113" s="23"/>
    </row>
    <row r="114" spans="1:45" x14ac:dyDescent="0.25">
      <c r="A114" s="56">
        <v>0.16666666666666666</v>
      </c>
      <c r="B114" s="5">
        <v>0.1875</v>
      </c>
      <c r="C114" s="63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57"/>
      <c r="P114" s="63"/>
      <c r="Q114" s="2"/>
      <c r="R114" s="2"/>
      <c r="S114" s="2"/>
      <c r="T114" s="2"/>
      <c r="U114" s="2"/>
      <c r="V114" s="57"/>
      <c r="W114" s="63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57"/>
      <c r="AS114" s="23"/>
    </row>
    <row r="115" spans="1:45" x14ac:dyDescent="0.25">
      <c r="A115" s="56">
        <v>0.1875</v>
      </c>
      <c r="B115" s="5">
        <v>0.20833333333333334</v>
      </c>
      <c r="C115" s="63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57"/>
      <c r="P115" s="63"/>
      <c r="Q115" s="2"/>
      <c r="R115" s="2"/>
      <c r="S115" s="2"/>
      <c r="T115" s="2"/>
      <c r="U115" s="2"/>
      <c r="V115" s="57"/>
      <c r="W115" s="63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57"/>
      <c r="AS115" s="23"/>
    </row>
    <row r="116" spans="1:45" x14ac:dyDescent="0.25">
      <c r="A116" s="56">
        <v>0.20833333333333334</v>
      </c>
      <c r="B116" s="5">
        <v>0.22916666666666666</v>
      </c>
      <c r="C116" s="63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57"/>
      <c r="P116" s="63"/>
      <c r="Q116" s="2"/>
      <c r="R116" s="2"/>
      <c r="S116" s="2"/>
      <c r="T116" s="2"/>
      <c r="U116" s="2"/>
      <c r="V116" s="57"/>
      <c r="W116" s="63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57"/>
      <c r="AS116" s="23"/>
    </row>
    <row r="117" spans="1:45" x14ac:dyDescent="0.25">
      <c r="A117" s="56">
        <v>0.22916666666666666</v>
      </c>
      <c r="B117" s="5">
        <v>0.25</v>
      </c>
      <c r="C117" s="63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57"/>
      <c r="P117" s="63"/>
      <c r="Q117" s="2"/>
      <c r="R117" s="2"/>
      <c r="S117" s="2"/>
      <c r="T117" s="2"/>
      <c r="U117" s="2"/>
      <c r="V117" s="57"/>
      <c r="W117" s="63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57"/>
      <c r="AS117" s="23"/>
    </row>
    <row r="118" spans="1:45" x14ac:dyDescent="0.25">
      <c r="A118" s="56">
        <v>0.25</v>
      </c>
      <c r="B118" s="5">
        <v>0.27083333333333331</v>
      </c>
      <c r="C118" s="63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57"/>
      <c r="P118" s="63"/>
      <c r="Q118" s="2"/>
      <c r="R118" s="2"/>
      <c r="S118" s="2"/>
      <c r="T118" s="2"/>
      <c r="U118" s="2"/>
      <c r="V118" s="57"/>
      <c r="W118" s="63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57"/>
      <c r="AS118" s="23"/>
    </row>
    <row r="119" spans="1:45" x14ac:dyDescent="0.25">
      <c r="A119" s="56">
        <v>0.27083333333333331</v>
      </c>
      <c r="B119" s="5">
        <v>0.29166666666666669</v>
      </c>
      <c r="C119" s="63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57"/>
      <c r="P119" s="63"/>
      <c r="Q119" s="2"/>
      <c r="R119" s="2"/>
      <c r="S119" s="2"/>
      <c r="T119" s="2"/>
      <c r="U119" s="2"/>
      <c r="V119" s="57"/>
      <c r="W119" s="63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57"/>
      <c r="AS119" s="23"/>
    </row>
    <row r="120" spans="1:45" x14ac:dyDescent="0.25">
      <c r="A120" s="56">
        <v>0.29166666666666669</v>
      </c>
      <c r="B120" s="5">
        <v>0.3125</v>
      </c>
      <c r="C120" s="63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57"/>
      <c r="P120" s="63"/>
      <c r="Q120" s="2"/>
      <c r="R120" s="2"/>
      <c r="S120" s="2"/>
      <c r="T120" s="2"/>
      <c r="U120" s="2"/>
      <c r="V120" s="57"/>
      <c r="W120" s="63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57"/>
      <c r="AS120" s="23"/>
    </row>
    <row r="121" spans="1:45" x14ac:dyDescent="0.25">
      <c r="A121" s="56">
        <v>0.3125</v>
      </c>
      <c r="B121" s="5">
        <v>0.33333333333333331</v>
      </c>
      <c r="C121" s="63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57"/>
      <c r="P121" s="63"/>
      <c r="Q121" s="2"/>
      <c r="R121" s="2"/>
      <c r="S121" s="2"/>
      <c r="T121" s="2"/>
      <c r="U121" s="2"/>
      <c r="V121" s="57"/>
      <c r="W121" s="63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57"/>
      <c r="AS121" s="23"/>
    </row>
    <row r="122" spans="1:45" x14ac:dyDescent="0.25">
      <c r="A122" s="56">
        <v>0.33333333333333331</v>
      </c>
      <c r="B122" s="5">
        <v>0.35416666666666669</v>
      </c>
      <c r="C122" s="63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57"/>
      <c r="P122" s="63"/>
      <c r="Q122" s="2"/>
      <c r="R122" s="2"/>
      <c r="S122" s="2"/>
      <c r="T122" s="2"/>
      <c r="U122" s="2"/>
      <c r="V122" s="57"/>
      <c r="W122" s="63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57"/>
      <c r="AS122" s="23"/>
    </row>
    <row r="123" spans="1:45" x14ac:dyDescent="0.25">
      <c r="A123" s="56">
        <v>0.35416666666666669</v>
      </c>
      <c r="B123" s="5">
        <v>0.375</v>
      </c>
      <c r="C123" s="63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57"/>
      <c r="P123" s="63"/>
      <c r="Q123" s="2"/>
      <c r="R123" s="2"/>
      <c r="S123" s="2"/>
      <c r="T123" s="2"/>
      <c r="U123" s="2"/>
      <c r="V123" s="57"/>
      <c r="W123" s="63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57"/>
      <c r="AS123" s="23"/>
    </row>
    <row r="124" spans="1:45" x14ac:dyDescent="0.25">
      <c r="A124" s="56">
        <v>0.375</v>
      </c>
      <c r="B124" s="5">
        <v>0.39583333333333331</v>
      </c>
      <c r="C124" s="63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57"/>
      <c r="P124" s="63"/>
      <c r="Q124" s="2"/>
      <c r="R124" s="2"/>
      <c r="S124" s="2"/>
      <c r="T124" s="2"/>
      <c r="U124" s="2"/>
      <c r="V124" s="57"/>
      <c r="W124" s="63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57"/>
      <c r="AS124" s="23"/>
    </row>
    <row r="125" spans="1:45" x14ac:dyDescent="0.25">
      <c r="A125" s="56">
        <v>0.39583333333333331</v>
      </c>
      <c r="B125" s="5">
        <v>0.41666666666666669</v>
      </c>
      <c r="C125" s="63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57"/>
      <c r="P125" s="63"/>
      <c r="Q125" s="2"/>
      <c r="R125" s="2"/>
      <c r="S125" s="2"/>
      <c r="T125" s="2"/>
      <c r="U125" s="2"/>
      <c r="V125" s="57"/>
      <c r="W125" s="63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57"/>
      <c r="AS125" s="23"/>
    </row>
    <row r="126" spans="1:45" x14ac:dyDescent="0.25">
      <c r="A126" s="56">
        <v>0.41666666666666669</v>
      </c>
      <c r="B126" s="5">
        <v>0.4375</v>
      </c>
      <c r="C126" s="63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57"/>
      <c r="P126" s="63"/>
      <c r="Q126" s="2"/>
      <c r="R126" s="2"/>
      <c r="S126" s="2"/>
      <c r="T126" s="2"/>
      <c r="U126" s="2"/>
      <c r="V126" s="57"/>
      <c r="W126" s="63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57"/>
      <c r="AS126" s="23"/>
    </row>
    <row r="127" spans="1:45" x14ac:dyDescent="0.25">
      <c r="A127" s="56">
        <v>0.4375</v>
      </c>
      <c r="B127" s="5">
        <v>0.45833333333333331</v>
      </c>
      <c r="C127" s="63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57"/>
      <c r="P127" s="63"/>
      <c r="Q127" s="2"/>
      <c r="R127" s="2"/>
      <c r="S127" s="2"/>
      <c r="T127" s="2"/>
      <c r="U127" s="2"/>
      <c r="V127" s="57"/>
      <c r="W127" s="63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57"/>
      <c r="AS127" s="23"/>
    </row>
    <row r="128" spans="1:45" x14ac:dyDescent="0.25">
      <c r="A128" s="56">
        <v>0.45833333333333331</v>
      </c>
      <c r="B128" s="5">
        <v>0.47916666666666669</v>
      </c>
      <c r="C128" s="63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57"/>
      <c r="P128" s="63"/>
      <c r="Q128" s="2"/>
      <c r="R128" s="2"/>
      <c r="S128" s="2"/>
      <c r="T128" s="2"/>
      <c r="U128" s="2"/>
      <c r="V128" s="57"/>
      <c r="W128" s="63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57"/>
      <c r="AS128" s="23"/>
    </row>
    <row r="129" spans="1:45" x14ac:dyDescent="0.25">
      <c r="A129" s="56">
        <v>0.47916666666666669</v>
      </c>
      <c r="B129" s="5">
        <v>0.5</v>
      </c>
      <c r="C129" s="63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57"/>
      <c r="P129" s="63"/>
      <c r="Q129" s="2"/>
      <c r="R129" s="2"/>
      <c r="S129" s="2"/>
      <c r="T129" s="2"/>
      <c r="U129" s="2"/>
      <c r="V129" s="57"/>
      <c r="W129" s="63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57"/>
      <c r="AS129" s="23"/>
    </row>
    <row r="130" spans="1:45" x14ac:dyDescent="0.25">
      <c r="A130" s="56">
        <v>0.5</v>
      </c>
      <c r="B130" s="5">
        <v>0.52083333333333337</v>
      </c>
      <c r="C130" s="63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57"/>
      <c r="P130" s="63"/>
      <c r="Q130" s="2"/>
      <c r="R130" s="2"/>
      <c r="S130" s="2"/>
      <c r="T130" s="2"/>
      <c r="U130" s="2"/>
      <c r="V130" s="57"/>
      <c r="W130" s="63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57"/>
      <c r="AS130" s="23"/>
    </row>
    <row r="131" spans="1:45" x14ac:dyDescent="0.25">
      <c r="A131" s="56">
        <v>0.52083333333333337</v>
      </c>
      <c r="B131" s="5">
        <v>0.54166666666666663</v>
      </c>
      <c r="C131" s="63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57"/>
      <c r="P131" s="63"/>
      <c r="Q131" s="2"/>
      <c r="R131" s="2"/>
      <c r="S131" s="2"/>
      <c r="T131" s="2"/>
      <c r="U131" s="2"/>
      <c r="V131" s="57"/>
      <c r="W131" s="63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57"/>
      <c r="AS131" s="23"/>
    </row>
    <row r="132" spans="1:45" x14ac:dyDescent="0.25">
      <c r="A132" s="56">
        <v>0.54166666666666663</v>
      </c>
      <c r="B132" s="5">
        <v>0.5625</v>
      </c>
      <c r="C132" s="63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57"/>
      <c r="P132" s="63"/>
      <c r="Q132" s="2"/>
      <c r="R132" s="2"/>
      <c r="S132" s="2"/>
      <c r="T132" s="2"/>
      <c r="U132" s="2"/>
      <c r="V132" s="57"/>
      <c r="W132" s="63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57"/>
      <c r="AS132" s="23"/>
    </row>
    <row r="133" spans="1:45" x14ac:dyDescent="0.25">
      <c r="A133" s="56">
        <v>0.5625</v>
      </c>
      <c r="B133" s="5">
        <v>0.58333333333333337</v>
      </c>
      <c r="C133" s="63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57"/>
      <c r="P133" s="63"/>
      <c r="Q133" s="2"/>
      <c r="R133" s="2"/>
      <c r="S133" s="2"/>
      <c r="T133" s="2"/>
      <c r="U133" s="2"/>
      <c r="V133" s="57"/>
      <c r="W133" s="63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57"/>
      <c r="AS133" s="23"/>
    </row>
    <row r="134" spans="1:45" x14ac:dyDescent="0.25">
      <c r="A134" s="56">
        <v>0.58333333333333337</v>
      </c>
      <c r="B134" s="5">
        <v>0.60416666666666663</v>
      </c>
      <c r="C134" s="63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57"/>
      <c r="P134" s="63"/>
      <c r="Q134" s="2"/>
      <c r="R134" s="2"/>
      <c r="S134" s="2"/>
      <c r="T134" s="2"/>
      <c r="U134" s="2"/>
      <c r="V134" s="57"/>
      <c r="W134" s="63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57"/>
      <c r="AS134" s="23"/>
    </row>
    <row r="135" spans="1:45" x14ac:dyDescent="0.25">
      <c r="A135" s="56">
        <v>0.60416666666666663</v>
      </c>
      <c r="B135" s="5">
        <v>0.625</v>
      </c>
      <c r="C135" s="63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57"/>
      <c r="P135" s="63"/>
      <c r="Q135" s="2"/>
      <c r="R135" s="2"/>
      <c r="S135" s="2"/>
      <c r="T135" s="2"/>
      <c r="U135" s="2"/>
      <c r="V135" s="57"/>
      <c r="W135" s="63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57"/>
      <c r="AS135" s="23"/>
    </row>
    <row r="136" spans="1:45" x14ac:dyDescent="0.25">
      <c r="A136" s="56">
        <v>0.625</v>
      </c>
      <c r="B136" s="5">
        <v>0.64583333333333337</v>
      </c>
      <c r="C136" s="63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57"/>
      <c r="P136" s="63"/>
      <c r="Q136" s="2"/>
      <c r="R136" s="2"/>
      <c r="S136" s="2"/>
      <c r="T136" s="2"/>
      <c r="U136" s="2"/>
      <c r="V136" s="57"/>
      <c r="W136" s="63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57"/>
      <c r="AS136" s="23"/>
    </row>
    <row r="137" spans="1:45" x14ac:dyDescent="0.25">
      <c r="A137" s="56">
        <v>0.64583333333333337</v>
      </c>
      <c r="B137" s="5">
        <v>0.66666666666666663</v>
      </c>
      <c r="C137" s="63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57"/>
      <c r="P137" s="63"/>
      <c r="Q137" s="2"/>
      <c r="R137" s="2"/>
      <c r="S137" s="2"/>
      <c r="T137" s="2"/>
      <c r="U137" s="2"/>
      <c r="V137" s="57"/>
      <c r="W137" s="63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57"/>
      <c r="AS137" s="23"/>
    </row>
    <row r="138" spans="1:45" x14ac:dyDescent="0.25">
      <c r="A138" s="56">
        <v>0.66666666666666663</v>
      </c>
      <c r="B138" s="5">
        <v>0.6875</v>
      </c>
      <c r="C138" s="63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57"/>
      <c r="P138" s="63"/>
      <c r="Q138" s="2"/>
      <c r="R138" s="2"/>
      <c r="S138" s="2"/>
      <c r="T138" s="2"/>
      <c r="U138" s="2"/>
      <c r="V138" s="57"/>
      <c r="W138" s="63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57"/>
      <c r="AS138" s="23"/>
    </row>
    <row r="139" spans="1:45" x14ac:dyDescent="0.25">
      <c r="A139" s="56">
        <v>0.6875</v>
      </c>
      <c r="B139" s="5">
        <v>0.70833333333333337</v>
      </c>
      <c r="C139" s="63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57"/>
      <c r="P139" s="63"/>
      <c r="Q139" s="2"/>
      <c r="R139" s="2"/>
      <c r="S139" s="2"/>
      <c r="T139" s="2"/>
      <c r="U139" s="2"/>
      <c r="V139" s="57"/>
      <c r="W139" s="63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57"/>
      <c r="AS139" s="23"/>
    </row>
    <row r="140" spans="1:45" x14ac:dyDescent="0.25">
      <c r="A140" s="56">
        <v>0.70833333333333337</v>
      </c>
      <c r="B140" s="5">
        <v>0.72916666666666663</v>
      </c>
      <c r="C140" s="63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57"/>
      <c r="P140" s="63"/>
      <c r="Q140" s="2"/>
      <c r="R140" s="2"/>
      <c r="S140" s="2"/>
      <c r="T140" s="2"/>
      <c r="U140" s="2"/>
      <c r="V140" s="57"/>
      <c r="W140" s="63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57"/>
      <c r="AS140" s="23"/>
    </row>
    <row r="141" spans="1:45" x14ac:dyDescent="0.25">
      <c r="A141" s="56">
        <v>0.72916666666666663</v>
      </c>
      <c r="B141" s="5">
        <v>0.75</v>
      </c>
      <c r="C141" s="63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57"/>
      <c r="P141" s="63"/>
      <c r="Q141" s="2"/>
      <c r="R141" s="2"/>
      <c r="S141" s="2"/>
      <c r="T141" s="2"/>
      <c r="U141" s="2"/>
      <c r="V141" s="57"/>
      <c r="W141" s="63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57"/>
      <c r="AS141" s="23"/>
    </row>
    <row r="142" spans="1:45" x14ac:dyDescent="0.25">
      <c r="A142" s="56">
        <v>0.75</v>
      </c>
      <c r="B142" s="5">
        <v>0.77083333333333337</v>
      </c>
      <c r="C142" s="63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57"/>
      <c r="P142" s="63"/>
      <c r="Q142" s="2"/>
      <c r="R142" s="2"/>
      <c r="S142" s="2"/>
      <c r="T142" s="2"/>
      <c r="U142" s="2"/>
      <c r="V142" s="57"/>
      <c r="W142" s="63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57"/>
      <c r="AS142" s="23"/>
    </row>
    <row r="143" spans="1:45" x14ac:dyDescent="0.25">
      <c r="A143" s="56">
        <v>0.77083333333333337</v>
      </c>
      <c r="B143" s="5">
        <v>0.79166666666666663</v>
      </c>
      <c r="C143" s="63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57"/>
      <c r="P143" s="63"/>
      <c r="Q143" s="2"/>
      <c r="R143" s="2"/>
      <c r="S143" s="2"/>
      <c r="T143" s="2"/>
      <c r="U143" s="2"/>
      <c r="V143" s="57"/>
      <c r="W143" s="63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57"/>
      <c r="AS143" s="23"/>
    </row>
    <row r="144" spans="1:45" x14ac:dyDescent="0.25">
      <c r="A144" s="56">
        <v>0.79166666666666663</v>
      </c>
      <c r="B144" s="5">
        <v>0.8125</v>
      </c>
      <c r="C144" s="63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57"/>
      <c r="P144" s="63"/>
      <c r="Q144" s="2"/>
      <c r="R144" s="2"/>
      <c r="S144" s="2"/>
      <c r="T144" s="2"/>
      <c r="U144" s="2"/>
      <c r="V144" s="57"/>
      <c r="W144" s="63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57"/>
      <c r="AS144" s="23"/>
    </row>
    <row r="145" spans="1:45" x14ac:dyDescent="0.25">
      <c r="A145" s="56">
        <v>0.8125</v>
      </c>
      <c r="B145" s="5">
        <v>0.83333333333333337</v>
      </c>
      <c r="C145" s="63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57"/>
      <c r="P145" s="63"/>
      <c r="Q145" s="2"/>
      <c r="R145" s="2"/>
      <c r="S145" s="2"/>
      <c r="T145" s="2"/>
      <c r="U145" s="2"/>
      <c r="V145" s="57"/>
      <c r="W145" s="63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57"/>
      <c r="AS145" s="23"/>
    </row>
    <row r="146" spans="1:45" x14ac:dyDescent="0.25">
      <c r="A146" s="56">
        <v>0.83333333333333337</v>
      </c>
      <c r="B146" s="5">
        <v>0.85416666666666663</v>
      </c>
      <c r="C146" s="63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57"/>
      <c r="P146" s="63"/>
      <c r="Q146" s="2"/>
      <c r="R146" s="2"/>
      <c r="S146" s="2"/>
      <c r="T146" s="2"/>
      <c r="U146" s="2"/>
      <c r="V146" s="57"/>
      <c r="W146" s="63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57"/>
      <c r="AS146" s="23"/>
    </row>
    <row r="147" spans="1:45" x14ac:dyDescent="0.25">
      <c r="A147" s="56">
        <v>0.85416666666666663</v>
      </c>
      <c r="B147" s="5">
        <v>0.875</v>
      </c>
      <c r="C147" s="63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57"/>
      <c r="P147" s="63"/>
      <c r="Q147" s="2"/>
      <c r="R147" s="2"/>
      <c r="S147" s="2"/>
      <c r="T147" s="2"/>
      <c r="U147" s="2"/>
      <c r="V147" s="57"/>
      <c r="W147" s="63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57"/>
      <c r="AS147" s="23"/>
    </row>
    <row r="148" spans="1:45" x14ac:dyDescent="0.25">
      <c r="A148" s="56">
        <v>0.875</v>
      </c>
      <c r="B148" s="5">
        <v>0.89583333333333337</v>
      </c>
      <c r="C148" s="63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57"/>
      <c r="P148" s="63"/>
      <c r="Q148" s="2"/>
      <c r="R148" s="2"/>
      <c r="S148" s="2"/>
      <c r="T148" s="2"/>
      <c r="U148" s="2"/>
      <c r="V148" s="57"/>
      <c r="W148" s="63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57"/>
      <c r="AS148" s="23"/>
    </row>
    <row r="149" spans="1:45" x14ac:dyDescent="0.25">
      <c r="A149" s="56">
        <v>0.89583333333333337</v>
      </c>
      <c r="B149" s="5">
        <v>0.91666666666666663</v>
      </c>
      <c r="C149" s="63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57"/>
      <c r="P149" s="63"/>
      <c r="Q149" s="2"/>
      <c r="R149" s="2"/>
      <c r="S149" s="2"/>
      <c r="T149" s="2"/>
      <c r="U149" s="2"/>
      <c r="V149" s="57"/>
      <c r="W149" s="63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57"/>
      <c r="AS149" s="23"/>
    </row>
    <row r="150" spans="1:45" x14ac:dyDescent="0.25">
      <c r="A150" s="56">
        <v>0.91666666666666663</v>
      </c>
      <c r="B150" s="5">
        <v>0.9375</v>
      </c>
      <c r="C150" s="63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57"/>
      <c r="P150" s="63"/>
      <c r="Q150" s="2"/>
      <c r="R150" s="2"/>
      <c r="S150" s="2"/>
      <c r="T150" s="2"/>
      <c r="U150" s="2"/>
      <c r="V150" s="57"/>
      <c r="W150" s="63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57"/>
      <c r="AS150" s="23"/>
    </row>
    <row r="151" spans="1:45" x14ac:dyDescent="0.25">
      <c r="A151" s="56">
        <v>0.9375</v>
      </c>
      <c r="B151" s="5">
        <v>0.95833333333333337</v>
      </c>
      <c r="C151" s="63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57"/>
      <c r="P151" s="63"/>
      <c r="Q151" s="2"/>
      <c r="R151" s="2"/>
      <c r="S151" s="2"/>
      <c r="T151" s="2"/>
      <c r="U151" s="2"/>
      <c r="V151" s="57"/>
      <c r="W151" s="63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57"/>
      <c r="AS151" s="23"/>
    </row>
    <row r="152" spans="1:45" x14ac:dyDescent="0.25">
      <c r="A152" s="56">
        <v>0.95833333333333337</v>
      </c>
      <c r="B152" s="5">
        <v>0.97916666666666663</v>
      </c>
      <c r="C152" s="63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57"/>
      <c r="P152" s="63"/>
      <c r="Q152" s="2"/>
      <c r="R152" s="2"/>
      <c r="S152" s="2"/>
      <c r="T152" s="2"/>
      <c r="U152" s="2"/>
      <c r="V152" s="57"/>
      <c r="W152" s="63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57"/>
      <c r="AS152" s="23"/>
    </row>
    <row r="153" spans="1:45" ht="15.75" thickBot="1" x14ac:dyDescent="0.3">
      <c r="A153" s="58">
        <v>0.97916666666666663</v>
      </c>
      <c r="B153" s="59">
        <v>0</v>
      </c>
      <c r="C153" s="64"/>
      <c r="D153" s="60"/>
      <c r="E153" s="60"/>
      <c r="F153" s="60"/>
      <c r="G153" s="60"/>
      <c r="H153" s="60"/>
      <c r="I153" s="60"/>
      <c r="J153" s="60"/>
      <c r="K153" s="60"/>
      <c r="L153" s="60"/>
      <c r="M153" s="60"/>
      <c r="N153" s="60"/>
      <c r="O153" s="61"/>
      <c r="P153" s="64"/>
      <c r="Q153" s="60"/>
      <c r="R153" s="60"/>
      <c r="S153" s="60"/>
      <c r="T153" s="60"/>
      <c r="U153" s="60"/>
      <c r="V153" s="61"/>
      <c r="W153" s="64"/>
      <c r="X153" s="60"/>
      <c r="Y153" s="60"/>
      <c r="Z153" s="60"/>
      <c r="AA153" s="60"/>
      <c r="AB153" s="60"/>
      <c r="AC153" s="60"/>
      <c r="AD153" s="60"/>
      <c r="AE153" s="60"/>
      <c r="AF153" s="60"/>
      <c r="AG153" s="60"/>
      <c r="AH153" s="60"/>
      <c r="AI153" s="60"/>
      <c r="AJ153" s="60"/>
      <c r="AK153" s="60"/>
      <c r="AL153" s="60"/>
      <c r="AM153" s="60"/>
      <c r="AN153" s="60"/>
      <c r="AO153" s="60"/>
      <c r="AP153" s="60"/>
      <c r="AQ153" s="60"/>
      <c r="AR153" s="61"/>
      <c r="AS153" s="23"/>
    </row>
    <row r="154" spans="1:45" ht="24" thickBot="1" x14ac:dyDescent="0.3">
      <c r="A154" s="356" t="s">
        <v>63</v>
      </c>
      <c r="B154" s="357"/>
      <c r="C154" s="357"/>
      <c r="D154" s="357"/>
      <c r="E154" s="357"/>
      <c r="F154" s="357"/>
      <c r="G154" s="357"/>
      <c r="H154" s="357"/>
      <c r="I154" s="357"/>
      <c r="J154" s="357"/>
      <c r="K154" s="357"/>
      <c r="L154" s="357"/>
      <c r="M154" s="357"/>
      <c r="N154" s="357"/>
      <c r="O154" s="357"/>
      <c r="P154" s="357"/>
      <c r="Q154" s="357"/>
      <c r="R154" s="357"/>
      <c r="S154" s="357"/>
      <c r="T154" s="357"/>
      <c r="U154" s="357"/>
      <c r="V154" s="357"/>
      <c r="W154" s="357"/>
      <c r="X154" s="357"/>
      <c r="Y154" s="357"/>
      <c r="Z154" s="357"/>
      <c r="AA154" s="357"/>
      <c r="AB154" s="357"/>
      <c r="AC154" s="357"/>
      <c r="AD154" s="357"/>
      <c r="AE154" s="357"/>
      <c r="AF154" s="357"/>
      <c r="AG154" s="357"/>
      <c r="AH154" s="357"/>
      <c r="AI154" s="357"/>
      <c r="AJ154" s="357"/>
      <c r="AK154" s="357"/>
      <c r="AL154" s="357"/>
      <c r="AM154" s="357"/>
      <c r="AN154" s="357"/>
      <c r="AO154" s="357"/>
      <c r="AP154" s="357"/>
      <c r="AQ154" s="357"/>
      <c r="AR154" s="357"/>
    </row>
    <row r="155" spans="1:45" x14ac:dyDescent="0.25">
      <c r="A155" s="349" t="s">
        <v>56</v>
      </c>
      <c r="B155" s="350"/>
      <c r="C155" s="353" t="s">
        <v>57</v>
      </c>
      <c r="D155" s="354"/>
      <c r="E155" s="354"/>
      <c r="F155" s="354"/>
      <c r="G155" s="354"/>
      <c r="H155" s="354"/>
      <c r="I155" s="354"/>
      <c r="J155" s="354"/>
      <c r="K155" s="354"/>
      <c r="L155" s="354"/>
      <c r="M155" s="354"/>
      <c r="N155" s="354"/>
      <c r="O155" s="355"/>
      <c r="P155" s="353" t="s">
        <v>58</v>
      </c>
      <c r="Q155" s="354"/>
      <c r="R155" s="354"/>
      <c r="S155" s="354"/>
      <c r="T155" s="354"/>
      <c r="U155" s="354"/>
      <c r="V155" s="355"/>
      <c r="W155" s="353" t="s">
        <v>59</v>
      </c>
      <c r="X155" s="354"/>
      <c r="Y155" s="354"/>
      <c r="Z155" s="354"/>
      <c r="AA155" s="354"/>
      <c r="AB155" s="354"/>
      <c r="AC155" s="354"/>
      <c r="AD155" s="354"/>
      <c r="AE155" s="354"/>
      <c r="AF155" s="354"/>
      <c r="AG155" s="354"/>
      <c r="AH155" s="354"/>
      <c r="AI155" s="354"/>
      <c r="AJ155" s="354"/>
      <c r="AK155" s="354"/>
      <c r="AL155" s="354"/>
      <c r="AM155" s="354"/>
      <c r="AN155" s="354"/>
      <c r="AO155" s="354"/>
      <c r="AP155" s="354"/>
      <c r="AQ155" s="354"/>
      <c r="AR155" s="355"/>
    </row>
    <row r="156" spans="1:45" ht="15.75" thickBot="1" x14ac:dyDescent="0.3">
      <c r="A156" s="351"/>
      <c r="B156" s="352"/>
      <c r="C156" s="69">
        <f>MAX(C157:C204)</f>
        <v>0</v>
      </c>
      <c r="D156" s="70">
        <f t="shared" ref="D156:AR156" si="3">MAX(D157:D204)</f>
        <v>0</v>
      </c>
      <c r="E156" s="70">
        <f t="shared" si="3"/>
        <v>0</v>
      </c>
      <c r="F156" s="70">
        <f t="shared" si="3"/>
        <v>0</v>
      </c>
      <c r="G156" s="70">
        <f t="shared" si="3"/>
        <v>0</v>
      </c>
      <c r="H156" s="70">
        <f t="shared" si="3"/>
        <v>0</v>
      </c>
      <c r="I156" s="70">
        <f t="shared" si="3"/>
        <v>0</v>
      </c>
      <c r="J156" s="70">
        <f t="shared" si="3"/>
        <v>0</v>
      </c>
      <c r="K156" s="70">
        <f t="shared" si="3"/>
        <v>0</v>
      </c>
      <c r="L156" s="70">
        <f t="shared" si="3"/>
        <v>0</v>
      </c>
      <c r="M156" s="70">
        <f t="shared" si="3"/>
        <v>0</v>
      </c>
      <c r="N156" s="70">
        <f t="shared" si="3"/>
        <v>0</v>
      </c>
      <c r="O156" s="73">
        <f t="shared" si="3"/>
        <v>0</v>
      </c>
      <c r="P156" s="74">
        <f t="shared" si="3"/>
        <v>0</v>
      </c>
      <c r="Q156" s="71">
        <f t="shared" si="3"/>
        <v>0</v>
      </c>
      <c r="R156" s="71">
        <f t="shared" si="3"/>
        <v>0</v>
      </c>
      <c r="S156" s="71">
        <f t="shared" si="3"/>
        <v>0</v>
      </c>
      <c r="T156" s="71">
        <f t="shared" si="3"/>
        <v>0</v>
      </c>
      <c r="U156" s="71">
        <f t="shared" si="3"/>
        <v>0</v>
      </c>
      <c r="V156" s="75">
        <f t="shared" si="3"/>
        <v>0</v>
      </c>
      <c r="W156" s="76">
        <f t="shared" si="3"/>
        <v>0</v>
      </c>
      <c r="X156" s="72">
        <f t="shared" si="3"/>
        <v>0</v>
      </c>
      <c r="Y156" s="72">
        <f t="shared" si="3"/>
        <v>0</v>
      </c>
      <c r="Z156" s="72">
        <f t="shared" si="3"/>
        <v>0</v>
      </c>
      <c r="AA156" s="72">
        <f t="shared" si="3"/>
        <v>0</v>
      </c>
      <c r="AB156" s="72">
        <f t="shared" si="3"/>
        <v>0</v>
      </c>
      <c r="AC156" s="72">
        <f t="shared" si="3"/>
        <v>0</v>
      </c>
      <c r="AD156" s="72">
        <f t="shared" si="3"/>
        <v>0</v>
      </c>
      <c r="AE156" s="72">
        <f t="shared" si="3"/>
        <v>0</v>
      </c>
      <c r="AF156" s="72">
        <f t="shared" si="3"/>
        <v>0</v>
      </c>
      <c r="AG156" s="72">
        <f t="shared" si="3"/>
        <v>0</v>
      </c>
      <c r="AH156" s="72">
        <f t="shared" si="3"/>
        <v>0</v>
      </c>
      <c r="AI156" s="72">
        <f t="shared" si="3"/>
        <v>0</v>
      </c>
      <c r="AJ156" s="72">
        <f t="shared" si="3"/>
        <v>0</v>
      </c>
      <c r="AK156" s="72">
        <f t="shared" si="3"/>
        <v>0</v>
      </c>
      <c r="AL156" s="72">
        <f t="shared" si="3"/>
        <v>0</v>
      </c>
      <c r="AM156" s="72">
        <f t="shared" si="3"/>
        <v>0</v>
      </c>
      <c r="AN156" s="72">
        <f t="shared" si="3"/>
        <v>0</v>
      </c>
      <c r="AO156" s="72">
        <f t="shared" si="3"/>
        <v>0</v>
      </c>
      <c r="AP156" s="72">
        <f t="shared" si="3"/>
        <v>0</v>
      </c>
      <c r="AQ156" s="72">
        <f t="shared" si="3"/>
        <v>0</v>
      </c>
      <c r="AR156" s="77">
        <f t="shared" si="3"/>
        <v>0</v>
      </c>
    </row>
    <row r="157" spans="1:45" x14ac:dyDescent="0.25">
      <c r="A157" s="65">
        <v>0</v>
      </c>
      <c r="B157" s="66">
        <v>2.0833333333333332E-2</v>
      </c>
      <c r="C157" s="67"/>
      <c r="D157" s="68"/>
      <c r="E157" s="68"/>
      <c r="F157" s="68"/>
      <c r="G157" s="68"/>
      <c r="H157" s="68"/>
      <c r="I157" s="68"/>
      <c r="J157" s="68"/>
      <c r="K157" s="68"/>
      <c r="L157" s="68"/>
      <c r="M157" s="68"/>
      <c r="N157" s="68"/>
      <c r="O157" s="62"/>
      <c r="P157" s="67"/>
      <c r="Q157" s="68"/>
      <c r="R157" s="68"/>
      <c r="S157" s="68"/>
      <c r="T157" s="68"/>
      <c r="U157" s="68"/>
      <c r="V157" s="62"/>
      <c r="W157" s="67"/>
      <c r="X157" s="68"/>
      <c r="Y157" s="68"/>
      <c r="Z157" s="68"/>
      <c r="AA157" s="68"/>
      <c r="AB157" s="68"/>
      <c r="AC157" s="68"/>
      <c r="AD157" s="68"/>
      <c r="AE157" s="68"/>
      <c r="AF157" s="68"/>
      <c r="AG157" s="68"/>
      <c r="AH157" s="68"/>
      <c r="AI157" s="68"/>
      <c r="AJ157" s="68"/>
      <c r="AK157" s="68"/>
      <c r="AL157" s="68"/>
      <c r="AM157" s="68"/>
      <c r="AN157" s="68"/>
      <c r="AO157" s="68"/>
      <c r="AP157" s="68"/>
      <c r="AQ157" s="68"/>
      <c r="AR157" s="62"/>
      <c r="AS157" s="23"/>
    </row>
    <row r="158" spans="1:45" x14ac:dyDescent="0.25">
      <c r="A158" s="56">
        <v>2.0833333333333332E-2</v>
      </c>
      <c r="B158" s="5">
        <v>4.1666666666666664E-2</v>
      </c>
      <c r="C158" s="63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57"/>
      <c r="P158" s="63"/>
      <c r="Q158" s="2"/>
      <c r="R158" s="2"/>
      <c r="S158" s="2"/>
      <c r="T158" s="2"/>
      <c r="U158" s="2"/>
      <c r="V158" s="57"/>
      <c r="W158" s="63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57"/>
      <c r="AS158" s="23"/>
    </row>
    <row r="159" spans="1:45" x14ac:dyDescent="0.25">
      <c r="A159" s="56">
        <v>4.1666666666666664E-2</v>
      </c>
      <c r="B159" s="5">
        <v>6.25E-2</v>
      </c>
      <c r="C159" s="63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57"/>
      <c r="P159" s="63"/>
      <c r="Q159" s="2"/>
      <c r="R159" s="2"/>
      <c r="S159" s="2"/>
      <c r="T159" s="2"/>
      <c r="U159" s="2"/>
      <c r="V159" s="57"/>
      <c r="W159" s="63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57"/>
      <c r="AS159" s="23"/>
    </row>
    <row r="160" spans="1:45" x14ac:dyDescent="0.25">
      <c r="A160" s="56">
        <v>6.25E-2</v>
      </c>
      <c r="B160" s="5">
        <v>8.3333333333333329E-2</v>
      </c>
      <c r="C160" s="63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57"/>
      <c r="P160" s="63"/>
      <c r="Q160" s="2"/>
      <c r="R160" s="2"/>
      <c r="S160" s="2"/>
      <c r="T160" s="2"/>
      <c r="U160" s="2"/>
      <c r="V160" s="57"/>
      <c r="W160" s="63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57"/>
      <c r="AS160" s="23"/>
    </row>
    <row r="161" spans="1:45" x14ac:dyDescent="0.25">
      <c r="A161" s="56">
        <v>8.3333333333333329E-2</v>
      </c>
      <c r="B161" s="5">
        <v>0.10416666666666667</v>
      </c>
      <c r="C161" s="63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57"/>
      <c r="P161" s="63"/>
      <c r="Q161" s="2"/>
      <c r="R161" s="2"/>
      <c r="S161" s="2"/>
      <c r="T161" s="2"/>
      <c r="U161" s="2"/>
      <c r="V161" s="57"/>
      <c r="W161" s="63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57"/>
      <c r="AS161" s="23"/>
    </row>
    <row r="162" spans="1:45" x14ac:dyDescent="0.25">
      <c r="A162" s="56">
        <v>0.10416666666666667</v>
      </c>
      <c r="B162" s="5">
        <v>0.125</v>
      </c>
      <c r="C162" s="63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57"/>
      <c r="P162" s="63"/>
      <c r="Q162" s="2"/>
      <c r="R162" s="2"/>
      <c r="S162" s="2"/>
      <c r="T162" s="2"/>
      <c r="U162" s="2"/>
      <c r="V162" s="57"/>
      <c r="W162" s="63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57"/>
      <c r="AS162" s="23"/>
    </row>
    <row r="163" spans="1:45" x14ac:dyDescent="0.25">
      <c r="A163" s="56">
        <v>0.125</v>
      </c>
      <c r="B163" s="5">
        <v>0.14583333333333334</v>
      </c>
      <c r="C163" s="63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57"/>
      <c r="P163" s="63"/>
      <c r="Q163" s="2"/>
      <c r="R163" s="2"/>
      <c r="S163" s="2"/>
      <c r="T163" s="2"/>
      <c r="U163" s="2"/>
      <c r="V163" s="57"/>
      <c r="W163" s="63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57"/>
      <c r="AS163" s="23"/>
    </row>
    <row r="164" spans="1:45" x14ac:dyDescent="0.25">
      <c r="A164" s="56">
        <v>0.14583333333333334</v>
      </c>
      <c r="B164" s="5">
        <v>0.16666666666666666</v>
      </c>
      <c r="C164" s="63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57"/>
      <c r="P164" s="63"/>
      <c r="Q164" s="2"/>
      <c r="R164" s="2"/>
      <c r="S164" s="2"/>
      <c r="T164" s="2"/>
      <c r="U164" s="2"/>
      <c r="V164" s="57"/>
      <c r="W164" s="63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57"/>
      <c r="AS164" s="23"/>
    </row>
    <row r="165" spans="1:45" x14ac:dyDescent="0.25">
      <c r="A165" s="56">
        <v>0.16666666666666666</v>
      </c>
      <c r="B165" s="5">
        <v>0.1875</v>
      </c>
      <c r="C165" s="63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57"/>
      <c r="P165" s="63"/>
      <c r="Q165" s="2"/>
      <c r="R165" s="2"/>
      <c r="S165" s="2"/>
      <c r="T165" s="2"/>
      <c r="U165" s="2"/>
      <c r="V165" s="57"/>
      <c r="W165" s="63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57"/>
      <c r="AS165" s="23"/>
    </row>
    <row r="166" spans="1:45" x14ac:dyDescent="0.25">
      <c r="A166" s="56">
        <v>0.1875</v>
      </c>
      <c r="B166" s="5">
        <v>0.20833333333333334</v>
      </c>
      <c r="C166" s="63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57"/>
      <c r="P166" s="63"/>
      <c r="Q166" s="2"/>
      <c r="R166" s="2"/>
      <c r="S166" s="2"/>
      <c r="T166" s="2"/>
      <c r="U166" s="2"/>
      <c r="V166" s="57"/>
      <c r="W166" s="63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57"/>
      <c r="AS166" s="23"/>
    </row>
    <row r="167" spans="1:45" x14ac:dyDescent="0.25">
      <c r="A167" s="56">
        <v>0.20833333333333334</v>
      </c>
      <c r="B167" s="5">
        <v>0.22916666666666666</v>
      </c>
      <c r="C167" s="63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57"/>
      <c r="P167" s="63"/>
      <c r="Q167" s="2"/>
      <c r="R167" s="2"/>
      <c r="S167" s="2"/>
      <c r="T167" s="2"/>
      <c r="U167" s="2"/>
      <c r="V167" s="57"/>
      <c r="W167" s="63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57"/>
      <c r="AS167" s="23"/>
    </row>
    <row r="168" spans="1:45" x14ac:dyDescent="0.25">
      <c r="A168" s="56">
        <v>0.22916666666666666</v>
      </c>
      <c r="B168" s="5">
        <v>0.25</v>
      </c>
      <c r="C168" s="63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57"/>
      <c r="P168" s="63"/>
      <c r="Q168" s="2"/>
      <c r="R168" s="2"/>
      <c r="S168" s="2"/>
      <c r="T168" s="2"/>
      <c r="U168" s="2"/>
      <c r="V168" s="57"/>
      <c r="W168" s="63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57"/>
      <c r="AS168" s="23"/>
    </row>
    <row r="169" spans="1:45" x14ac:dyDescent="0.25">
      <c r="A169" s="56">
        <v>0.25</v>
      </c>
      <c r="B169" s="5">
        <v>0.27083333333333331</v>
      </c>
      <c r="C169" s="63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57"/>
      <c r="P169" s="63"/>
      <c r="Q169" s="2"/>
      <c r="R169" s="2"/>
      <c r="S169" s="2"/>
      <c r="T169" s="2"/>
      <c r="U169" s="2"/>
      <c r="V169" s="57"/>
      <c r="W169" s="63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57"/>
      <c r="AS169" s="23"/>
    </row>
    <row r="170" spans="1:45" x14ac:dyDescent="0.25">
      <c r="A170" s="56">
        <v>0.27083333333333331</v>
      </c>
      <c r="B170" s="5">
        <v>0.29166666666666669</v>
      </c>
      <c r="C170" s="63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57"/>
      <c r="P170" s="63"/>
      <c r="Q170" s="2"/>
      <c r="R170" s="2"/>
      <c r="S170" s="2"/>
      <c r="T170" s="2"/>
      <c r="U170" s="2"/>
      <c r="V170" s="57"/>
      <c r="W170" s="63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57"/>
      <c r="AS170" s="23"/>
    </row>
    <row r="171" spans="1:45" x14ac:dyDescent="0.25">
      <c r="A171" s="56">
        <v>0.29166666666666669</v>
      </c>
      <c r="B171" s="5">
        <v>0.3125</v>
      </c>
      <c r="C171" s="63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57"/>
      <c r="P171" s="63"/>
      <c r="Q171" s="2"/>
      <c r="R171" s="2"/>
      <c r="S171" s="2"/>
      <c r="T171" s="2"/>
      <c r="U171" s="2"/>
      <c r="V171" s="57"/>
      <c r="W171" s="63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57"/>
      <c r="AS171" s="23"/>
    </row>
    <row r="172" spans="1:45" x14ac:dyDescent="0.25">
      <c r="A172" s="56">
        <v>0.3125</v>
      </c>
      <c r="B172" s="5">
        <v>0.33333333333333331</v>
      </c>
      <c r="C172" s="63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57"/>
      <c r="P172" s="63"/>
      <c r="Q172" s="2"/>
      <c r="R172" s="2"/>
      <c r="S172" s="2"/>
      <c r="T172" s="2"/>
      <c r="U172" s="2"/>
      <c r="V172" s="57"/>
      <c r="W172" s="63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57"/>
      <c r="AS172" s="23"/>
    </row>
    <row r="173" spans="1:45" x14ac:dyDescent="0.25">
      <c r="A173" s="56">
        <v>0.33333333333333331</v>
      </c>
      <c r="B173" s="5">
        <v>0.35416666666666669</v>
      </c>
      <c r="C173" s="63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57"/>
      <c r="P173" s="63"/>
      <c r="Q173" s="2"/>
      <c r="R173" s="2"/>
      <c r="S173" s="2"/>
      <c r="T173" s="2"/>
      <c r="U173" s="2"/>
      <c r="V173" s="57"/>
      <c r="W173" s="63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57"/>
      <c r="AS173" s="23"/>
    </row>
    <row r="174" spans="1:45" x14ac:dyDescent="0.25">
      <c r="A174" s="56">
        <v>0.35416666666666669</v>
      </c>
      <c r="B174" s="5">
        <v>0.375</v>
      </c>
      <c r="C174" s="63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57"/>
      <c r="P174" s="63"/>
      <c r="Q174" s="2"/>
      <c r="R174" s="2"/>
      <c r="S174" s="2"/>
      <c r="T174" s="2"/>
      <c r="U174" s="2"/>
      <c r="V174" s="57"/>
      <c r="W174" s="63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57"/>
      <c r="AS174" s="23"/>
    </row>
    <row r="175" spans="1:45" x14ac:dyDescent="0.25">
      <c r="A175" s="56">
        <v>0.375</v>
      </c>
      <c r="B175" s="5">
        <v>0.39583333333333331</v>
      </c>
      <c r="C175" s="63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57"/>
      <c r="P175" s="63"/>
      <c r="Q175" s="2"/>
      <c r="R175" s="2"/>
      <c r="S175" s="2"/>
      <c r="T175" s="2"/>
      <c r="U175" s="2"/>
      <c r="V175" s="57"/>
      <c r="W175" s="63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57"/>
      <c r="AS175" s="23"/>
    </row>
    <row r="176" spans="1:45" x14ac:dyDescent="0.25">
      <c r="A176" s="56">
        <v>0.39583333333333331</v>
      </c>
      <c r="B176" s="5">
        <v>0.41666666666666669</v>
      </c>
      <c r="C176" s="63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57"/>
      <c r="P176" s="63"/>
      <c r="Q176" s="2"/>
      <c r="R176" s="2"/>
      <c r="S176" s="2"/>
      <c r="T176" s="2"/>
      <c r="U176" s="2"/>
      <c r="V176" s="57"/>
      <c r="W176" s="63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57"/>
      <c r="AS176" s="23"/>
    </row>
    <row r="177" spans="1:45" x14ac:dyDescent="0.25">
      <c r="A177" s="56">
        <v>0.41666666666666669</v>
      </c>
      <c r="B177" s="5">
        <v>0.4375</v>
      </c>
      <c r="C177" s="63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57"/>
      <c r="P177" s="63"/>
      <c r="Q177" s="2"/>
      <c r="R177" s="2"/>
      <c r="S177" s="2"/>
      <c r="T177" s="2"/>
      <c r="U177" s="2"/>
      <c r="V177" s="57"/>
      <c r="W177" s="63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57"/>
      <c r="AS177" s="23"/>
    </row>
    <row r="178" spans="1:45" x14ac:dyDescent="0.25">
      <c r="A178" s="56">
        <v>0.4375</v>
      </c>
      <c r="B178" s="5">
        <v>0.45833333333333331</v>
      </c>
      <c r="C178" s="63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57"/>
      <c r="P178" s="63"/>
      <c r="Q178" s="2"/>
      <c r="R178" s="2"/>
      <c r="S178" s="2"/>
      <c r="T178" s="2"/>
      <c r="U178" s="2"/>
      <c r="V178" s="57"/>
      <c r="W178" s="63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57"/>
      <c r="AS178" s="23"/>
    </row>
    <row r="179" spans="1:45" x14ac:dyDescent="0.25">
      <c r="A179" s="56">
        <v>0.45833333333333331</v>
      </c>
      <c r="B179" s="5">
        <v>0.47916666666666669</v>
      </c>
      <c r="C179" s="63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57"/>
      <c r="P179" s="63"/>
      <c r="Q179" s="2"/>
      <c r="R179" s="2"/>
      <c r="S179" s="2"/>
      <c r="T179" s="2"/>
      <c r="U179" s="2"/>
      <c r="V179" s="57"/>
      <c r="W179" s="63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57"/>
      <c r="AS179" s="23"/>
    </row>
    <row r="180" spans="1:45" x14ac:dyDescent="0.25">
      <c r="A180" s="56">
        <v>0.47916666666666669</v>
      </c>
      <c r="B180" s="5">
        <v>0.5</v>
      </c>
      <c r="C180" s="63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57"/>
      <c r="P180" s="63"/>
      <c r="Q180" s="2"/>
      <c r="R180" s="2"/>
      <c r="S180" s="2"/>
      <c r="T180" s="2"/>
      <c r="U180" s="2"/>
      <c r="V180" s="57"/>
      <c r="W180" s="63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57"/>
      <c r="AS180" s="23"/>
    </row>
    <row r="181" spans="1:45" x14ac:dyDescent="0.25">
      <c r="A181" s="56">
        <v>0.5</v>
      </c>
      <c r="B181" s="5">
        <v>0.52083333333333337</v>
      </c>
      <c r="C181" s="63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57"/>
      <c r="P181" s="63"/>
      <c r="Q181" s="2"/>
      <c r="R181" s="2"/>
      <c r="S181" s="2"/>
      <c r="T181" s="2"/>
      <c r="U181" s="2"/>
      <c r="V181" s="57"/>
      <c r="W181" s="63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57"/>
      <c r="AS181" s="23"/>
    </row>
    <row r="182" spans="1:45" x14ac:dyDescent="0.25">
      <c r="A182" s="56">
        <v>0.52083333333333337</v>
      </c>
      <c r="B182" s="5">
        <v>0.54166666666666663</v>
      </c>
      <c r="C182" s="63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57"/>
      <c r="P182" s="63"/>
      <c r="Q182" s="2"/>
      <c r="R182" s="2"/>
      <c r="S182" s="2"/>
      <c r="T182" s="2"/>
      <c r="U182" s="2"/>
      <c r="V182" s="57"/>
      <c r="W182" s="63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57"/>
      <c r="AS182" s="23"/>
    </row>
    <row r="183" spans="1:45" x14ac:dyDescent="0.25">
      <c r="A183" s="56">
        <v>0.54166666666666663</v>
      </c>
      <c r="B183" s="5">
        <v>0.5625</v>
      </c>
      <c r="C183" s="63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57"/>
      <c r="P183" s="63"/>
      <c r="Q183" s="2"/>
      <c r="R183" s="2"/>
      <c r="S183" s="2"/>
      <c r="T183" s="2"/>
      <c r="U183" s="2"/>
      <c r="V183" s="57"/>
      <c r="W183" s="63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57"/>
      <c r="AS183" s="23"/>
    </row>
    <row r="184" spans="1:45" x14ac:dyDescent="0.25">
      <c r="A184" s="56">
        <v>0.5625</v>
      </c>
      <c r="B184" s="5">
        <v>0.58333333333333337</v>
      </c>
      <c r="C184" s="63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57"/>
      <c r="P184" s="63"/>
      <c r="Q184" s="2"/>
      <c r="R184" s="2"/>
      <c r="S184" s="2"/>
      <c r="T184" s="2"/>
      <c r="U184" s="2"/>
      <c r="V184" s="57"/>
      <c r="W184" s="63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57"/>
      <c r="AS184" s="23"/>
    </row>
    <row r="185" spans="1:45" x14ac:dyDescent="0.25">
      <c r="A185" s="56">
        <v>0.58333333333333337</v>
      </c>
      <c r="B185" s="5">
        <v>0.60416666666666663</v>
      </c>
      <c r="C185" s="63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57"/>
      <c r="P185" s="63"/>
      <c r="Q185" s="2"/>
      <c r="R185" s="2"/>
      <c r="S185" s="2"/>
      <c r="T185" s="2"/>
      <c r="U185" s="2"/>
      <c r="V185" s="57"/>
      <c r="W185" s="63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57"/>
      <c r="AS185" s="23"/>
    </row>
    <row r="186" spans="1:45" x14ac:dyDescent="0.25">
      <c r="A186" s="56">
        <v>0.60416666666666663</v>
      </c>
      <c r="B186" s="5">
        <v>0.625</v>
      </c>
      <c r="C186" s="63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57"/>
      <c r="P186" s="63"/>
      <c r="Q186" s="2"/>
      <c r="R186" s="2"/>
      <c r="S186" s="2"/>
      <c r="T186" s="2"/>
      <c r="U186" s="2"/>
      <c r="V186" s="57"/>
      <c r="W186" s="63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57"/>
      <c r="AS186" s="23"/>
    </row>
    <row r="187" spans="1:45" x14ac:dyDescent="0.25">
      <c r="A187" s="56">
        <v>0.625</v>
      </c>
      <c r="B187" s="5">
        <v>0.64583333333333337</v>
      </c>
      <c r="C187" s="63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57"/>
      <c r="P187" s="63"/>
      <c r="Q187" s="2"/>
      <c r="R187" s="2"/>
      <c r="S187" s="2"/>
      <c r="T187" s="2"/>
      <c r="U187" s="2"/>
      <c r="V187" s="57"/>
      <c r="W187" s="63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57"/>
      <c r="AS187" s="23"/>
    </row>
    <row r="188" spans="1:45" x14ac:dyDescent="0.25">
      <c r="A188" s="56">
        <v>0.64583333333333337</v>
      </c>
      <c r="B188" s="5">
        <v>0.66666666666666663</v>
      </c>
      <c r="C188" s="63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57"/>
      <c r="P188" s="63"/>
      <c r="Q188" s="2"/>
      <c r="R188" s="2"/>
      <c r="S188" s="2"/>
      <c r="T188" s="2"/>
      <c r="U188" s="2"/>
      <c r="V188" s="57"/>
      <c r="W188" s="63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57"/>
      <c r="AS188" s="23"/>
    </row>
    <row r="189" spans="1:45" x14ac:dyDescent="0.25">
      <c r="A189" s="56">
        <v>0.66666666666666663</v>
      </c>
      <c r="B189" s="5">
        <v>0.6875</v>
      </c>
      <c r="C189" s="63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57"/>
      <c r="P189" s="63"/>
      <c r="Q189" s="2"/>
      <c r="R189" s="2"/>
      <c r="S189" s="2"/>
      <c r="T189" s="2"/>
      <c r="U189" s="2"/>
      <c r="V189" s="57"/>
      <c r="W189" s="63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57"/>
      <c r="AS189" s="23"/>
    </row>
    <row r="190" spans="1:45" x14ac:dyDescent="0.25">
      <c r="A190" s="56">
        <v>0.6875</v>
      </c>
      <c r="B190" s="5">
        <v>0.70833333333333337</v>
      </c>
      <c r="C190" s="63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57"/>
      <c r="P190" s="63"/>
      <c r="Q190" s="2"/>
      <c r="R190" s="2"/>
      <c r="S190" s="2"/>
      <c r="T190" s="2"/>
      <c r="U190" s="2"/>
      <c r="V190" s="57"/>
      <c r="W190" s="63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57"/>
      <c r="AS190" s="23"/>
    </row>
    <row r="191" spans="1:45" x14ac:dyDescent="0.25">
      <c r="A191" s="56">
        <v>0.70833333333333337</v>
      </c>
      <c r="B191" s="5">
        <v>0.72916666666666663</v>
      </c>
      <c r="C191" s="63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57"/>
      <c r="P191" s="63"/>
      <c r="Q191" s="2"/>
      <c r="R191" s="2"/>
      <c r="S191" s="2"/>
      <c r="T191" s="2"/>
      <c r="U191" s="2"/>
      <c r="V191" s="57"/>
      <c r="W191" s="63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57"/>
      <c r="AS191" s="23"/>
    </row>
    <row r="192" spans="1:45" x14ac:dyDescent="0.25">
      <c r="A192" s="56">
        <v>0.72916666666666663</v>
      </c>
      <c r="B192" s="5">
        <v>0.75</v>
      </c>
      <c r="C192" s="63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57"/>
      <c r="P192" s="63"/>
      <c r="Q192" s="2"/>
      <c r="R192" s="2"/>
      <c r="S192" s="2"/>
      <c r="T192" s="2"/>
      <c r="U192" s="2"/>
      <c r="V192" s="57"/>
      <c r="W192" s="63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57"/>
      <c r="AS192" s="23"/>
    </row>
    <row r="193" spans="1:45" x14ac:dyDescent="0.25">
      <c r="A193" s="56">
        <v>0.75</v>
      </c>
      <c r="B193" s="5">
        <v>0.77083333333333337</v>
      </c>
      <c r="C193" s="63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57"/>
      <c r="P193" s="63"/>
      <c r="Q193" s="2"/>
      <c r="R193" s="2"/>
      <c r="S193" s="2"/>
      <c r="T193" s="2"/>
      <c r="U193" s="2"/>
      <c r="V193" s="57"/>
      <c r="W193" s="63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57"/>
      <c r="AS193" s="23"/>
    </row>
    <row r="194" spans="1:45" x14ac:dyDescent="0.25">
      <c r="A194" s="56">
        <v>0.77083333333333337</v>
      </c>
      <c r="B194" s="5">
        <v>0.79166666666666663</v>
      </c>
      <c r="C194" s="63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57"/>
      <c r="P194" s="63"/>
      <c r="Q194" s="2"/>
      <c r="R194" s="2"/>
      <c r="S194" s="2"/>
      <c r="T194" s="2"/>
      <c r="U194" s="2"/>
      <c r="V194" s="57"/>
      <c r="W194" s="63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57"/>
      <c r="AS194" s="23"/>
    </row>
    <row r="195" spans="1:45" x14ac:dyDescent="0.25">
      <c r="A195" s="56">
        <v>0.79166666666666663</v>
      </c>
      <c r="B195" s="5">
        <v>0.8125</v>
      </c>
      <c r="C195" s="63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57"/>
      <c r="P195" s="63"/>
      <c r="Q195" s="2"/>
      <c r="R195" s="2"/>
      <c r="S195" s="2"/>
      <c r="T195" s="2"/>
      <c r="U195" s="2"/>
      <c r="V195" s="57"/>
      <c r="W195" s="63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57"/>
      <c r="AS195" s="23"/>
    </row>
    <row r="196" spans="1:45" x14ac:dyDescent="0.25">
      <c r="A196" s="56">
        <v>0.8125</v>
      </c>
      <c r="B196" s="5">
        <v>0.83333333333333337</v>
      </c>
      <c r="C196" s="63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57"/>
      <c r="P196" s="63"/>
      <c r="Q196" s="2"/>
      <c r="R196" s="2"/>
      <c r="S196" s="2"/>
      <c r="T196" s="2"/>
      <c r="U196" s="2"/>
      <c r="V196" s="57"/>
      <c r="W196" s="63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57"/>
      <c r="AS196" s="23"/>
    </row>
    <row r="197" spans="1:45" x14ac:dyDescent="0.25">
      <c r="A197" s="56">
        <v>0.83333333333333337</v>
      </c>
      <c r="B197" s="5">
        <v>0.85416666666666663</v>
      </c>
      <c r="C197" s="63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57"/>
      <c r="P197" s="63"/>
      <c r="Q197" s="2"/>
      <c r="R197" s="2"/>
      <c r="S197" s="2"/>
      <c r="T197" s="2"/>
      <c r="U197" s="2"/>
      <c r="V197" s="57"/>
      <c r="W197" s="63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57"/>
      <c r="AS197" s="23"/>
    </row>
    <row r="198" spans="1:45" x14ac:dyDescent="0.25">
      <c r="A198" s="56">
        <v>0.85416666666666663</v>
      </c>
      <c r="B198" s="5">
        <v>0.875</v>
      </c>
      <c r="C198" s="63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57"/>
      <c r="P198" s="63"/>
      <c r="Q198" s="2"/>
      <c r="R198" s="2"/>
      <c r="S198" s="2"/>
      <c r="T198" s="2"/>
      <c r="U198" s="2"/>
      <c r="V198" s="57"/>
      <c r="W198" s="63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57"/>
      <c r="AS198" s="23"/>
    </row>
    <row r="199" spans="1:45" x14ac:dyDescent="0.25">
      <c r="A199" s="56">
        <v>0.875</v>
      </c>
      <c r="B199" s="5">
        <v>0.89583333333333337</v>
      </c>
      <c r="C199" s="63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57"/>
      <c r="P199" s="63"/>
      <c r="Q199" s="2"/>
      <c r="R199" s="2"/>
      <c r="S199" s="2"/>
      <c r="T199" s="2"/>
      <c r="U199" s="2"/>
      <c r="V199" s="57"/>
      <c r="W199" s="63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57"/>
      <c r="AS199" s="23"/>
    </row>
    <row r="200" spans="1:45" x14ac:dyDescent="0.25">
      <c r="A200" s="56">
        <v>0.89583333333333337</v>
      </c>
      <c r="B200" s="5">
        <v>0.91666666666666663</v>
      </c>
      <c r="C200" s="63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57"/>
      <c r="P200" s="63"/>
      <c r="Q200" s="2"/>
      <c r="R200" s="2"/>
      <c r="S200" s="2"/>
      <c r="T200" s="2"/>
      <c r="U200" s="2"/>
      <c r="V200" s="57"/>
      <c r="W200" s="63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57"/>
      <c r="AS200" s="23"/>
    </row>
    <row r="201" spans="1:45" x14ac:dyDescent="0.25">
      <c r="A201" s="56">
        <v>0.91666666666666663</v>
      </c>
      <c r="B201" s="5">
        <v>0.9375</v>
      </c>
      <c r="C201" s="63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57"/>
      <c r="P201" s="63"/>
      <c r="Q201" s="2"/>
      <c r="R201" s="2"/>
      <c r="S201" s="2"/>
      <c r="T201" s="2"/>
      <c r="U201" s="2"/>
      <c r="V201" s="57"/>
      <c r="W201" s="63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57"/>
      <c r="AS201" s="23"/>
    </row>
    <row r="202" spans="1:45" x14ac:dyDescent="0.25">
      <c r="A202" s="56">
        <v>0.9375</v>
      </c>
      <c r="B202" s="5">
        <v>0.95833333333333337</v>
      </c>
      <c r="C202" s="63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57"/>
      <c r="P202" s="63"/>
      <c r="Q202" s="2"/>
      <c r="R202" s="2"/>
      <c r="S202" s="2"/>
      <c r="T202" s="2"/>
      <c r="U202" s="2"/>
      <c r="V202" s="57"/>
      <c r="W202" s="63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57"/>
      <c r="AS202" s="23"/>
    </row>
    <row r="203" spans="1:45" x14ac:dyDescent="0.25">
      <c r="A203" s="56">
        <v>0.95833333333333337</v>
      </c>
      <c r="B203" s="5">
        <v>0.97916666666666663</v>
      </c>
      <c r="C203" s="63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57"/>
      <c r="P203" s="63"/>
      <c r="Q203" s="2"/>
      <c r="R203" s="2"/>
      <c r="S203" s="2"/>
      <c r="T203" s="2"/>
      <c r="U203" s="2"/>
      <c r="V203" s="57"/>
      <c r="W203" s="63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57"/>
      <c r="AS203" s="23"/>
    </row>
    <row r="204" spans="1:45" ht="15.75" thickBot="1" x14ac:dyDescent="0.3">
      <c r="A204" s="58">
        <v>0.97916666666666663</v>
      </c>
      <c r="B204" s="59">
        <v>0</v>
      </c>
      <c r="C204" s="64"/>
      <c r="D204" s="60"/>
      <c r="E204" s="60"/>
      <c r="F204" s="60"/>
      <c r="G204" s="60"/>
      <c r="H204" s="60"/>
      <c r="I204" s="60"/>
      <c r="J204" s="60"/>
      <c r="K204" s="60"/>
      <c r="L204" s="60"/>
      <c r="M204" s="60"/>
      <c r="N204" s="60"/>
      <c r="O204" s="61"/>
      <c r="P204" s="64"/>
      <c r="Q204" s="60"/>
      <c r="R204" s="60"/>
      <c r="S204" s="60"/>
      <c r="T204" s="60"/>
      <c r="U204" s="60"/>
      <c r="V204" s="61"/>
      <c r="W204" s="64"/>
      <c r="X204" s="60"/>
      <c r="Y204" s="60"/>
      <c r="Z204" s="60"/>
      <c r="AA204" s="60"/>
      <c r="AB204" s="60"/>
      <c r="AC204" s="60"/>
      <c r="AD204" s="60"/>
      <c r="AE204" s="60"/>
      <c r="AF204" s="60"/>
      <c r="AG204" s="60"/>
      <c r="AH204" s="60"/>
      <c r="AI204" s="60"/>
      <c r="AJ204" s="60"/>
      <c r="AK204" s="60"/>
      <c r="AL204" s="60"/>
      <c r="AM204" s="60"/>
      <c r="AN204" s="60"/>
      <c r="AO204" s="60"/>
      <c r="AP204" s="60"/>
      <c r="AQ204" s="60"/>
      <c r="AR204" s="61"/>
      <c r="AS204" s="23"/>
    </row>
    <row r="205" spans="1:45" ht="24" thickBot="1" x14ac:dyDescent="0.3">
      <c r="A205" s="356" t="s">
        <v>64</v>
      </c>
      <c r="B205" s="357"/>
      <c r="C205" s="357"/>
      <c r="D205" s="357"/>
      <c r="E205" s="357"/>
      <c r="F205" s="357"/>
      <c r="G205" s="357"/>
      <c r="H205" s="357"/>
      <c r="I205" s="357"/>
      <c r="J205" s="357"/>
      <c r="K205" s="357"/>
      <c r="L205" s="357"/>
      <c r="M205" s="357"/>
      <c r="N205" s="357"/>
      <c r="O205" s="357"/>
      <c r="P205" s="357"/>
      <c r="Q205" s="357"/>
      <c r="R205" s="357"/>
      <c r="S205" s="357"/>
      <c r="T205" s="357"/>
      <c r="U205" s="357"/>
      <c r="V205" s="357"/>
      <c r="W205" s="357"/>
      <c r="X205" s="357"/>
      <c r="Y205" s="357"/>
      <c r="Z205" s="357"/>
      <c r="AA205" s="357"/>
      <c r="AB205" s="357"/>
      <c r="AC205" s="357"/>
      <c r="AD205" s="357"/>
      <c r="AE205" s="357"/>
      <c r="AF205" s="357"/>
      <c r="AG205" s="357"/>
      <c r="AH205" s="357"/>
      <c r="AI205" s="357"/>
      <c r="AJ205" s="357"/>
      <c r="AK205" s="357"/>
      <c r="AL205" s="357"/>
      <c r="AM205" s="357"/>
      <c r="AN205" s="357"/>
      <c r="AO205" s="357"/>
      <c r="AP205" s="357"/>
      <c r="AQ205" s="357"/>
      <c r="AR205" s="357"/>
    </row>
    <row r="206" spans="1:45" x14ac:dyDescent="0.25">
      <c r="A206" s="349" t="s">
        <v>56</v>
      </c>
      <c r="B206" s="350"/>
      <c r="C206" s="353" t="s">
        <v>57</v>
      </c>
      <c r="D206" s="354"/>
      <c r="E206" s="354"/>
      <c r="F206" s="354"/>
      <c r="G206" s="354"/>
      <c r="H206" s="354"/>
      <c r="I206" s="354"/>
      <c r="J206" s="354"/>
      <c r="K206" s="354"/>
      <c r="L206" s="354"/>
      <c r="M206" s="354"/>
      <c r="N206" s="354"/>
      <c r="O206" s="355"/>
      <c r="P206" s="353" t="s">
        <v>58</v>
      </c>
      <c r="Q206" s="354"/>
      <c r="R206" s="354"/>
      <c r="S206" s="354"/>
      <c r="T206" s="354"/>
      <c r="U206" s="354"/>
      <c r="V206" s="355"/>
      <c r="W206" s="353" t="s">
        <v>59</v>
      </c>
      <c r="X206" s="354"/>
      <c r="Y206" s="354"/>
      <c r="Z206" s="354"/>
      <c r="AA206" s="354"/>
      <c r="AB206" s="354"/>
      <c r="AC206" s="354"/>
      <c r="AD206" s="354"/>
      <c r="AE206" s="354"/>
      <c r="AF206" s="354"/>
      <c r="AG206" s="354"/>
      <c r="AH206" s="354"/>
      <c r="AI206" s="354"/>
      <c r="AJ206" s="354"/>
      <c r="AK206" s="354"/>
      <c r="AL206" s="354"/>
      <c r="AM206" s="354"/>
      <c r="AN206" s="354"/>
      <c r="AO206" s="354"/>
      <c r="AP206" s="354"/>
      <c r="AQ206" s="354"/>
      <c r="AR206" s="355"/>
    </row>
    <row r="207" spans="1:45" ht="15.75" thickBot="1" x14ac:dyDescent="0.3">
      <c r="A207" s="351"/>
      <c r="B207" s="352"/>
      <c r="C207" s="69">
        <f>MAX(C208:C255)</f>
        <v>0</v>
      </c>
      <c r="D207" s="70">
        <f t="shared" ref="D207:AR207" si="4">MAX(D208:D255)</f>
        <v>0</v>
      </c>
      <c r="E207" s="70">
        <f t="shared" si="4"/>
        <v>0</v>
      </c>
      <c r="F207" s="70">
        <f t="shared" si="4"/>
        <v>0</v>
      </c>
      <c r="G207" s="70">
        <f t="shared" si="4"/>
        <v>0</v>
      </c>
      <c r="H207" s="70">
        <f t="shared" si="4"/>
        <v>0</v>
      </c>
      <c r="I207" s="70">
        <f t="shared" si="4"/>
        <v>0</v>
      </c>
      <c r="J207" s="70">
        <f t="shared" si="4"/>
        <v>0</v>
      </c>
      <c r="K207" s="70">
        <f t="shared" si="4"/>
        <v>0</v>
      </c>
      <c r="L207" s="70">
        <f t="shared" si="4"/>
        <v>0</v>
      </c>
      <c r="M207" s="70">
        <f t="shared" si="4"/>
        <v>0</v>
      </c>
      <c r="N207" s="70">
        <f t="shared" si="4"/>
        <v>0</v>
      </c>
      <c r="O207" s="73">
        <f t="shared" si="4"/>
        <v>0</v>
      </c>
      <c r="P207" s="74">
        <f t="shared" si="4"/>
        <v>0</v>
      </c>
      <c r="Q207" s="71">
        <f t="shared" si="4"/>
        <v>0</v>
      </c>
      <c r="R207" s="71">
        <f t="shared" si="4"/>
        <v>0</v>
      </c>
      <c r="S207" s="71">
        <f t="shared" si="4"/>
        <v>0</v>
      </c>
      <c r="T207" s="71">
        <f t="shared" si="4"/>
        <v>0</v>
      </c>
      <c r="U207" s="71">
        <f t="shared" si="4"/>
        <v>0</v>
      </c>
      <c r="V207" s="75">
        <f t="shared" si="4"/>
        <v>0</v>
      </c>
      <c r="W207" s="76">
        <f t="shared" si="4"/>
        <v>0</v>
      </c>
      <c r="X207" s="72">
        <f t="shared" si="4"/>
        <v>0</v>
      </c>
      <c r="Y207" s="72">
        <f t="shared" si="4"/>
        <v>0</v>
      </c>
      <c r="Z207" s="72">
        <f t="shared" si="4"/>
        <v>0</v>
      </c>
      <c r="AA207" s="72">
        <f t="shared" si="4"/>
        <v>0</v>
      </c>
      <c r="AB207" s="72">
        <f t="shared" si="4"/>
        <v>0</v>
      </c>
      <c r="AC207" s="72">
        <f t="shared" si="4"/>
        <v>0</v>
      </c>
      <c r="AD207" s="72">
        <f t="shared" si="4"/>
        <v>0</v>
      </c>
      <c r="AE207" s="72">
        <f t="shared" si="4"/>
        <v>0</v>
      </c>
      <c r="AF207" s="72">
        <f t="shared" si="4"/>
        <v>0</v>
      </c>
      <c r="AG207" s="72">
        <f t="shared" si="4"/>
        <v>0</v>
      </c>
      <c r="AH207" s="72">
        <f t="shared" si="4"/>
        <v>0</v>
      </c>
      <c r="AI207" s="72">
        <f t="shared" si="4"/>
        <v>0</v>
      </c>
      <c r="AJ207" s="72">
        <f t="shared" si="4"/>
        <v>0</v>
      </c>
      <c r="AK207" s="72">
        <f t="shared" si="4"/>
        <v>0</v>
      </c>
      <c r="AL207" s="72">
        <f t="shared" si="4"/>
        <v>0</v>
      </c>
      <c r="AM207" s="72">
        <f t="shared" si="4"/>
        <v>0</v>
      </c>
      <c r="AN207" s="72">
        <f t="shared" si="4"/>
        <v>0</v>
      </c>
      <c r="AO207" s="72">
        <f t="shared" si="4"/>
        <v>0</v>
      </c>
      <c r="AP207" s="72">
        <f t="shared" si="4"/>
        <v>0</v>
      </c>
      <c r="AQ207" s="72">
        <f t="shared" si="4"/>
        <v>0</v>
      </c>
      <c r="AR207" s="77">
        <f t="shared" si="4"/>
        <v>0</v>
      </c>
    </row>
    <row r="208" spans="1:45" x14ac:dyDescent="0.25">
      <c r="A208" s="65">
        <v>0</v>
      </c>
      <c r="B208" s="66">
        <v>2.0833333333333332E-2</v>
      </c>
      <c r="C208" s="67"/>
      <c r="D208" s="68"/>
      <c r="E208" s="68"/>
      <c r="F208" s="68"/>
      <c r="G208" s="68"/>
      <c r="H208" s="68"/>
      <c r="I208" s="68"/>
      <c r="J208" s="68"/>
      <c r="K208" s="68"/>
      <c r="L208" s="68"/>
      <c r="M208" s="68"/>
      <c r="N208" s="68"/>
      <c r="O208" s="62"/>
      <c r="P208" s="67"/>
      <c r="Q208" s="68"/>
      <c r="R208" s="68"/>
      <c r="S208" s="68"/>
      <c r="T208" s="68"/>
      <c r="U208" s="68"/>
      <c r="V208" s="62"/>
      <c r="W208" s="67"/>
      <c r="X208" s="68"/>
      <c r="Y208" s="68"/>
      <c r="Z208" s="68"/>
      <c r="AA208" s="68"/>
      <c r="AB208" s="68"/>
      <c r="AC208" s="68"/>
      <c r="AD208" s="68"/>
      <c r="AE208" s="68"/>
      <c r="AF208" s="68"/>
      <c r="AG208" s="68"/>
      <c r="AH208" s="68"/>
      <c r="AI208" s="68"/>
      <c r="AJ208" s="68"/>
      <c r="AK208" s="68"/>
      <c r="AL208" s="68"/>
      <c r="AM208" s="68"/>
      <c r="AN208" s="68"/>
      <c r="AO208" s="68"/>
      <c r="AP208" s="68"/>
      <c r="AQ208" s="68"/>
      <c r="AR208" s="62"/>
      <c r="AS208" s="23"/>
    </row>
    <row r="209" spans="1:45" x14ac:dyDescent="0.25">
      <c r="A209" s="56">
        <v>2.0833333333333332E-2</v>
      </c>
      <c r="B209" s="5">
        <v>4.1666666666666664E-2</v>
      </c>
      <c r="C209" s="63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57"/>
      <c r="P209" s="63"/>
      <c r="Q209" s="2"/>
      <c r="R209" s="2"/>
      <c r="S209" s="2"/>
      <c r="T209" s="2"/>
      <c r="U209" s="2"/>
      <c r="V209" s="57"/>
      <c r="W209" s="63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57"/>
      <c r="AS209" s="23"/>
    </row>
    <row r="210" spans="1:45" x14ac:dyDescent="0.25">
      <c r="A210" s="56">
        <v>4.1666666666666664E-2</v>
      </c>
      <c r="B210" s="5">
        <v>6.25E-2</v>
      </c>
      <c r="C210" s="63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57"/>
      <c r="P210" s="63"/>
      <c r="Q210" s="2"/>
      <c r="R210" s="2"/>
      <c r="S210" s="2"/>
      <c r="T210" s="2"/>
      <c r="U210" s="2"/>
      <c r="V210" s="57"/>
      <c r="W210" s="63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57"/>
      <c r="AS210" s="23"/>
    </row>
    <row r="211" spans="1:45" x14ac:dyDescent="0.25">
      <c r="A211" s="56">
        <v>6.25E-2</v>
      </c>
      <c r="B211" s="5">
        <v>8.3333333333333329E-2</v>
      </c>
      <c r="C211" s="63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57"/>
      <c r="P211" s="63"/>
      <c r="Q211" s="2"/>
      <c r="R211" s="2"/>
      <c r="S211" s="2"/>
      <c r="T211" s="2"/>
      <c r="U211" s="2"/>
      <c r="V211" s="57"/>
      <c r="W211" s="63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57"/>
      <c r="AS211" s="23"/>
    </row>
    <row r="212" spans="1:45" x14ac:dyDescent="0.25">
      <c r="A212" s="56">
        <v>8.3333333333333329E-2</v>
      </c>
      <c r="B212" s="5">
        <v>0.10416666666666667</v>
      </c>
      <c r="C212" s="63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57"/>
      <c r="P212" s="63"/>
      <c r="Q212" s="2"/>
      <c r="R212" s="2"/>
      <c r="S212" s="2"/>
      <c r="T212" s="2"/>
      <c r="U212" s="2"/>
      <c r="V212" s="57"/>
      <c r="W212" s="63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57"/>
      <c r="AS212" s="23"/>
    </row>
    <row r="213" spans="1:45" x14ac:dyDescent="0.25">
      <c r="A213" s="56">
        <v>0.10416666666666667</v>
      </c>
      <c r="B213" s="5">
        <v>0.125</v>
      </c>
      <c r="C213" s="63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57"/>
      <c r="P213" s="63"/>
      <c r="Q213" s="2"/>
      <c r="R213" s="2"/>
      <c r="S213" s="2"/>
      <c r="T213" s="2"/>
      <c r="U213" s="2"/>
      <c r="V213" s="57"/>
      <c r="W213" s="63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57"/>
      <c r="AS213" s="23"/>
    </row>
    <row r="214" spans="1:45" x14ac:dyDescent="0.25">
      <c r="A214" s="56">
        <v>0.125</v>
      </c>
      <c r="B214" s="5">
        <v>0.14583333333333334</v>
      </c>
      <c r="C214" s="63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57"/>
      <c r="P214" s="63"/>
      <c r="Q214" s="2"/>
      <c r="R214" s="2"/>
      <c r="S214" s="2"/>
      <c r="T214" s="2"/>
      <c r="U214" s="2"/>
      <c r="V214" s="57"/>
      <c r="W214" s="63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57"/>
      <c r="AS214" s="23"/>
    </row>
    <row r="215" spans="1:45" x14ac:dyDescent="0.25">
      <c r="A215" s="56">
        <v>0.14583333333333334</v>
      </c>
      <c r="B215" s="5">
        <v>0.16666666666666666</v>
      </c>
      <c r="C215" s="63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57"/>
      <c r="P215" s="63"/>
      <c r="Q215" s="2"/>
      <c r="R215" s="2"/>
      <c r="S215" s="2"/>
      <c r="T215" s="2"/>
      <c r="U215" s="2"/>
      <c r="V215" s="57"/>
      <c r="W215" s="63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57"/>
      <c r="AS215" s="23"/>
    </row>
    <row r="216" spans="1:45" x14ac:dyDescent="0.25">
      <c r="A216" s="56">
        <v>0.16666666666666666</v>
      </c>
      <c r="B216" s="5">
        <v>0.1875</v>
      </c>
      <c r="C216" s="63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57"/>
      <c r="P216" s="63"/>
      <c r="Q216" s="2"/>
      <c r="R216" s="2"/>
      <c r="S216" s="2"/>
      <c r="T216" s="2"/>
      <c r="U216" s="2"/>
      <c r="V216" s="57"/>
      <c r="W216" s="63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57"/>
      <c r="AS216" s="23"/>
    </row>
    <row r="217" spans="1:45" x14ac:dyDescent="0.25">
      <c r="A217" s="56">
        <v>0.1875</v>
      </c>
      <c r="B217" s="5">
        <v>0.20833333333333334</v>
      </c>
      <c r="C217" s="63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57"/>
      <c r="P217" s="63"/>
      <c r="Q217" s="2"/>
      <c r="R217" s="2"/>
      <c r="S217" s="2"/>
      <c r="T217" s="2"/>
      <c r="U217" s="2"/>
      <c r="V217" s="57"/>
      <c r="W217" s="63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57"/>
      <c r="AS217" s="23"/>
    </row>
    <row r="218" spans="1:45" x14ac:dyDescent="0.25">
      <c r="A218" s="56">
        <v>0.20833333333333334</v>
      </c>
      <c r="B218" s="5">
        <v>0.22916666666666666</v>
      </c>
      <c r="C218" s="63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57"/>
      <c r="P218" s="63"/>
      <c r="Q218" s="2"/>
      <c r="R218" s="2"/>
      <c r="S218" s="2"/>
      <c r="T218" s="2"/>
      <c r="U218" s="2"/>
      <c r="V218" s="57"/>
      <c r="W218" s="63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57"/>
      <c r="AS218" s="23"/>
    </row>
    <row r="219" spans="1:45" x14ac:dyDescent="0.25">
      <c r="A219" s="56">
        <v>0.22916666666666666</v>
      </c>
      <c r="B219" s="5">
        <v>0.25</v>
      </c>
      <c r="C219" s="63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57"/>
      <c r="P219" s="63"/>
      <c r="Q219" s="2"/>
      <c r="R219" s="2"/>
      <c r="S219" s="2"/>
      <c r="T219" s="2"/>
      <c r="U219" s="2"/>
      <c r="V219" s="57"/>
      <c r="W219" s="63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57"/>
      <c r="AS219" s="23"/>
    </row>
    <row r="220" spans="1:45" x14ac:dyDescent="0.25">
      <c r="A220" s="56">
        <v>0.25</v>
      </c>
      <c r="B220" s="5">
        <v>0.27083333333333331</v>
      </c>
      <c r="C220" s="63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57"/>
      <c r="P220" s="63"/>
      <c r="Q220" s="2"/>
      <c r="R220" s="2"/>
      <c r="S220" s="2"/>
      <c r="T220" s="2"/>
      <c r="U220" s="2"/>
      <c r="V220" s="57"/>
      <c r="W220" s="63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57"/>
      <c r="AS220" s="23"/>
    </row>
    <row r="221" spans="1:45" x14ac:dyDescent="0.25">
      <c r="A221" s="56">
        <v>0.27083333333333331</v>
      </c>
      <c r="B221" s="5">
        <v>0.29166666666666669</v>
      </c>
      <c r="C221" s="63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57"/>
      <c r="P221" s="63"/>
      <c r="Q221" s="2"/>
      <c r="R221" s="2"/>
      <c r="S221" s="2"/>
      <c r="T221" s="2"/>
      <c r="U221" s="2"/>
      <c r="V221" s="57"/>
      <c r="W221" s="63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57"/>
      <c r="AS221" s="23"/>
    </row>
    <row r="222" spans="1:45" x14ac:dyDescent="0.25">
      <c r="A222" s="56">
        <v>0.29166666666666669</v>
      </c>
      <c r="B222" s="5">
        <v>0.3125</v>
      </c>
      <c r="C222" s="63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57"/>
      <c r="P222" s="63"/>
      <c r="Q222" s="2"/>
      <c r="R222" s="2"/>
      <c r="S222" s="2"/>
      <c r="T222" s="2"/>
      <c r="U222" s="2"/>
      <c r="V222" s="57"/>
      <c r="W222" s="63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57"/>
      <c r="AS222" s="23"/>
    </row>
    <row r="223" spans="1:45" x14ac:dyDescent="0.25">
      <c r="A223" s="56">
        <v>0.3125</v>
      </c>
      <c r="B223" s="5">
        <v>0.33333333333333331</v>
      </c>
      <c r="C223" s="63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57"/>
      <c r="P223" s="63"/>
      <c r="Q223" s="2"/>
      <c r="R223" s="2"/>
      <c r="S223" s="2"/>
      <c r="T223" s="2"/>
      <c r="U223" s="2"/>
      <c r="V223" s="57"/>
      <c r="W223" s="63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57"/>
      <c r="AS223" s="23"/>
    </row>
    <row r="224" spans="1:45" x14ac:dyDescent="0.25">
      <c r="A224" s="56">
        <v>0.33333333333333331</v>
      </c>
      <c r="B224" s="5">
        <v>0.35416666666666669</v>
      </c>
      <c r="C224" s="63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57"/>
      <c r="P224" s="63"/>
      <c r="Q224" s="2"/>
      <c r="R224" s="2"/>
      <c r="S224" s="2"/>
      <c r="T224" s="2"/>
      <c r="U224" s="2"/>
      <c r="V224" s="57"/>
      <c r="W224" s="63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57"/>
      <c r="AS224" s="23"/>
    </row>
    <row r="225" spans="1:45" x14ac:dyDescent="0.25">
      <c r="A225" s="56">
        <v>0.35416666666666669</v>
      </c>
      <c r="B225" s="5">
        <v>0.375</v>
      </c>
      <c r="C225" s="63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57"/>
      <c r="P225" s="63"/>
      <c r="Q225" s="2"/>
      <c r="R225" s="2"/>
      <c r="S225" s="2"/>
      <c r="T225" s="2"/>
      <c r="U225" s="2"/>
      <c r="V225" s="57"/>
      <c r="W225" s="63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57"/>
      <c r="AS225" s="23"/>
    </row>
    <row r="226" spans="1:45" x14ac:dyDescent="0.25">
      <c r="A226" s="56">
        <v>0.375</v>
      </c>
      <c r="B226" s="5">
        <v>0.39583333333333331</v>
      </c>
      <c r="C226" s="63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57"/>
      <c r="P226" s="63"/>
      <c r="Q226" s="2"/>
      <c r="R226" s="2"/>
      <c r="S226" s="2"/>
      <c r="T226" s="2"/>
      <c r="U226" s="2"/>
      <c r="V226" s="57"/>
      <c r="W226" s="63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57"/>
      <c r="AS226" s="23"/>
    </row>
    <row r="227" spans="1:45" x14ac:dyDescent="0.25">
      <c r="A227" s="56">
        <v>0.39583333333333331</v>
      </c>
      <c r="B227" s="5">
        <v>0.41666666666666669</v>
      </c>
      <c r="C227" s="63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57"/>
      <c r="P227" s="63"/>
      <c r="Q227" s="2"/>
      <c r="R227" s="2"/>
      <c r="S227" s="2"/>
      <c r="T227" s="2"/>
      <c r="U227" s="2"/>
      <c r="V227" s="57"/>
      <c r="W227" s="63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57"/>
      <c r="AS227" s="23"/>
    </row>
    <row r="228" spans="1:45" x14ac:dyDescent="0.25">
      <c r="A228" s="56">
        <v>0.41666666666666669</v>
      </c>
      <c r="B228" s="5">
        <v>0.4375</v>
      </c>
      <c r="C228" s="63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57"/>
      <c r="P228" s="63"/>
      <c r="Q228" s="2"/>
      <c r="R228" s="2"/>
      <c r="S228" s="2"/>
      <c r="T228" s="2"/>
      <c r="U228" s="2"/>
      <c r="V228" s="57"/>
      <c r="W228" s="63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57"/>
      <c r="AS228" s="23"/>
    </row>
    <row r="229" spans="1:45" x14ac:dyDescent="0.25">
      <c r="A229" s="56">
        <v>0.4375</v>
      </c>
      <c r="B229" s="5">
        <v>0.45833333333333331</v>
      </c>
      <c r="C229" s="63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57"/>
      <c r="P229" s="63"/>
      <c r="Q229" s="2"/>
      <c r="R229" s="2"/>
      <c r="S229" s="2"/>
      <c r="T229" s="2"/>
      <c r="U229" s="2"/>
      <c r="V229" s="57"/>
      <c r="W229" s="63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57"/>
      <c r="AS229" s="23"/>
    </row>
    <row r="230" spans="1:45" x14ac:dyDescent="0.25">
      <c r="A230" s="56">
        <v>0.45833333333333331</v>
      </c>
      <c r="B230" s="5">
        <v>0.47916666666666669</v>
      </c>
      <c r="C230" s="63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57"/>
      <c r="P230" s="63"/>
      <c r="Q230" s="2"/>
      <c r="R230" s="2"/>
      <c r="S230" s="2"/>
      <c r="T230" s="2"/>
      <c r="U230" s="2"/>
      <c r="V230" s="57"/>
      <c r="W230" s="63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57"/>
      <c r="AS230" s="23"/>
    </row>
    <row r="231" spans="1:45" x14ac:dyDescent="0.25">
      <c r="A231" s="56">
        <v>0.47916666666666669</v>
      </c>
      <c r="B231" s="5">
        <v>0.5</v>
      </c>
      <c r="C231" s="63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57"/>
      <c r="P231" s="63"/>
      <c r="Q231" s="2"/>
      <c r="R231" s="2"/>
      <c r="S231" s="2"/>
      <c r="T231" s="2"/>
      <c r="U231" s="2"/>
      <c r="V231" s="57"/>
      <c r="W231" s="63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57"/>
      <c r="AS231" s="23"/>
    </row>
    <row r="232" spans="1:45" x14ac:dyDescent="0.25">
      <c r="A232" s="56">
        <v>0.5</v>
      </c>
      <c r="B232" s="5">
        <v>0.52083333333333337</v>
      </c>
      <c r="C232" s="63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57"/>
      <c r="P232" s="63"/>
      <c r="Q232" s="2"/>
      <c r="R232" s="2"/>
      <c r="S232" s="2"/>
      <c r="T232" s="2"/>
      <c r="U232" s="2"/>
      <c r="V232" s="57"/>
      <c r="W232" s="63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57"/>
      <c r="AS232" s="23"/>
    </row>
    <row r="233" spans="1:45" x14ac:dyDescent="0.25">
      <c r="A233" s="56">
        <v>0.52083333333333337</v>
      </c>
      <c r="B233" s="5">
        <v>0.54166666666666663</v>
      </c>
      <c r="C233" s="63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57"/>
      <c r="P233" s="63"/>
      <c r="Q233" s="2"/>
      <c r="R233" s="2"/>
      <c r="S233" s="2"/>
      <c r="T233" s="2"/>
      <c r="U233" s="2"/>
      <c r="V233" s="57"/>
      <c r="W233" s="63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57"/>
      <c r="AS233" s="23"/>
    </row>
    <row r="234" spans="1:45" x14ac:dyDescent="0.25">
      <c r="A234" s="56">
        <v>0.54166666666666663</v>
      </c>
      <c r="B234" s="5">
        <v>0.5625</v>
      </c>
      <c r="C234" s="63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57"/>
      <c r="P234" s="63"/>
      <c r="Q234" s="2"/>
      <c r="R234" s="2"/>
      <c r="S234" s="2"/>
      <c r="T234" s="2"/>
      <c r="U234" s="2"/>
      <c r="V234" s="57"/>
      <c r="W234" s="63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57"/>
      <c r="AS234" s="23"/>
    </row>
    <row r="235" spans="1:45" x14ac:dyDescent="0.25">
      <c r="A235" s="56">
        <v>0.5625</v>
      </c>
      <c r="B235" s="5">
        <v>0.58333333333333337</v>
      </c>
      <c r="C235" s="63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57"/>
      <c r="P235" s="63"/>
      <c r="Q235" s="2"/>
      <c r="R235" s="2"/>
      <c r="S235" s="2"/>
      <c r="T235" s="2"/>
      <c r="U235" s="2"/>
      <c r="V235" s="57"/>
      <c r="W235" s="63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57"/>
      <c r="AS235" s="23"/>
    </row>
    <row r="236" spans="1:45" x14ac:dyDescent="0.25">
      <c r="A236" s="56">
        <v>0.58333333333333337</v>
      </c>
      <c r="B236" s="5">
        <v>0.60416666666666663</v>
      </c>
      <c r="C236" s="63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57"/>
      <c r="P236" s="63"/>
      <c r="Q236" s="2"/>
      <c r="R236" s="2"/>
      <c r="S236" s="2"/>
      <c r="T236" s="2"/>
      <c r="U236" s="2"/>
      <c r="V236" s="57"/>
      <c r="W236" s="63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57"/>
      <c r="AS236" s="23"/>
    </row>
    <row r="237" spans="1:45" x14ac:dyDescent="0.25">
      <c r="A237" s="56">
        <v>0.60416666666666663</v>
      </c>
      <c r="B237" s="5">
        <v>0.625</v>
      </c>
      <c r="C237" s="63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57"/>
      <c r="P237" s="63"/>
      <c r="Q237" s="2"/>
      <c r="R237" s="2"/>
      <c r="S237" s="2"/>
      <c r="T237" s="2"/>
      <c r="U237" s="2"/>
      <c r="V237" s="57"/>
      <c r="W237" s="63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57"/>
      <c r="AS237" s="23"/>
    </row>
    <row r="238" spans="1:45" x14ac:dyDescent="0.25">
      <c r="A238" s="56">
        <v>0.625</v>
      </c>
      <c r="B238" s="5">
        <v>0.64583333333333337</v>
      </c>
      <c r="C238" s="63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57"/>
      <c r="P238" s="63"/>
      <c r="Q238" s="2"/>
      <c r="R238" s="2"/>
      <c r="S238" s="2"/>
      <c r="T238" s="2"/>
      <c r="U238" s="2"/>
      <c r="V238" s="57"/>
      <c r="W238" s="63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57"/>
      <c r="AS238" s="23"/>
    </row>
    <row r="239" spans="1:45" x14ac:dyDescent="0.25">
      <c r="A239" s="56">
        <v>0.64583333333333337</v>
      </c>
      <c r="B239" s="5">
        <v>0.66666666666666663</v>
      </c>
      <c r="C239" s="63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57"/>
      <c r="P239" s="63"/>
      <c r="Q239" s="2"/>
      <c r="R239" s="2"/>
      <c r="S239" s="2"/>
      <c r="T239" s="2"/>
      <c r="U239" s="2"/>
      <c r="V239" s="57"/>
      <c r="W239" s="63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57"/>
      <c r="AS239" s="23"/>
    </row>
    <row r="240" spans="1:45" x14ac:dyDescent="0.25">
      <c r="A240" s="56">
        <v>0.66666666666666663</v>
      </c>
      <c r="B240" s="5">
        <v>0.6875</v>
      </c>
      <c r="C240" s="63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57"/>
      <c r="P240" s="63"/>
      <c r="Q240" s="2"/>
      <c r="R240" s="2"/>
      <c r="S240" s="2"/>
      <c r="T240" s="2"/>
      <c r="U240" s="2"/>
      <c r="V240" s="57"/>
      <c r="W240" s="63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57"/>
      <c r="AS240" s="23"/>
    </row>
    <row r="241" spans="1:45" x14ac:dyDescent="0.25">
      <c r="A241" s="56">
        <v>0.6875</v>
      </c>
      <c r="B241" s="5">
        <v>0.70833333333333337</v>
      </c>
      <c r="C241" s="63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57"/>
      <c r="P241" s="63"/>
      <c r="Q241" s="2"/>
      <c r="R241" s="2"/>
      <c r="S241" s="2"/>
      <c r="T241" s="2"/>
      <c r="U241" s="2"/>
      <c r="V241" s="57"/>
      <c r="W241" s="63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57"/>
      <c r="AS241" s="23"/>
    </row>
    <row r="242" spans="1:45" x14ac:dyDescent="0.25">
      <c r="A242" s="56">
        <v>0.70833333333333337</v>
      </c>
      <c r="B242" s="5">
        <v>0.72916666666666663</v>
      </c>
      <c r="C242" s="63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57"/>
      <c r="P242" s="63"/>
      <c r="Q242" s="2"/>
      <c r="R242" s="2"/>
      <c r="S242" s="2"/>
      <c r="T242" s="2"/>
      <c r="U242" s="2"/>
      <c r="V242" s="57"/>
      <c r="W242" s="63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57"/>
      <c r="AS242" s="23"/>
    </row>
    <row r="243" spans="1:45" x14ac:dyDescent="0.25">
      <c r="A243" s="56">
        <v>0.72916666666666663</v>
      </c>
      <c r="B243" s="5">
        <v>0.75</v>
      </c>
      <c r="C243" s="63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57"/>
      <c r="P243" s="63"/>
      <c r="Q243" s="2"/>
      <c r="R243" s="2"/>
      <c r="S243" s="2"/>
      <c r="T243" s="2"/>
      <c r="U243" s="2"/>
      <c r="V243" s="57"/>
      <c r="W243" s="63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57"/>
      <c r="AS243" s="23"/>
    </row>
    <row r="244" spans="1:45" x14ac:dyDescent="0.25">
      <c r="A244" s="56">
        <v>0.75</v>
      </c>
      <c r="B244" s="5">
        <v>0.77083333333333337</v>
      </c>
      <c r="C244" s="63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57"/>
      <c r="P244" s="63"/>
      <c r="Q244" s="2"/>
      <c r="R244" s="2"/>
      <c r="S244" s="2"/>
      <c r="T244" s="2"/>
      <c r="U244" s="2"/>
      <c r="V244" s="57"/>
      <c r="W244" s="63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57"/>
      <c r="AS244" s="23"/>
    </row>
    <row r="245" spans="1:45" x14ac:dyDescent="0.25">
      <c r="A245" s="56">
        <v>0.77083333333333337</v>
      </c>
      <c r="B245" s="5">
        <v>0.79166666666666663</v>
      </c>
      <c r="C245" s="63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57"/>
      <c r="P245" s="63"/>
      <c r="Q245" s="2"/>
      <c r="R245" s="2"/>
      <c r="S245" s="2"/>
      <c r="T245" s="2"/>
      <c r="U245" s="2"/>
      <c r="V245" s="57"/>
      <c r="W245" s="63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57"/>
      <c r="AS245" s="23"/>
    </row>
    <row r="246" spans="1:45" x14ac:dyDescent="0.25">
      <c r="A246" s="56">
        <v>0.79166666666666663</v>
      </c>
      <c r="B246" s="5">
        <v>0.8125</v>
      </c>
      <c r="C246" s="63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57"/>
      <c r="P246" s="63"/>
      <c r="Q246" s="2"/>
      <c r="R246" s="2"/>
      <c r="S246" s="2"/>
      <c r="T246" s="2"/>
      <c r="U246" s="2"/>
      <c r="V246" s="57"/>
      <c r="W246" s="63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57"/>
      <c r="AS246" s="23"/>
    </row>
    <row r="247" spans="1:45" x14ac:dyDescent="0.25">
      <c r="A247" s="56">
        <v>0.8125</v>
      </c>
      <c r="B247" s="5">
        <v>0.83333333333333337</v>
      </c>
      <c r="C247" s="63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57"/>
      <c r="P247" s="63"/>
      <c r="Q247" s="2"/>
      <c r="R247" s="2"/>
      <c r="S247" s="2"/>
      <c r="T247" s="2"/>
      <c r="U247" s="2"/>
      <c r="V247" s="57"/>
      <c r="W247" s="63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57"/>
      <c r="AS247" s="23"/>
    </row>
    <row r="248" spans="1:45" x14ac:dyDescent="0.25">
      <c r="A248" s="56">
        <v>0.83333333333333337</v>
      </c>
      <c r="B248" s="5">
        <v>0.85416666666666663</v>
      </c>
      <c r="C248" s="63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57"/>
      <c r="P248" s="63"/>
      <c r="Q248" s="2"/>
      <c r="R248" s="2"/>
      <c r="S248" s="2"/>
      <c r="T248" s="2"/>
      <c r="U248" s="2"/>
      <c r="V248" s="57"/>
      <c r="W248" s="63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57"/>
      <c r="AS248" s="23"/>
    </row>
    <row r="249" spans="1:45" x14ac:dyDescent="0.25">
      <c r="A249" s="56">
        <v>0.85416666666666663</v>
      </c>
      <c r="B249" s="5">
        <v>0.875</v>
      </c>
      <c r="C249" s="63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57"/>
      <c r="P249" s="63"/>
      <c r="Q249" s="2"/>
      <c r="R249" s="2"/>
      <c r="S249" s="2"/>
      <c r="T249" s="2"/>
      <c r="U249" s="2"/>
      <c r="V249" s="57"/>
      <c r="W249" s="63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57"/>
      <c r="AS249" s="23"/>
    </row>
    <row r="250" spans="1:45" x14ac:dyDescent="0.25">
      <c r="A250" s="56">
        <v>0.875</v>
      </c>
      <c r="B250" s="5">
        <v>0.89583333333333337</v>
      </c>
      <c r="C250" s="63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57"/>
      <c r="P250" s="63"/>
      <c r="Q250" s="2"/>
      <c r="R250" s="2"/>
      <c r="S250" s="2"/>
      <c r="T250" s="2"/>
      <c r="U250" s="2"/>
      <c r="V250" s="57"/>
      <c r="W250" s="63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57"/>
      <c r="AS250" s="23"/>
    </row>
    <row r="251" spans="1:45" x14ac:dyDescent="0.25">
      <c r="A251" s="56">
        <v>0.89583333333333337</v>
      </c>
      <c r="B251" s="5">
        <v>0.91666666666666663</v>
      </c>
      <c r="C251" s="63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57"/>
      <c r="P251" s="63"/>
      <c r="Q251" s="2"/>
      <c r="R251" s="2"/>
      <c r="S251" s="2"/>
      <c r="T251" s="2"/>
      <c r="U251" s="2"/>
      <c r="V251" s="57"/>
      <c r="W251" s="63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57"/>
      <c r="AS251" s="23"/>
    </row>
    <row r="252" spans="1:45" x14ac:dyDescent="0.25">
      <c r="A252" s="56">
        <v>0.91666666666666663</v>
      </c>
      <c r="B252" s="5">
        <v>0.9375</v>
      </c>
      <c r="C252" s="63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57"/>
      <c r="P252" s="63"/>
      <c r="Q252" s="2"/>
      <c r="R252" s="2"/>
      <c r="S252" s="2"/>
      <c r="T252" s="2"/>
      <c r="U252" s="2"/>
      <c r="V252" s="57"/>
      <c r="W252" s="63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57"/>
      <c r="AS252" s="23"/>
    </row>
    <row r="253" spans="1:45" x14ac:dyDescent="0.25">
      <c r="A253" s="56">
        <v>0.9375</v>
      </c>
      <c r="B253" s="5">
        <v>0.95833333333333337</v>
      </c>
      <c r="C253" s="63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57"/>
      <c r="P253" s="63"/>
      <c r="Q253" s="2"/>
      <c r="R253" s="2"/>
      <c r="S253" s="2"/>
      <c r="T253" s="2"/>
      <c r="U253" s="2"/>
      <c r="V253" s="57"/>
      <c r="W253" s="63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57"/>
      <c r="AS253" s="23"/>
    </row>
    <row r="254" spans="1:45" x14ac:dyDescent="0.25">
      <c r="A254" s="56">
        <v>0.95833333333333337</v>
      </c>
      <c r="B254" s="5">
        <v>0.97916666666666663</v>
      </c>
      <c r="C254" s="63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57"/>
      <c r="P254" s="63"/>
      <c r="Q254" s="2"/>
      <c r="R254" s="2"/>
      <c r="S254" s="2"/>
      <c r="T254" s="2"/>
      <c r="U254" s="2"/>
      <c r="V254" s="57"/>
      <c r="W254" s="63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57"/>
      <c r="AS254" s="23"/>
    </row>
    <row r="255" spans="1:45" ht="15.75" thickBot="1" x14ac:dyDescent="0.3">
      <c r="A255" s="58">
        <v>0.97916666666666663</v>
      </c>
      <c r="B255" s="59">
        <v>0</v>
      </c>
      <c r="C255" s="64"/>
      <c r="D255" s="60"/>
      <c r="E255" s="60"/>
      <c r="F255" s="60"/>
      <c r="G255" s="60"/>
      <c r="H255" s="60"/>
      <c r="I255" s="60"/>
      <c r="J255" s="60"/>
      <c r="K255" s="60"/>
      <c r="L255" s="60"/>
      <c r="M255" s="60"/>
      <c r="N255" s="60"/>
      <c r="O255" s="61"/>
      <c r="P255" s="64"/>
      <c r="Q255" s="60"/>
      <c r="R255" s="60"/>
      <c r="S255" s="60"/>
      <c r="T255" s="60"/>
      <c r="U255" s="60"/>
      <c r="V255" s="61"/>
      <c r="W255" s="64"/>
      <c r="X255" s="60"/>
      <c r="Y255" s="60"/>
      <c r="Z255" s="60"/>
      <c r="AA255" s="60"/>
      <c r="AB255" s="60"/>
      <c r="AC255" s="60"/>
      <c r="AD255" s="60"/>
      <c r="AE255" s="60"/>
      <c r="AF255" s="60"/>
      <c r="AG255" s="60"/>
      <c r="AH255" s="60"/>
      <c r="AI255" s="60"/>
      <c r="AJ255" s="60"/>
      <c r="AK255" s="60"/>
      <c r="AL255" s="60"/>
      <c r="AM255" s="60"/>
      <c r="AN255" s="60"/>
      <c r="AO255" s="60"/>
      <c r="AP255" s="60"/>
      <c r="AQ255" s="60"/>
      <c r="AR255" s="61"/>
      <c r="AS255" s="23"/>
    </row>
    <row r="256" spans="1:45" ht="24" thickBot="1" x14ac:dyDescent="0.3">
      <c r="A256" s="356" t="s">
        <v>65</v>
      </c>
      <c r="B256" s="357"/>
      <c r="C256" s="357"/>
      <c r="D256" s="357"/>
      <c r="E256" s="357"/>
      <c r="F256" s="357"/>
      <c r="G256" s="357"/>
      <c r="H256" s="357"/>
      <c r="I256" s="357"/>
      <c r="J256" s="357"/>
      <c r="K256" s="357"/>
      <c r="L256" s="357"/>
      <c r="M256" s="357"/>
      <c r="N256" s="357"/>
      <c r="O256" s="357"/>
      <c r="P256" s="357"/>
      <c r="Q256" s="357"/>
      <c r="R256" s="357"/>
      <c r="S256" s="357"/>
      <c r="T256" s="357"/>
      <c r="U256" s="357"/>
      <c r="V256" s="357"/>
      <c r="W256" s="357"/>
      <c r="X256" s="357"/>
      <c r="Y256" s="357"/>
      <c r="Z256" s="357"/>
      <c r="AA256" s="357"/>
      <c r="AB256" s="357"/>
      <c r="AC256" s="357"/>
      <c r="AD256" s="357"/>
      <c r="AE256" s="357"/>
      <c r="AF256" s="357"/>
      <c r="AG256" s="357"/>
      <c r="AH256" s="357"/>
      <c r="AI256" s="357"/>
      <c r="AJ256" s="357"/>
      <c r="AK256" s="357"/>
      <c r="AL256" s="357"/>
      <c r="AM256" s="357"/>
      <c r="AN256" s="357"/>
      <c r="AO256" s="357"/>
      <c r="AP256" s="357"/>
      <c r="AQ256" s="357"/>
      <c r="AR256" s="357"/>
    </row>
    <row r="257" spans="1:45" x14ac:dyDescent="0.25">
      <c r="A257" s="349" t="s">
        <v>56</v>
      </c>
      <c r="B257" s="350"/>
      <c r="C257" s="353" t="s">
        <v>57</v>
      </c>
      <c r="D257" s="354"/>
      <c r="E257" s="354"/>
      <c r="F257" s="354"/>
      <c r="G257" s="354"/>
      <c r="H257" s="354"/>
      <c r="I257" s="354"/>
      <c r="J257" s="354"/>
      <c r="K257" s="354"/>
      <c r="L257" s="354"/>
      <c r="M257" s="354"/>
      <c r="N257" s="354"/>
      <c r="O257" s="355"/>
      <c r="P257" s="353" t="s">
        <v>58</v>
      </c>
      <c r="Q257" s="354"/>
      <c r="R257" s="354"/>
      <c r="S257" s="354"/>
      <c r="T257" s="354"/>
      <c r="U257" s="354"/>
      <c r="V257" s="355"/>
      <c r="W257" s="353" t="s">
        <v>59</v>
      </c>
      <c r="X257" s="354"/>
      <c r="Y257" s="354"/>
      <c r="Z257" s="354"/>
      <c r="AA257" s="354"/>
      <c r="AB257" s="354"/>
      <c r="AC257" s="354"/>
      <c r="AD257" s="354"/>
      <c r="AE257" s="354"/>
      <c r="AF257" s="354"/>
      <c r="AG257" s="354"/>
      <c r="AH257" s="354"/>
      <c r="AI257" s="354"/>
      <c r="AJ257" s="354"/>
      <c r="AK257" s="354"/>
      <c r="AL257" s="354"/>
      <c r="AM257" s="354"/>
      <c r="AN257" s="354"/>
      <c r="AO257" s="354"/>
      <c r="AP257" s="354"/>
      <c r="AQ257" s="354"/>
      <c r="AR257" s="355"/>
    </row>
    <row r="258" spans="1:45" ht="15.75" thickBot="1" x14ac:dyDescent="0.3">
      <c r="A258" s="351"/>
      <c r="B258" s="352"/>
      <c r="C258" s="69">
        <f>MAX(C259:C306)</f>
        <v>0</v>
      </c>
      <c r="D258" s="70">
        <f t="shared" ref="D258:AR258" si="5">MAX(D259:D306)</f>
        <v>0</v>
      </c>
      <c r="E258" s="70">
        <f t="shared" si="5"/>
        <v>0</v>
      </c>
      <c r="F258" s="70">
        <f t="shared" si="5"/>
        <v>0</v>
      </c>
      <c r="G258" s="70">
        <f t="shared" si="5"/>
        <v>0</v>
      </c>
      <c r="H258" s="70">
        <f t="shared" si="5"/>
        <v>0</v>
      </c>
      <c r="I258" s="70">
        <f t="shared" si="5"/>
        <v>0</v>
      </c>
      <c r="J258" s="70">
        <f t="shared" si="5"/>
        <v>0</v>
      </c>
      <c r="K258" s="70">
        <f t="shared" si="5"/>
        <v>0</v>
      </c>
      <c r="L258" s="70">
        <f t="shared" si="5"/>
        <v>0</v>
      </c>
      <c r="M258" s="70">
        <f t="shared" si="5"/>
        <v>0</v>
      </c>
      <c r="N258" s="70">
        <f t="shared" si="5"/>
        <v>0</v>
      </c>
      <c r="O258" s="73">
        <f t="shared" si="5"/>
        <v>0</v>
      </c>
      <c r="P258" s="74">
        <f t="shared" si="5"/>
        <v>0</v>
      </c>
      <c r="Q258" s="71">
        <f t="shared" si="5"/>
        <v>0</v>
      </c>
      <c r="R258" s="71">
        <f t="shared" si="5"/>
        <v>0</v>
      </c>
      <c r="S258" s="71">
        <f t="shared" si="5"/>
        <v>0</v>
      </c>
      <c r="T258" s="71">
        <f t="shared" si="5"/>
        <v>0</v>
      </c>
      <c r="U258" s="71">
        <f t="shared" si="5"/>
        <v>0</v>
      </c>
      <c r="V258" s="75">
        <f t="shared" si="5"/>
        <v>0</v>
      </c>
      <c r="W258" s="76">
        <f t="shared" si="5"/>
        <v>0</v>
      </c>
      <c r="X258" s="72">
        <f t="shared" si="5"/>
        <v>0</v>
      </c>
      <c r="Y258" s="72">
        <f t="shared" si="5"/>
        <v>0</v>
      </c>
      <c r="Z258" s="72">
        <f t="shared" si="5"/>
        <v>0</v>
      </c>
      <c r="AA258" s="72">
        <f t="shared" si="5"/>
        <v>0</v>
      </c>
      <c r="AB258" s="72">
        <f t="shared" si="5"/>
        <v>0</v>
      </c>
      <c r="AC258" s="72">
        <f t="shared" si="5"/>
        <v>0</v>
      </c>
      <c r="AD258" s="72">
        <f t="shared" si="5"/>
        <v>0</v>
      </c>
      <c r="AE258" s="72">
        <f t="shared" si="5"/>
        <v>0</v>
      </c>
      <c r="AF258" s="72">
        <f t="shared" si="5"/>
        <v>0</v>
      </c>
      <c r="AG258" s="72">
        <f t="shared" si="5"/>
        <v>0</v>
      </c>
      <c r="AH258" s="72">
        <f t="shared" si="5"/>
        <v>0</v>
      </c>
      <c r="AI258" s="72">
        <f t="shared" si="5"/>
        <v>0</v>
      </c>
      <c r="AJ258" s="72">
        <f t="shared" si="5"/>
        <v>0</v>
      </c>
      <c r="AK258" s="72">
        <f t="shared" si="5"/>
        <v>0</v>
      </c>
      <c r="AL258" s="72">
        <f t="shared" si="5"/>
        <v>0</v>
      </c>
      <c r="AM258" s="72">
        <f t="shared" si="5"/>
        <v>0</v>
      </c>
      <c r="AN258" s="72">
        <f t="shared" si="5"/>
        <v>0</v>
      </c>
      <c r="AO258" s="72">
        <f t="shared" si="5"/>
        <v>0</v>
      </c>
      <c r="AP258" s="72">
        <f t="shared" si="5"/>
        <v>0</v>
      </c>
      <c r="AQ258" s="72">
        <f t="shared" si="5"/>
        <v>0</v>
      </c>
      <c r="AR258" s="77">
        <f t="shared" si="5"/>
        <v>0</v>
      </c>
    </row>
    <row r="259" spans="1:45" x14ac:dyDescent="0.25">
      <c r="A259" s="65">
        <v>0</v>
      </c>
      <c r="B259" s="66">
        <v>2.0833333333333332E-2</v>
      </c>
      <c r="C259" s="67"/>
      <c r="D259" s="68"/>
      <c r="E259" s="68"/>
      <c r="F259" s="68"/>
      <c r="G259" s="68"/>
      <c r="H259" s="68"/>
      <c r="I259" s="68"/>
      <c r="J259" s="68"/>
      <c r="K259" s="68"/>
      <c r="L259" s="68"/>
      <c r="M259" s="68"/>
      <c r="N259" s="68"/>
      <c r="O259" s="62"/>
      <c r="P259" s="67"/>
      <c r="Q259" s="68"/>
      <c r="R259" s="68"/>
      <c r="S259" s="68"/>
      <c r="T259" s="68"/>
      <c r="U259" s="68"/>
      <c r="V259" s="62"/>
      <c r="W259" s="67"/>
      <c r="X259" s="68"/>
      <c r="Y259" s="68"/>
      <c r="Z259" s="68"/>
      <c r="AA259" s="68"/>
      <c r="AB259" s="68"/>
      <c r="AC259" s="68"/>
      <c r="AD259" s="68"/>
      <c r="AE259" s="68"/>
      <c r="AF259" s="68"/>
      <c r="AG259" s="68"/>
      <c r="AH259" s="68"/>
      <c r="AI259" s="68"/>
      <c r="AJ259" s="68"/>
      <c r="AK259" s="68"/>
      <c r="AL259" s="68"/>
      <c r="AM259" s="68"/>
      <c r="AN259" s="68"/>
      <c r="AO259" s="68"/>
      <c r="AP259" s="68"/>
      <c r="AQ259" s="68"/>
      <c r="AR259" s="62"/>
      <c r="AS259" s="23"/>
    </row>
    <row r="260" spans="1:45" x14ac:dyDescent="0.25">
      <c r="A260" s="56">
        <v>2.0833333333333332E-2</v>
      </c>
      <c r="B260" s="5">
        <v>4.1666666666666664E-2</v>
      </c>
      <c r="C260" s="63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57"/>
      <c r="P260" s="63"/>
      <c r="Q260" s="2"/>
      <c r="R260" s="2"/>
      <c r="S260" s="2"/>
      <c r="T260" s="2"/>
      <c r="U260" s="2"/>
      <c r="V260" s="57"/>
      <c r="W260" s="63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57"/>
      <c r="AS260" s="23"/>
    </row>
    <row r="261" spans="1:45" x14ac:dyDescent="0.25">
      <c r="A261" s="56">
        <v>4.1666666666666664E-2</v>
      </c>
      <c r="B261" s="5">
        <v>6.25E-2</v>
      </c>
      <c r="C261" s="63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57"/>
      <c r="P261" s="63"/>
      <c r="Q261" s="2"/>
      <c r="R261" s="2"/>
      <c r="S261" s="2"/>
      <c r="T261" s="2"/>
      <c r="U261" s="2"/>
      <c r="V261" s="57"/>
      <c r="W261" s="63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57"/>
      <c r="AS261" s="23"/>
    </row>
    <row r="262" spans="1:45" x14ac:dyDescent="0.25">
      <c r="A262" s="56">
        <v>6.25E-2</v>
      </c>
      <c r="B262" s="5">
        <v>8.3333333333333329E-2</v>
      </c>
      <c r="C262" s="63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57"/>
      <c r="P262" s="63"/>
      <c r="Q262" s="2"/>
      <c r="R262" s="2"/>
      <c r="S262" s="2"/>
      <c r="T262" s="2"/>
      <c r="U262" s="2"/>
      <c r="V262" s="57"/>
      <c r="W262" s="63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57"/>
      <c r="AS262" s="23"/>
    </row>
    <row r="263" spans="1:45" x14ac:dyDescent="0.25">
      <c r="A263" s="56">
        <v>8.3333333333333329E-2</v>
      </c>
      <c r="B263" s="5">
        <v>0.10416666666666667</v>
      </c>
      <c r="C263" s="63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57"/>
      <c r="P263" s="63"/>
      <c r="Q263" s="2"/>
      <c r="R263" s="2"/>
      <c r="S263" s="2"/>
      <c r="T263" s="2"/>
      <c r="U263" s="2"/>
      <c r="V263" s="57"/>
      <c r="W263" s="63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57"/>
      <c r="AS263" s="23"/>
    </row>
    <row r="264" spans="1:45" x14ac:dyDescent="0.25">
      <c r="A264" s="56">
        <v>0.10416666666666667</v>
      </c>
      <c r="B264" s="5">
        <v>0.125</v>
      </c>
      <c r="C264" s="63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57"/>
      <c r="P264" s="63"/>
      <c r="Q264" s="2"/>
      <c r="R264" s="2"/>
      <c r="S264" s="2"/>
      <c r="T264" s="2"/>
      <c r="U264" s="2"/>
      <c r="V264" s="57"/>
      <c r="W264" s="63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57"/>
      <c r="AS264" s="23"/>
    </row>
    <row r="265" spans="1:45" x14ac:dyDescent="0.25">
      <c r="A265" s="56">
        <v>0.125</v>
      </c>
      <c r="B265" s="5">
        <v>0.14583333333333334</v>
      </c>
      <c r="C265" s="63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57"/>
      <c r="P265" s="63"/>
      <c r="Q265" s="2"/>
      <c r="R265" s="2"/>
      <c r="S265" s="2"/>
      <c r="T265" s="2"/>
      <c r="U265" s="2"/>
      <c r="V265" s="57"/>
      <c r="W265" s="63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57"/>
      <c r="AS265" s="23"/>
    </row>
    <row r="266" spans="1:45" x14ac:dyDescent="0.25">
      <c r="A266" s="56">
        <v>0.14583333333333334</v>
      </c>
      <c r="B266" s="5">
        <v>0.16666666666666666</v>
      </c>
      <c r="C266" s="63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57"/>
      <c r="P266" s="63"/>
      <c r="Q266" s="2"/>
      <c r="R266" s="2"/>
      <c r="S266" s="2"/>
      <c r="T266" s="2"/>
      <c r="U266" s="2"/>
      <c r="V266" s="57"/>
      <c r="W266" s="63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57"/>
      <c r="AS266" s="23"/>
    </row>
    <row r="267" spans="1:45" x14ac:dyDescent="0.25">
      <c r="A267" s="56">
        <v>0.16666666666666666</v>
      </c>
      <c r="B267" s="5">
        <v>0.1875</v>
      </c>
      <c r="C267" s="63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57"/>
      <c r="P267" s="63"/>
      <c r="Q267" s="2"/>
      <c r="R267" s="2"/>
      <c r="S267" s="2"/>
      <c r="T267" s="2"/>
      <c r="U267" s="2"/>
      <c r="V267" s="57"/>
      <c r="W267" s="63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57"/>
      <c r="AS267" s="23"/>
    </row>
    <row r="268" spans="1:45" x14ac:dyDescent="0.25">
      <c r="A268" s="56">
        <v>0.1875</v>
      </c>
      <c r="B268" s="5">
        <v>0.20833333333333334</v>
      </c>
      <c r="C268" s="63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57"/>
      <c r="P268" s="63"/>
      <c r="Q268" s="2"/>
      <c r="R268" s="2"/>
      <c r="S268" s="2"/>
      <c r="T268" s="2"/>
      <c r="U268" s="2"/>
      <c r="V268" s="57"/>
      <c r="W268" s="63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57"/>
      <c r="AS268" s="23"/>
    </row>
    <row r="269" spans="1:45" x14ac:dyDescent="0.25">
      <c r="A269" s="56">
        <v>0.20833333333333334</v>
      </c>
      <c r="B269" s="5">
        <v>0.22916666666666666</v>
      </c>
      <c r="C269" s="63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57"/>
      <c r="P269" s="63"/>
      <c r="Q269" s="2"/>
      <c r="R269" s="2"/>
      <c r="S269" s="2"/>
      <c r="T269" s="2"/>
      <c r="U269" s="2"/>
      <c r="V269" s="57"/>
      <c r="W269" s="63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57"/>
      <c r="AS269" s="23"/>
    </row>
    <row r="270" spans="1:45" x14ac:dyDescent="0.25">
      <c r="A270" s="56">
        <v>0.22916666666666666</v>
      </c>
      <c r="B270" s="5">
        <v>0.25</v>
      </c>
      <c r="C270" s="63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57"/>
      <c r="P270" s="63"/>
      <c r="Q270" s="2"/>
      <c r="R270" s="2"/>
      <c r="S270" s="2"/>
      <c r="T270" s="2"/>
      <c r="U270" s="2"/>
      <c r="V270" s="57"/>
      <c r="W270" s="63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57"/>
      <c r="AS270" s="23"/>
    </row>
    <row r="271" spans="1:45" x14ac:dyDescent="0.25">
      <c r="A271" s="56">
        <v>0.25</v>
      </c>
      <c r="B271" s="5">
        <v>0.27083333333333331</v>
      </c>
      <c r="C271" s="63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57"/>
      <c r="P271" s="63"/>
      <c r="Q271" s="2"/>
      <c r="R271" s="2"/>
      <c r="S271" s="2"/>
      <c r="T271" s="2"/>
      <c r="U271" s="2"/>
      <c r="V271" s="57"/>
      <c r="W271" s="63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57"/>
      <c r="AS271" s="23"/>
    </row>
    <row r="272" spans="1:45" x14ac:dyDescent="0.25">
      <c r="A272" s="56">
        <v>0.27083333333333331</v>
      </c>
      <c r="B272" s="5">
        <v>0.29166666666666669</v>
      </c>
      <c r="C272" s="63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57"/>
      <c r="P272" s="63"/>
      <c r="Q272" s="2"/>
      <c r="R272" s="2"/>
      <c r="S272" s="2"/>
      <c r="T272" s="2"/>
      <c r="U272" s="2"/>
      <c r="V272" s="57"/>
      <c r="W272" s="63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57"/>
      <c r="AS272" s="23"/>
    </row>
    <row r="273" spans="1:45" x14ac:dyDescent="0.25">
      <c r="A273" s="56">
        <v>0.29166666666666669</v>
      </c>
      <c r="B273" s="5">
        <v>0.3125</v>
      </c>
      <c r="C273" s="63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57"/>
      <c r="P273" s="63"/>
      <c r="Q273" s="2"/>
      <c r="R273" s="2"/>
      <c r="S273" s="2"/>
      <c r="T273" s="2"/>
      <c r="U273" s="2"/>
      <c r="V273" s="57"/>
      <c r="W273" s="63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57"/>
      <c r="AS273" s="23"/>
    </row>
    <row r="274" spans="1:45" x14ac:dyDescent="0.25">
      <c r="A274" s="56">
        <v>0.3125</v>
      </c>
      <c r="B274" s="5">
        <v>0.33333333333333331</v>
      </c>
      <c r="C274" s="63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57"/>
      <c r="P274" s="63"/>
      <c r="Q274" s="2"/>
      <c r="R274" s="2"/>
      <c r="S274" s="2"/>
      <c r="T274" s="2"/>
      <c r="U274" s="2"/>
      <c r="V274" s="57"/>
      <c r="W274" s="63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57"/>
      <c r="AS274" s="23"/>
    </row>
    <row r="275" spans="1:45" x14ac:dyDescent="0.25">
      <c r="A275" s="56">
        <v>0.33333333333333331</v>
      </c>
      <c r="B275" s="5">
        <v>0.35416666666666669</v>
      </c>
      <c r="C275" s="63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57"/>
      <c r="P275" s="63"/>
      <c r="Q275" s="2"/>
      <c r="R275" s="2"/>
      <c r="S275" s="2"/>
      <c r="T275" s="2"/>
      <c r="U275" s="2"/>
      <c r="V275" s="57"/>
      <c r="W275" s="63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57"/>
      <c r="AS275" s="23"/>
    </row>
    <row r="276" spans="1:45" x14ac:dyDescent="0.25">
      <c r="A276" s="56">
        <v>0.35416666666666669</v>
      </c>
      <c r="B276" s="5">
        <v>0.375</v>
      </c>
      <c r="C276" s="63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57"/>
      <c r="P276" s="63"/>
      <c r="Q276" s="2"/>
      <c r="R276" s="2"/>
      <c r="S276" s="2"/>
      <c r="T276" s="2"/>
      <c r="U276" s="2"/>
      <c r="V276" s="57"/>
      <c r="W276" s="63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57"/>
      <c r="AS276" s="23"/>
    </row>
    <row r="277" spans="1:45" x14ac:dyDescent="0.25">
      <c r="A277" s="56">
        <v>0.375</v>
      </c>
      <c r="B277" s="5">
        <v>0.39583333333333331</v>
      </c>
      <c r="C277" s="63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57"/>
      <c r="P277" s="63"/>
      <c r="Q277" s="2"/>
      <c r="R277" s="2"/>
      <c r="S277" s="2"/>
      <c r="T277" s="2"/>
      <c r="U277" s="2"/>
      <c r="V277" s="57"/>
      <c r="W277" s="63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57"/>
      <c r="AS277" s="23"/>
    </row>
    <row r="278" spans="1:45" x14ac:dyDescent="0.25">
      <c r="A278" s="56">
        <v>0.39583333333333331</v>
      </c>
      <c r="B278" s="5">
        <v>0.41666666666666669</v>
      </c>
      <c r="C278" s="63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57"/>
      <c r="P278" s="63"/>
      <c r="Q278" s="2"/>
      <c r="R278" s="2"/>
      <c r="S278" s="2"/>
      <c r="T278" s="2"/>
      <c r="U278" s="2"/>
      <c r="V278" s="57"/>
      <c r="W278" s="63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57"/>
      <c r="AS278" s="23"/>
    </row>
    <row r="279" spans="1:45" x14ac:dyDescent="0.25">
      <c r="A279" s="56">
        <v>0.41666666666666669</v>
      </c>
      <c r="B279" s="5">
        <v>0.4375</v>
      </c>
      <c r="C279" s="63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57"/>
      <c r="P279" s="63"/>
      <c r="Q279" s="2"/>
      <c r="R279" s="2"/>
      <c r="S279" s="2"/>
      <c r="T279" s="2"/>
      <c r="U279" s="2"/>
      <c r="V279" s="57"/>
      <c r="W279" s="63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57"/>
      <c r="AS279" s="23"/>
    </row>
    <row r="280" spans="1:45" x14ac:dyDescent="0.25">
      <c r="A280" s="56">
        <v>0.4375</v>
      </c>
      <c r="B280" s="5">
        <v>0.45833333333333331</v>
      </c>
      <c r="C280" s="63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57"/>
      <c r="P280" s="63"/>
      <c r="Q280" s="2"/>
      <c r="R280" s="2"/>
      <c r="S280" s="2"/>
      <c r="T280" s="2"/>
      <c r="U280" s="2"/>
      <c r="V280" s="57"/>
      <c r="W280" s="63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57"/>
      <c r="AS280" s="23"/>
    </row>
    <row r="281" spans="1:45" x14ac:dyDescent="0.25">
      <c r="A281" s="56">
        <v>0.45833333333333331</v>
      </c>
      <c r="B281" s="5">
        <v>0.47916666666666669</v>
      </c>
      <c r="C281" s="63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57"/>
      <c r="P281" s="63"/>
      <c r="Q281" s="2"/>
      <c r="R281" s="2"/>
      <c r="S281" s="2"/>
      <c r="T281" s="2"/>
      <c r="U281" s="2"/>
      <c r="V281" s="57"/>
      <c r="W281" s="63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57"/>
      <c r="AS281" s="23"/>
    </row>
    <row r="282" spans="1:45" x14ac:dyDescent="0.25">
      <c r="A282" s="56">
        <v>0.47916666666666669</v>
      </c>
      <c r="B282" s="5">
        <v>0.5</v>
      </c>
      <c r="C282" s="63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57"/>
      <c r="P282" s="63"/>
      <c r="Q282" s="2"/>
      <c r="R282" s="2"/>
      <c r="S282" s="2"/>
      <c r="T282" s="2"/>
      <c r="U282" s="2"/>
      <c r="V282" s="57"/>
      <c r="W282" s="63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57"/>
      <c r="AS282" s="23"/>
    </row>
    <row r="283" spans="1:45" x14ac:dyDescent="0.25">
      <c r="A283" s="56">
        <v>0.5</v>
      </c>
      <c r="B283" s="5">
        <v>0.52083333333333337</v>
      </c>
      <c r="C283" s="63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57"/>
      <c r="P283" s="63"/>
      <c r="Q283" s="2"/>
      <c r="R283" s="2"/>
      <c r="S283" s="2"/>
      <c r="T283" s="2"/>
      <c r="U283" s="2"/>
      <c r="V283" s="57"/>
      <c r="W283" s="63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57"/>
      <c r="AS283" s="23"/>
    </row>
    <row r="284" spans="1:45" x14ac:dyDescent="0.25">
      <c r="A284" s="56">
        <v>0.52083333333333337</v>
      </c>
      <c r="B284" s="5">
        <v>0.54166666666666663</v>
      </c>
      <c r="C284" s="63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57"/>
      <c r="P284" s="63"/>
      <c r="Q284" s="2"/>
      <c r="R284" s="2"/>
      <c r="S284" s="2"/>
      <c r="T284" s="2"/>
      <c r="U284" s="2"/>
      <c r="V284" s="57"/>
      <c r="W284" s="63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57"/>
      <c r="AS284" s="23"/>
    </row>
    <row r="285" spans="1:45" x14ac:dyDescent="0.25">
      <c r="A285" s="56">
        <v>0.54166666666666663</v>
      </c>
      <c r="B285" s="5">
        <v>0.5625</v>
      </c>
      <c r="C285" s="63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57"/>
      <c r="P285" s="63"/>
      <c r="Q285" s="2"/>
      <c r="R285" s="2"/>
      <c r="S285" s="2"/>
      <c r="T285" s="2"/>
      <c r="U285" s="2"/>
      <c r="V285" s="57"/>
      <c r="W285" s="63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57"/>
      <c r="AS285" s="23"/>
    </row>
    <row r="286" spans="1:45" x14ac:dyDescent="0.25">
      <c r="A286" s="56">
        <v>0.5625</v>
      </c>
      <c r="B286" s="5">
        <v>0.58333333333333337</v>
      </c>
      <c r="C286" s="63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57"/>
      <c r="P286" s="63"/>
      <c r="Q286" s="2"/>
      <c r="R286" s="2"/>
      <c r="S286" s="2"/>
      <c r="T286" s="2"/>
      <c r="U286" s="2"/>
      <c r="V286" s="57"/>
      <c r="W286" s="63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57"/>
      <c r="AS286" s="23"/>
    </row>
    <row r="287" spans="1:45" x14ac:dyDescent="0.25">
      <c r="A287" s="56">
        <v>0.58333333333333337</v>
      </c>
      <c r="B287" s="5">
        <v>0.60416666666666663</v>
      </c>
      <c r="C287" s="63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57"/>
      <c r="P287" s="63"/>
      <c r="Q287" s="2"/>
      <c r="R287" s="2"/>
      <c r="S287" s="2"/>
      <c r="T287" s="2"/>
      <c r="U287" s="2"/>
      <c r="V287" s="57"/>
      <c r="W287" s="63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57"/>
      <c r="AS287" s="23"/>
    </row>
    <row r="288" spans="1:45" x14ac:dyDescent="0.25">
      <c r="A288" s="56">
        <v>0.60416666666666663</v>
      </c>
      <c r="B288" s="5">
        <v>0.625</v>
      </c>
      <c r="C288" s="63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57"/>
      <c r="P288" s="63"/>
      <c r="Q288" s="2"/>
      <c r="R288" s="2"/>
      <c r="S288" s="2"/>
      <c r="T288" s="2"/>
      <c r="U288" s="2"/>
      <c r="V288" s="57"/>
      <c r="W288" s="63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57"/>
      <c r="AS288" s="23"/>
    </row>
    <row r="289" spans="1:45" x14ac:dyDescent="0.25">
      <c r="A289" s="56">
        <v>0.625</v>
      </c>
      <c r="B289" s="5">
        <v>0.64583333333333337</v>
      </c>
      <c r="C289" s="63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57"/>
      <c r="P289" s="63"/>
      <c r="Q289" s="2"/>
      <c r="R289" s="2"/>
      <c r="S289" s="2"/>
      <c r="T289" s="2"/>
      <c r="U289" s="2"/>
      <c r="V289" s="57"/>
      <c r="W289" s="63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57"/>
      <c r="AS289" s="23"/>
    </row>
    <row r="290" spans="1:45" x14ac:dyDescent="0.25">
      <c r="A290" s="56">
        <v>0.64583333333333337</v>
      </c>
      <c r="B290" s="5">
        <v>0.66666666666666663</v>
      </c>
      <c r="C290" s="63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57"/>
      <c r="P290" s="63"/>
      <c r="Q290" s="2"/>
      <c r="R290" s="2"/>
      <c r="S290" s="2"/>
      <c r="T290" s="2"/>
      <c r="U290" s="2"/>
      <c r="V290" s="57"/>
      <c r="W290" s="63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57"/>
      <c r="AS290" s="23"/>
    </row>
    <row r="291" spans="1:45" x14ac:dyDescent="0.25">
      <c r="A291" s="56">
        <v>0.66666666666666663</v>
      </c>
      <c r="B291" s="5">
        <v>0.6875</v>
      </c>
      <c r="C291" s="63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57"/>
      <c r="P291" s="63"/>
      <c r="Q291" s="2"/>
      <c r="R291" s="2"/>
      <c r="S291" s="2"/>
      <c r="T291" s="2"/>
      <c r="U291" s="2"/>
      <c r="V291" s="57"/>
      <c r="W291" s="63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57"/>
      <c r="AS291" s="23"/>
    </row>
    <row r="292" spans="1:45" x14ac:dyDescent="0.25">
      <c r="A292" s="56">
        <v>0.6875</v>
      </c>
      <c r="B292" s="5">
        <v>0.70833333333333337</v>
      </c>
      <c r="C292" s="63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57"/>
      <c r="P292" s="63"/>
      <c r="Q292" s="2"/>
      <c r="R292" s="2"/>
      <c r="S292" s="2"/>
      <c r="T292" s="2"/>
      <c r="U292" s="2"/>
      <c r="V292" s="57"/>
      <c r="W292" s="63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57"/>
      <c r="AS292" s="23"/>
    </row>
    <row r="293" spans="1:45" x14ac:dyDescent="0.25">
      <c r="A293" s="56">
        <v>0.70833333333333337</v>
      </c>
      <c r="B293" s="5">
        <v>0.72916666666666663</v>
      </c>
      <c r="C293" s="63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57"/>
      <c r="P293" s="63"/>
      <c r="Q293" s="2"/>
      <c r="R293" s="2"/>
      <c r="S293" s="2"/>
      <c r="T293" s="2"/>
      <c r="U293" s="2"/>
      <c r="V293" s="57"/>
      <c r="W293" s="63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57"/>
      <c r="AS293" s="23"/>
    </row>
    <row r="294" spans="1:45" x14ac:dyDescent="0.25">
      <c r="A294" s="56">
        <v>0.72916666666666663</v>
      </c>
      <c r="B294" s="5">
        <v>0.75</v>
      </c>
      <c r="C294" s="63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57"/>
      <c r="P294" s="63"/>
      <c r="Q294" s="2"/>
      <c r="R294" s="2"/>
      <c r="S294" s="2"/>
      <c r="T294" s="2"/>
      <c r="U294" s="2"/>
      <c r="V294" s="57"/>
      <c r="W294" s="63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57"/>
      <c r="AS294" s="23"/>
    </row>
    <row r="295" spans="1:45" x14ac:dyDescent="0.25">
      <c r="A295" s="56">
        <v>0.75</v>
      </c>
      <c r="B295" s="5">
        <v>0.77083333333333337</v>
      </c>
      <c r="C295" s="63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57"/>
      <c r="P295" s="63"/>
      <c r="Q295" s="2"/>
      <c r="R295" s="2"/>
      <c r="S295" s="2"/>
      <c r="T295" s="2"/>
      <c r="U295" s="2"/>
      <c r="V295" s="57"/>
      <c r="W295" s="63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57"/>
      <c r="AS295" s="23"/>
    </row>
    <row r="296" spans="1:45" x14ac:dyDescent="0.25">
      <c r="A296" s="56">
        <v>0.77083333333333337</v>
      </c>
      <c r="B296" s="5">
        <v>0.79166666666666663</v>
      </c>
      <c r="C296" s="63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57"/>
      <c r="P296" s="63"/>
      <c r="Q296" s="2"/>
      <c r="R296" s="2"/>
      <c r="S296" s="2"/>
      <c r="T296" s="2"/>
      <c r="U296" s="2"/>
      <c r="V296" s="57"/>
      <c r="W296" s="63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57"/>
      <c r="AS296" s="23"/>
    </row>
    <row r="297" spans="1:45" x14ac:dyDescent="0.25">
      <c r="A297" s="56">
        <v>0.79166666666666663</v>
      </c>
      <c r="B297" s="5">
        <v>0.8125</v>
      </c>
      <c r="C297" s="63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57"/>
      <c r="P297" s="63"/>
      <c r="Q297" s="2"/>
      <c r="R297" s="2"/>
      <c r="S297" s="2"/>
      <c r="T297" s="2"/>
      <c r="U297" s="2"/>
      <c r="V297" s="57"/>
      <c r="W297" s="63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57"/>
      <c r="AS297" s="23"/>
    </row>
    <row r="298" spans="1:45" x14ac:dyDescent="0.25">
      <c r="A298" s="56">
        <v>0.8125</v>
      </c>
      <c r="B298" s="5">
        <v>0.83333333333333337</v>
      </c>
      <c r="C298" s="63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57"/>
      <c r="P298" s="63"/>
      <c r="Q298" s="2"/>
      <c r="R298" s="2"/>
      <c r="S298" s="2"/>
      <c r="T298" s="2"/>
      <c r="U298" s="2"/>
      <c r="V298" s="57"/>
      <c r="W298" s="63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57"/>
      <c r="AS298" s="23"/>
    </row>
    <row r="299" spans="1:45" x14ac:dyDescent="0.25">
      <c r="A299" s="56">
        <v>0.83333333333333337</v>
      </c>
      <c r="B299" s="5">
        <v>0.85416666666666663</v>
      </c>
      <c r="C299" s="63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57"/>
      <c r="P299" s="63"/>
      <c r="Q299" s="2"/>
      <c r="R299" s="2"/>
      <c r="S299" s="2"/>
      <c r="T299" s="2"/>
      <c r="U299" s="2"/>
      <c r="V299" s="57"/>
      <c r="W299" s="63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57"/>
      <c r="AS299" s="23"/>
    </row>
    <row r="300" spans="1:45" x14ac:dyDescent="0.25">
      <c r="A300" s="56">
        <v>0.85416666666666663</v>
      </c>
      <c r="B300" s="5">
        <v>0.875</v>
      </c>
      <c r="C300" s="63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57"/>
      <c r="P300" s="63"/>
      <c r="Q300" s="2"/>
      <c r="R300" s="2"/>
      <c r="S300" s="2"/>
      <c r="T300" s="2"/>
      <c r="U300" s="2"/>
      <c r="V300" s="57"/>
      <c r="W300" s="63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57"/>
      <c r="AS300" s="23"/>
    </row>
    <row r="301" spans="1:45" x14ac:dyDescent="0.25">
      <c r="A301" s="56">
        <v>0.875</v>
      </c>
      <c r="B301" s="5">
        <v>0.89583333333333337</v>
      </c>
      <c r="C301" s="63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57"/>
      <c r="P301" s="63"/>
      <c r="Q301" s="2"/>
      <c r="R301" s="2"/>
      <c r="S301" s="2"/>
      <c r="T301" s="2"/>
      <c r="U301" s="2"/>
      <c r="V301" s="57"/>
      <c r="W301" s="63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57"/>
      <c r="AS301" s="23"/>
    </row>
    <row r="302" spans="1:45" x14ac:dyDescent="0.25">
      <c r="A302" s="56">
        <v>0.89583333333333337</v>
      </c>
      <c r="B302" s="5">
        <v>0.91666666666666663</v>
      </c>
      <c r="C302" s="63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57"/>
      <c r="P302" s="63"/>
      <c r="Q302" s="2"/>
      <c r="R302" s="2"/>
      <c r="S302" s="2"/>
      <c r="T302" s="2"/>
      <c r="U302" s="2"/>
      <c r="V302" s="57"/>
      <c r="W302" s="63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57"/>
      <c r="AS302" s="23"/>
    </row>
    <row r="303" spans="1:45" x14ac:dyDescent="0.25">
      <c r="A303" s="56">
        <v>0.91666666666666663</v>
      </c>
      <c r="B303" s="5">
        <v>0.9375</v>
      </c>
      <c r="C303" s="63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57"/>
      <c r="P303" s="63"/>
      <c r="Q303" s="2"/>
      <c r="R303" s="2"/>
      <c r="S303" s="2"/>
      <c r="T303" s="2"/>
      <c r="U303" s="2"/>
      <c r="V303" s="57"/>
      <c r="W303" s="63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57"/>
      <c r="AS303" s="23"/>
    </row>
    <row r="304" spans="1:45" x14ac:dyDescent="0.25">
      <c r="A304" s="56">
        <v>0.9375</v>
      </c>
      <c r="B304" s="5">
        <v>0.95833333333333337</v>
      </c>
      <c r="C304" s="63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57"/>
      <c r="P304" s="63"/>
      <c r="Q304" s="2"/>
      <c r="R304" s="2"/>
      <c r="S304" s="2"/>
      <c r="T304" s="2"/>
      <c r="U304" s="2"/>
      <c r="V304" s="57"/>
      <c r="W304" s="63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57"/>
      <c r="AS304" s="23"/>
    </row>
    <row r="305" spans="1:45" x14ac:dyDescent="0.25">
      <c r="A305" s="56">
        <v>0.95833333333333337</v>
      </c>
      <c r="B305" s="5">
        <v>0.97916666666666663</v>
      </c>
      <c r="C305" s="63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57"/>
      <c r="P305" s="63"/>
      <c r="Q305" s="2"/>
      <c r="R305" s="2"/>
      <c r="S305" s="2"/>
      <c r="T305" s="2"/>
      <c r="U305" s="2"/>
      <c r="V305" s="57"/>
      <c r="W305" s="63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57"/>
      <c r="AS305" s="23"/>
    </row>
    <row r="306" spans="1:45" ht="15.75" thickBot="1" x14ac:dyDescent="0.3">
      <c r="A306" s="58">
        <v>0.97916666666666663</v>
      </c>
      <c r="B306" s="59">
        <v>0</v>
      </c>
      <c r="C306" s="64"/>
      <c r="D306" s="60"/>
      <c r="E306" s="60"/>
      <c r="F306" s="60"/>
      <c r="G306" s="60"/>
      <c r="H306" s="60"/>
      <c r="I306" s="60"/>
      <c r="J306" s="60"/>
      <c r="K306" s="60"/>
      <c r="L306" s="60"/>
      <c r="M306" s="60"/>
      <c r="N306" s="60"/>
      <c r="O306" s="61"/>
      <c r="P306" s="64"/>
      <c r="Q306" s="60"/>
      <c r="R306" s="60"/>
      <c r="S306" s="60"/>
      <c r="T306" s="60"/>
      <c r="U306" s="60"/>
      <c r="V306" s="61"/>
      <c r="W306" s="64"/>
      <c r="X306" s="60"/>
      <c r="Y306" s="60"/>
      <c r="Z306" s="60"/>
      <c r="AA306" s="60"/>
      <c r="AB306" s="60"/>
      <c r="AC306" s="60"/>
      <c r="AD306" s="60"/>
      <c r="AE306" s="60"/>
      <c r="AF306" s="60"/>
      <c r="AG306" s="60"/>
      <c r="AH306" s="60"/>
      <c r="AI306" s="60"/>
      <c r="AJ306" s="60"/>
      <c r="AK306" s="60"/>
      <c r="AL306" s="60"/>
      <c r="AM306" s="60"/>
      <c r="AN306" s="60"/>
      <c r="AO306" s="60"/>
      <c r="AP306" s="60"/>
      <c r="AQ306" s="60"/>
      <c r="AR306" s="61"/>
      <c r="AS306" s="23"/>
    </row>
    <row r="307" spans="1:45" ht="24" thickBot="1" x14ac:dyDescent="0.3">
      <c r="A307" s="356" t="s">
        <v>66</v>
      </c>
      <c r="B307" s="357"/>
      <c r="C307" s="357"/>
      <c r="D307" s="357"/>
      <c r="E307" s="357"/>
      <c r="F307" s="357"/>
      <c r="G307" s="357"/>
      <c r="H307" s="357"/>
      <c r="I307" s="357"/>
      <c r="J307" s="357"/>
      <c r="K307" s="357"/>
      <c r="L307" s="357"/>
      <c r="M307" s="357"/>
      <c r="N307" s="357"/>
      <c r="O307" s="357"/>
      <c r="P307" s="357"/>
      <c r="Q307" s="357"/>
      <c r="R307" s="357"/>
      <c r="S307" s="357"/>
      <c r="T307" s="357"/>
      <c r="U307" s="357"/>
      <c r="V307" s="357"/>
      <c r="W307" s="357"/>
      <c r="X307" s="357"/>
      <c r="Y307" s="357"/>
      <c r="Z307" s="357"/>
      <c r="AA307" s="357"/>
      <c r="AB307" s="357"/>
      <c r="AC307" s="357"/>
      <c r="AD307" s="357"/>
      <c r="AE307" s="357"/>
      <c r="AF307" s="357"/>
      <c r="AG307" s="357"/>
      <c r="AH307" s="357"/>
      <c r="AI307" s="357"/>
      <c r="AJ307" s="357"/>
      <c r="AK307" s="357"/>
      <c r="AL307" s="357"/>
      <c r="AM307" s="357"/>
      <c r="AN307" s="357"/>
      <c r="AO307" s="357"/>
      <c r="AP307" s="357"/>
      <c r="AQ307" s="357"/>
      <c r="AR307" s="357"/>
    </row>
    <row r="308" spans="1:45" x14ac:dyDescent="0.25">
      <c r="A308" s="349" t="s">
        <v>56</v>
      </c>
      <c r="B308" s="350"/>
      <c r="C308" s="353" t="s">
        <v>57</v>
      </c>
      <c r="D308" s="354"/>
      <c r="E308" s="354"/>
      <c r="F308" s="354"/>
      <c r="G308" s="354"/>
      <c r="H308" s="354"/>
      <c r="I308" s="354"/>
      <c r="J308" s="354"/>
      <c r="K308" s="354"/>
      <c r="L308" s="354"/>
      <c r="M308" s="354"/>
      <c r="N308" s="354"/>
      <c r="O308" s="355"/>
      <c r="P308" s="353" t="s">
        <v>58</v>
      </c>
      <c r="Q308" s="354"/>
      <c r="R308" s="354"/>
      <c r="S308" s="354"/>
      <c r="T308" s="354"/>
      <c r="U308" s="354"/>
      <c r="V308" s="355"/>
      <c r="W308" s="353" t="s">
        <v>59</v>
      </c>
      <c r="X308" s="354"/>
      <c r="Y308" s="354"/>
      <c r="Z308" s="354"/>
      <c r="AA308" s="354"/>
      <c r="AB308" s="354"/>
      <c r="AC308" s="354"/>
      <c r="AD308" s="354"/>
      <c r="AE308" s="354"/>
      <c r="AF308" s="354"/>
      <c r="AG308" s="354"/>
      <c r="AH308" s="354"/>
      <c r="AI308" s="354"/>
      <c r="AJ308" s="354"/>
      <c r="AK308" s="354"/>
      <c r="AL308" s="354"/>
      <c r="AM308" s="354"/>
      <c r="AN308" s="354"/>
      <c r="AO308" s="354"/>
      <c r="AP308" s="354"/>
      <c r="AQ308" s="354"/>
      <c r="AR308" s="355"/>
    </row>
    <row r="309" spans="1:45" ht="15.75" thickBot="1" x14ac:dyDescent="0.3">
      <c r="A309" s="351"/>
      <c r="B309" s="352"/>
      <c r="C309" s="69">
        <f>MAX(C310:C357)</f>
        <v>0</v>
      </c>
      <c r="D309" s="70">
        <f t="shared" ref="D309:AR309" si="6">MAX(D310:D357)</f>
        <v>0</v>
      </c>
      <c r="E309" s="70">
        <f t="shared" si="6"/>
        <v>0</v>
      </c>
      <c r="F309" s="70">
        <f t="shared" si="6"/>
        <v>0</v>
      </c>
      <c r="G309" s="70">
        <f t="shared" si="6"/>
        <v>0</v>
      </c>
      <c r="H309" s="70">
        <f t="shared" si="6"/>
        <v>0</v>
      </c>
      <c r="I309" s="70">
        <f t="shared" si="6"/>
        <v>0</v>
      </c>
      <c r="J309" s="70">
        <f t="shared" si="6"/>
        <v>0</v>
      </c>
      <c r="K309" s="70">
        <f t="shared" si="6"/>
        <v>0</v>
      </c>
      <c r="L309" s="70">
        <f t="shared" si="6"/>
        <v>0</v>
      </c>
      <c r="M309" s="70">
        <f t="shared" si="6"/>
        <v>0</v>
      </c>
      <c r="N309" s="70">
        <f t="shared" si="6"/>
        <v>0</v>
      </c>
      <c r="O309" s="73">
        <f t="shared" si="6"/>
        <v>0</v>
      </c>
      <c r="P309" s="74">
        <f t="shared" si="6"/>
        <v>0</v>
      </c>
      <c r="Q309" s="71">
        <f t="shared" si="6"/>
        <v>0</v>
      </c>
      <c r="R309" s="71">
        <f t="shared" si="6"/>
        <v>0</v>
      </c>
      <c r="S309" s="71">
        <f t="shared" si="6"/>
        <v>0</v>
      </c>
      <c r="T309" s="71">
        <f t="shared" si="6"/>
        <v>0</v>
      </c>
      <c r="U309" s="71">
        <f t="shared" si="6"/>
        <v>0</v>
      </c>
      <c r="V309" s="75">
        <f t="shared" si="6"/>
        <v>0</v>
      </c>
      <c r="W309" s="76">
        <f t="shared" si="6"/>
        <v>0</v>
      </c>
      <c r="X309" s="72">
        <f t="shared" si="6"/>
        <v>0</v>
      </c>
      <c r="Y309" s="72">
        <f t="shared" si="6"/>
        <v>0</v>
      </c>
      <c r="Z309" s="72">
        <f t="shared" si="6"/>
        <v>0</v>
      </c>
      <c r="AA309" s="72">
        <f t="shared" si="6"/>
        <v>0</v>
      </c>
      <c r="AB309" s="72">
        <f t="shared" si="6"/>
        <v>0</v>
      </c>
      <c r="AC309" s="72">
        <f t="shared" si="6"/>
        <v>0</v>
      </c>
      <c r="AD309" s="72">
        <f t="shared" si="6"/>
        <v>0</v>
      </c>
      <c r="AE309" s="72">
        <f t="shared" si="6"/>
        <v>0</v>
      </c>
      <c r="AF309" s="72">
        <f t="shared" si="6"/>
        <v>0</v>
      </c>
      <c r="AG309" s="72">
        <f t="shared" si="6"/>
        <v>0</v>
      </c>
      <c r="AH309" s="72">
        <f t="shared" si="6"/>
        <v>0</v>
      </c>
      <c r="AI309" s="72">
        <f t="shared" si="6"/>
        <v>0</v>
      </c>
      <c r="AJ309" s="72">
        <f t="shared" si="6"/>
        <v>0</v>
      </c>
      <c r="AK309" s="72">
        <f t="shared" si="6"/>
        <v>0</v>
      </c>
      <c r="AL309" s="72">
        <f t="shared" si="6"/>
        <v>0</v>
      </c>
      <c r="AM309" s="72">
        <f t="shared" si="6"/>
        <v>0</v>
      </c>
      <c r="AN309" s="72">
        <f t="shared" si="6"/>
        <v>0</v>
      </c>
      <c r="AO309" s="72">
        <f t="shared" si="6"/>
        <v>0</v>
      </c>
      <c r="AP309" s="72">
        <f t="shared" si="6"/>
        <v>0</v>
      </c>
      <c r="AQ309" s="72">
        <f t="shared" si="6"/>
        <v>0</v>
      </c>
      <c r="AR309" s="77">
        <f t="shared" si="6"/>
        <v>0</v>
      </c>
    </row>
    <row r="310" spans="1:45" x14ac:dyDescent="0.25">
      <c r="A310" s="65">
        <v>0</v>
      </c>
      <c r="B310" s="66">
        <v>2.0833333333333332E-2</v>
      </c>
      <c r="C310" s="67"/>
      <c r="D310" s="68"/>
      <c r="E310" s="68"/>
      <c r="F310" s="68"/>
      <c r="G310" s="68"/>
      <c r="H310" s="68"/>
      <c r="I310" s="68"/>
      <c r="J310" s="68"/>
      <c r="K310" s="68"/>
      <c r="L310" s="68"/>
      <c r="M310" s="68"/>
      <c r="N310" s="68"/>
      <c r="O310" s="62"/>
      <c r="P310" s="67"/>
      <c r="Q310" s="68"/>
      <c r="R310" s="68"/>
      <c r="S310" s="68"/>
      <c r="T310" s="68"/>
      <c r="U310" s="68"/>
      <c r="V310" s="62"/>
      <c r="W310" s="67"/>
      <c r="X310" s="68"/>
      <c r="Y310" s="68"/>
      <c r="Z310" s="68"/>
      <c r="AA310" s="68"/>
      <c r="AB310" s="68"/>
      <c r="AC310" s="68"/>
      <c r="AD310" s="68"/>
      <c r="AE310" s="68"/>
      <c r="AF310" s="68"/>
      <c r="AG310" s="68"/>
      <c r="AH310" s="68"/>
      <c r="AI310" s="68"/>
      <c r="AJ310" s="68"/>
      <c r="AK310" s="68"/>
      <c r="AL310" s="68"/>
      <c r="AM310" s="68"/>
      <c r="AN310" s="68"/>
      <c r="AO310" s="68"/>
      <c r="AP310" s="68"/>
      <c r="AQ310" s="68"/>
      <c r="AR310" s="62"/>
      <c r="AS310" s="23"/>
    </row>
    <row r="311" spans="1:45" x14ac:dyDescent="0.25">
      <c r="A311" s="56">
        <v>2.0833333333333332E-2</v>
      </c>
      <c r="B311" s="5">
        <v>4.1666666666666664E-2</v>
      </c>
      <c r="C311" s="63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57"/>
      <c r="P311" s="63"/>
      <c r="Q311" s="2"/>
      <c r="R311" s="2"/>
      <c r="S311" s="2"/>
      <c r="T311" s="2"/>
      <c r="U311" s="2"/>
      <c r="V311" s="57"/>
      <c r="W311" s="63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57"/>
      <c r="AS311" s="23"/>
    </row>
    <row r="312" spans="1:45" x14ac:dyDescent="0.25">
      <c r="A312" s="56">
        <v>4.1666666666666664E-2</v>
      </c>
      <c r="B312" s="5">
        <v>6.25E-2</v>
      </c>
      <c r="C312" s="63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57"/>
      <c r="P312" s="63"/>
      <c r="Q312" s="2"/>
      <c r="R312" s="2"/>
      <c r="S312" s="2"/>
      <c r="T312" s="2"/>
      <c r="U312" s="2"/>
      <c r="V312" s="57"/>
      <c r="W312" s="63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57"/>
      <c r="AS312" s="23"/>
    </row>
    <row r="313" spans="1:45" x14ac:dyDescent="0.25">
      <c r="A313" s="56">
        <v>6.25E-2</v>
      </c>
      <c r="B313" s="5">
        <v>8.3333333333333329E-2</v>
      </c>
      <c r="C313" s="63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57"/>
      <c r="P313" s="63"/>
      <c r="Q313" s="2"/>
      <c r="R313" s="2"/>
      <c r="S313" s="2"/>
      <c r="T313" s="2"/>
      <c r="U313" s="2"/>
      <c r="V313" s="57"/>
      <c r="W313" s="63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57"/>
      <c r="AS313" s="23"/>
    </row>
    <row r="314" spans="1:45" x14ac:dyDescent="0.25">
      <c r="A314" s="56">
        <v>8.3333333333333329E-2</v>
      </c>
      <c r="B314" s="5">
        <v>0.10416666666666667</v>
      </c>
      <c r="C314" s="63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57"/>
      <c r="P314" s="63"/>
      <c r="Q314" s="2"/>
      <c r="R314" s="2"/>
      <c r="S314" s="2"/>
      <c r="T314" s="2"/>
      <c r="U314" s="2"/>
      <c r="V314" s="57"/>
      <c r="W314" s="63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57"/>
      <c r="AS314" s="23"/>
    </row>
    <row r="315" spans="1:45" x14ac:dyDescent="0.25">
      <c r="A315" s="56">
        <v>0.10416666666666667</v>
      </c>
      <c r="B315" s="5">
        <v>0.125</v>
      </c>
      <c r="C315" s="63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57"/>
      <c r="P315" s="63"/>
      <c r="Q315" s="2"/>
      <c r="R315" s="2"/>
      <c r="S315" s="2"/>
      <c r="T315" s="2"/>
      <c r="U315" s="2"/>
      <c r="V315" s="57"/>
      <c r="W315" s="63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57"/>
      <c r="AS315" s="23"/>
    </row>
    <row r="316" spans="1:45" x14ac:dyDescent="0.25">
      <c r="A316" s="56">
        <v>0.125</v>
      </c>
      <c r="B316" s="5">
        <v>0.14583333333333334</v>
      </c>
      <c r="C316" s="63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57"/>
      <c r="P316" s="63"/>
      <c r="Q316" s="2"/>
      <c r="R316" s="2"/>
      <c r="S316" s="2"/>
      <c r="T316" s="2"/>
      <c r="U316" s="2"/>
      <c r="V316" s="57"/>
      <c r="W316" s="63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57"/>
      <c r="AS316" s="23"/>
    </row>
    <row r="317" spans="1:45" x14ac:dyDescent="0.25">
      <c r="A317" s="56">
        <v>0.14583333333333334</v>
      </c>
      <c r="B317" s="5">
        <v>0.16666666666666666</v>
      </c>
      <c r="C317" s="63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57"/>
      <c r="P317" s="63"/>
      <c r="Q317" s="2"/>
      <c r="R317" s="2"/>
      <c r="S317" s="2"/>
      <c r="T317" s="2"/>
      <c r="U317" s="2"/>
      <c r="V317" s="57"/>
      <c r="W317" s="63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57"/>
      <c r="AS317" s="23"/>
    </row>
    <row r="318" spans="1:45" x14ac:dyDescent="0.25">
      <c r="A318" s="56">
        <v>0.16666666666666666</v>
      </c>
      <c r="B318" s="5">
        <v>0.1875</v>
      </c>
      <c r="C318" s="63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57"/>
      <c r="P318" s="63"/>
      <c r="Q318" s="2"/>
      <c r="R318" s="2"/>
      <c r="S318" s="2"/>
      <c r="T318" s="2"/>
      <c r="U318" s="2"/>
      <c r="V318" s="57"/>
      <c r="W318" s="63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57"/>
      <c r="AS318" s="23"/>
    </row>
    <row r="319" spans="1:45" x14ac:dyDescent="0.25">
      <c r="A319" s="56">
        <v>0.1875</v>
      </c>
      <c r="B319" s="5">
        <v>0.20833333333333334</v>
      </c>
      <c r="C319" s="63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57"/>
      <c r="P319" s="63"/>
      <c r="Q319" s="2"/>
      <c r="R319" s="2"/>
      <c r="S319" s="2"/>
      <c r="T319" s="2"/>
      <c r="U319" s="2"/>
      <c r="V319" s="57"/>
      <c r="W319" s="63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57"/>
      <c r="AS319" s="23"/>
    </row>
    <row r="320" spans="1:45" x14ac:dyDescent="0.25">
      <c r="A320" s="56">
        <v>0.20833333333333334</v>
      </c>
      <c r="B320" s="5">
        <v>0.22916666666666666</v>
      </c>
      <c r="C320" s="63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57"/>
      <c r="P320" s="63"/>
      <c r="Q320" s="2"/>
      <c r="R320" s="2"/>
      <c r="S320" s="2"/>
      <c r="T320" s="2"/>
      <c r="U320" s="2"/>
      <c r="V320" s="57"/>
      <c r="W320" s="63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57"/>
      <c r="AS320" s="23"/>
    </row>
    <row r="321" spans="1:45" x14ac:dyDescent="0.25">
      <c r="A321" s="56">
        <v>0.22916666666666666</v>
      </c>
      <c r="B321" s="5">
        <v>0.25</v>
      </c>
      <c r="C321" s="63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57"/>
      <c r="P321" s="63"/>
      <c r="Q321" s="2"/>
      <c r="R321" s="2"/>
      <c r="S321" s="2"/>
      <c r="T321" s="2"/>
      <c r="U321" s="2"/>
      <c r="V321" s="57"/>
      <c r="W321" s="63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57"/>
      <c r="AS321" s="23"/>
    </row>
    <row r="322" spans="1:45" x14ac:dyDescent="0.25">
      <c r="A322" s="56">
        <v>0.25</v>
      </c>
      <c r="B322" s="5">
        <v>0.27083333333333331</v>
      </c>
      <c r="C322" s="63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57"/>
      <c r="P322" s="63"/>
      <c r="Q322" s="2"/>
      <c r="R322" s="2"/>
      <c r="S322" s="2"/>
      <c r="T322" s="2"/>
      <c r="U322" s="2"/>
      <c r="V322" s="57"/>
      <c r="W322" s="63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57"/>
      <c r="AS322" s="23"/>
    </row>
    <row r="323" spans="1:45" x14ac:dyDescent="0.25">
      <c r="A323" s="56">
        <v>0.27083333333333331</v>
      </c>
      <c r="B323" s="5">
        <v>0.29166666666666669</v>
      </c>
      <c r="C323" s="63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57"/>
      <c r="P323" s="63"/>
      <c r="Q323" s="2"/>
      <c r="R323" s="2"/>
      <c r="S323" s="2"/>
      <c r="T323" s="2"/>
      <c r="U323" s="2"/>
      <c r="V323" s="57"/>
      <c r="W323" s="63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57"/>
      <c r="AS323" s="23"/>
    </row>
    <row r="324" spans="1:45" x14ac:dyDescent="0.25">
      <c r="A324" s="56">
        <v>0.29166666666666669</v>
      </c>
      <c r="B324" s="5">
        <v>0.3125</v>
      </c>
      <c r="C324" s="63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57"/>
      <c r="P324" s="63"/>
      <c r="Q324" s="2"/>
      <c r="R324" s="2"/>
      <c r="S324" s="2"/>
      <c r="T324" s="2"/>
      <c r="U324" s="2"/>
      <c r="V324" s="57"/>
      <c r="W324" s="63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57"/>
      <c r="AS324" s="23"/>
    </row>
    <row r="325" spans="1:45" x14ac:dyDescent="0.25">
      <c r="A325" s="56">
        <v>0.3125</v>
      </c>
      <c r="B325" s="5">
        <v>0.33333333333333331</v>
      </c>
      <c r="C325" s="63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57"/>
      <c r="P325" s="63"/>
      <c r="Q325" s="2"/>
      <c r="R325" s="2"/>
      <c r="S325" s="2"/>
      <c r="T325" s="2"/>
      <c r="U325" s="2"/>
      <c r="V325" s="57"/>
      <c r="W325" s="63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57"/>
      <c r="AS325" s="23"/>
    </row>
    <row r="326" spans="1:45" x14ac:dyDescent="0.25">
      <c r="A326" s="56">
        <v>0.33333333333333331</v>
      </c>
      <c r="B326" s="5">
        <v>0.35416666666666669</v>
      </c>
      <c r="C326" s="63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57"/>
      <c r="P326" s="63"/>
      <c r="Q326" s="2"/>
      <c r="R326" s="2"/>
      <c r="S326" s="2"/>
      <c r="T326" s="2"/>
      <c r="U326" s="2"/>
      <c r="V326" s="57"/>
      <c r="W326" s="63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57"/>
      <c r="AS326" s="23"/>
    </row>
    <row r="327" spans="1:45" x14ac:dyDescent="0.25">
      <c r="A327" s="56">
        <v>0.35416666666666669</v>
      </c>
      <c r="B327" s="5">
        <v>0.375</v>
      </c>
      <c r="C327" s="63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57"/>
      <c r="P327" s="63"/>
      <c r="Q327" s="2"/>
      <c r="R327" s="2"/>
      <c r="S327" s="2"/>
      <c r="T327" s="2"/>
      <c r="U327" s="2"/>
      <c r="V327" s="57"/>
      <c r="W327" s="63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57"/>
      <c r="AS327" s="23"/>
    </row>
    <row r="328" spans="1:45" x14ac:dyDescent="0.25">
      <c r="A328" s="56">
        <v>0.375</v>
      </c>
      <c r="B328" s="5">
        <v>0.39583333333333331</v>
      </c>
      <c r="C328" s="63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57"/>
      <c r="P328" s="63"/>
      <c r="Q328" s="2"/>
      <c r="R328" s="2"/>
      <c r="S328" s="2"/>
      <c r="T328" s="2"/>
      <c r="U328" s="2"/>
      <c r="V328" s="57"/>
      <c r="W328" s="63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57"/>
      <c r="AS328" s="23"/>
    </row>
    <row r="329" spans="1:45" x14ac:dyDescent="0.25">
      <c r="A329" s="56">
        <v>0.39583333333333331</v>
      </c>
      <c r="B329" s="5">
        <v>0.41666666666666669</v>
      </c>
      <c r="C329" s="63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57"/>
      <c r="P329" s="63"/>
      <c r="Q329" s="2"/>
      <c r="R329" s="2"/>
      <c r="S329" s="2"/>
      <c r="T329" s="2"/>
      <c r="U329" s="2"/>
      <c r="V329" s="57"/>
      <c r="W329" s="63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57"/>
      <c r="AS329" s="23"/>
    </row>
    <row r="330" spans="1:45" x14ac:dyDescent="0.25">
      <c r="A330" s="56">
        <v>0.41666666666666669</v>
      </c>
      <c r="B330" s="5">
        <v>0.4375</v>
      </c>
      <c r="C330" s="63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57"/>
      <c r="P330" s="63"/>
      <c r="Q330" s="2"/>
      <c r="R330" s="2"/>
      <c r="S330" s="2"/>
      <c r="T330" s="2"/>
      <c r="U330" s="2"/>
      <c r="V330" s="57"/>
      <c r="W330" s="63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57"/>
      <c r="AS330" s="23"/>
    </row>
    <row r="331" spans="1:45" x14ac:dyDescent="0.25">
      <c r="A331" s="56">
        <v>0.4375</v>
      </c>
      <c r="B331" s="5">
        <v>0.45833333333333331</v>
      </c>
      <c r="C331" s="63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57"/>
      <c r="P331" s="63"/>
      <c r="Q331" s="2"/>
      <c r="R331" s="2"/>
      <c r="S331" s="2"/>
      <c r="T331" s="2"/>
      <c r="U331" s="2"/>
      <c r="V331" s="57"/>
      <c r="W331" s="63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57"/>
      <c r="AS331" s="23"/>
    </row>
    <row r="332" spans="1:45" x14ac:dyDescent="0.25">
      <c r="A332" s="56">
        <v>0.45833333333333331</v>
      </c>
      <c r="B332" s="5">
        <v>0.47916666666666669</v>
      </c>
      <c r="C332" s="63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57"/>
      <c r="P332" s="63"/>
      <c r="Q332" s="2"/>
      <c r="R332" s="2"/>
      <c r="S332" s="2"/>
      <c r="T332" s="2"/>
      <c r="U332" s="2"/>
      <c r="V332" s="57"/>
      <c r="W332" s="63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57"/>
      <c r="AS332" s="23"/>
    </row>
    <row r="333" spans="1:45" x14ac:dyDescent="0.25">
      <c r="A333" s="56">
        <v>0.47916666666666669</v>
      </c>
      <c r="B333" s="5">
        <v>0.5</v>
      </c>
      <c r="C333" s="63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57"/>
      <c r="P333" s="63"/>
      <c r="Q333" s="2"/>
      <c r="R333" s="2"/>
      <c r="S333" s="2"/>
      <c r="T333" s="2"/>
      <c r="U333" s="2"/>
      <c r="V333" s="57"/>
      <c r="W333" s="63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57"/>
      <c r="AS333" s="23"/>
    </row>
    <row r="334" spans="1:45" x14ac:dyDescent="0.25">
      <c r="A334" s="56">
        <v>0.5</v>
      </c>
      <c r="B334" s="5">
        <v>0.52083333333333337</v>
      </c>
      <c r="C334" s="63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57"/>
      <c r="P334" s="63"/>
      <c r="Q334" s="2"/>
      <c r="R334" s="2"/>
      <c r="S334" s="2"/>
      <c r="T334" s="2"/>
      <c r="U334" s="2"/>
      <c r="V334" s="57"/>
      <c r="W334" s="63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57"/>
      <c r="AS334" s="23"/>
    </row>
    <row r="335" spans="1:45" x14ac:dyDescent="0.25">
      <c r="A335" s="56">
        <v>0.52083333333333337</v>
      </c>
      <c r="B335" s="5">
        <v>0.54166666666666663</v>
      </c>
      <c r="C335" s="63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57"/>
      <c r="P335" s="63"/>
      <c r="Q335" s="2"/>
      <c r="R335" s="2"/>
      <c r="S335" s="2"/>
      <c r="T335" s="2"/>
      <c r="U335" s="2"/>
      <c r="V335" s="57"/>
      <c r="W335" s="63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57"/>
      <c r="AS335" s="23"/>
    </row>
    <row r="336" spans="1:45" x14ac:dyDescent="0.25">
      <c r="A336" s="56">
        <v>0.54166666666666663</v>
      </c>
      <c r="B336" s="5">
        <v>0.5625</v>
      </c>
      <c r="C336" s="63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57"/>
      <c r="P336" s="63"/>
      <c r="Q336" s="2"/>
      <c r="R336" s="2"/>
      <c r="S336" s="2"/>
      <c r="T336" s="2"/>
      <c r="U336" s="2"/>
      <c r="V336" s="57"/>
      <c r="W336" s="63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57"/>
      <c r="AS336" s="23"/>
    </row>
    <row r="337" spans="1:45" x14ac:dyDescent="0.25">
      <c r="A337" s="56">
        <v>0.5625</v>
      </c>
      <c r="B337" s="5">
        <v>0.58333333333333337</v>
      </c>
      <c r="C337" s="63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57"/>
      <c r="P337" s="63"/>
      <c r="Q337" s="2"/>
      <c r="R337" s="2"/>
      <c r="S337" s="2"/>
      <c r="T337" s="2"/>
      <c r="U337" s="2"/>
      <c r="V337" s="57"/>
      <c r="W337" s="63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57"/>
      <c r="AS337" s="23"/>
    </row>
    <row r="338" spans="1:45" x14ac:dyDescent="0.25">
      <c r="A338" s="56">
        <v>0.58333333333333337</v>
      </c>
      <c r="B338" s="5">
        <v>0.60416666666666663</v>
      </c>
      <c r="C338" s="63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57"/>
      <c r="P338" s="63"/>
      <c r="Q338" s="2"/>
      <c r="R338" s="2"/>
      <c r="S338" s="2"/>
      <c r="T338" s="2"/>
      <c r="U338" s="2"/>
      <c r="V338" s="57"/>
      <c r="W338" s="63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57"/>
      <c r="AS338" s="23"/>
    </row>
    <row r="339" spans="1:45" x14ac:dyDescent="0.25">
      <c r="A339" s="56">
        <v>0.60416666666666663</v>
      </c>
      <c r="B339" s="5">
        <v>0.625</v>
      </c>
      <c r="C339" s="63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57"/>
      <c r="P339" s="63"/>
      <c r="Q339" s="2"/>
      <c r="R339" s="2"/>
      <c r="S339" s="2"/>
      <c r="T339" s="2"/>
      <c r="U339" s="2"/>
      <c r="V339" s="57"/>
      <c r="W339" s="63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57"/>
      <c r="AS339" s="23"/>
    </row>
    <row r="340" spans="1:45" x14ac:dyDescent="0.25">
      <c r="A340" s="56">
        <v>0.625</v>
      </c>
      <c r="B340" s="5">
        <v>0.64583333333333337</v>
      </c>
      <c r="C340" s="63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57"/>
      <c r="P340" s="63"/>
      <c r="Q340" s="2"/>
      <c r="R340" s="2"/>
      <c r="S340" s="2"/>
      <c r="T340" s="2"/>
      <c r="U340" s="2"/>
      <c r="V340" s="57"/>
      <c r="W340" s="63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57"/>
      <c r="AS340" s="23"/>
    </row>
    <row r="341" spans="1:45" x14ac:dyDescent="0.25">
      <c r="A341" s="56">
        <v>0.64583333333333337</v>
      </c>
      <c r="B341" s="5">
        <v>0.66666666666666663</v>
      </c>
      <c r="C341" s="63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57"/>
      <c r="P341" s="63"/>
      <c r="Q341" s="2"/>
      <c r="R341" s="2"/>
      <c r="S341" s="2"/>
      <c r="T341" s="2"/>
      <c r="U341" s="2"/>
      <c r="V341" s="57"/>
      <c r="W341" s="63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57"/>
      <c r="AS341" s="23"/>
    </row>
    <row r="342" spans="1:45" x14ac:dyDescent="0.25">
      <c r="A342" s="56">
        <v>0.66666666666666663</v>
      </c>
      <c r="B342" s="5">
        <v>0.6875</v>
      </c>
      <c r="C342" s="63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57"/>
      <c r="P342" s="63"/>
      <c r="Q342" s="2"/>
      <c r="R342" s="2"/>
      <c r="S342" s="2"/>
      <c r="T342" s="2"/>
      <c r="U342" s="2"/>
      <c r="V342" s="57"/>
      <c r="W342" s="63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57"/>
      <c r="AS342" s="23"/>
    </row>
    <row r="343" spans="1:45" x14ac:dyDescent="0.25">
      <c r="A343" s="56">
        <v>0.6875</v>
      </c>
      <c r="B343" s="5">
        <v>0.70833333333333337</v>
      </c>
      <c r="C343" s="63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57"/>
      <c r="P343" s="63"/>
      <c r="Q343" s="2"/>
      <c r="R343" s="2"/>
      <c r="S343" s="2"/>
      <c r="T343" s="2"/>
      <c r="U343" s="2"/>
      <c r="V343" s="57"/>
      <c r="W343" s="63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57"/>
      <c r="AS343" s="23"/>
    </row>
    <row r="344" spans="1:45" x14ac:dyDescent="0.25">
      <c r="A344" s="56">
        <v>0.70833333333333337</v>
      </c>
      <c r="B344" s="5">
        <v>0.72916666666666663</v>
      </c>
      <c r="C344" s="63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57"/>
      <c r="P344" s="63"/>
      <c r="Q344" s="2"/>
      <c r="R344" s="2"/>
      <c r="S344" s="2"/>
      <c r="T344" s="2"/>
      <c r="U344" s="2"/>
      <c r="V344" s="57"/>
      <c r="W344" s="63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57"/>
      <c r="AS344" s="23"/>
    </row>
    <row r="345" spans="1:45" x14ac:dyDescent="0.25">
      <c r="A345" s="56">
        <v>0.72916666666666663</v>
      </c>
      <c r="B345" s="5">
        <v>0.75</v>
      </c>
      <c r="C345" s="63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57"/>
      <c r="P345" s="63"/>
      <c r="Q345" s="2"/>
      <c r="R345" s="2"/>
      <c r="S345" s="2"/>
      <c r="T345" s="2"/>
      <c r="U345" s="2"/>
      <c r="V345" s="57"/>
      <c r="W345" s="63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57"/>
      <c r="AS345" s="23"/>
    </row>
    <row r="346" spans="1:45" x14ac:dyDescent="0.25">
      <c r="A346" s="56">
        <v>0.75</v>
      </c>
      <c r="B346" s="5">
        <v>0.77083333333333337</v>
      </c>
      <c r="C346" s="63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57"/>
      <c r="P346" s="63"/>
      <c r="Q346" s="2"/>
      <c r="R346" s="2"/>
      <c r="S346" s="2"/>
      <c r="T346" s="2"/>
      <c r="U346" s="2"/>
      <c r="V346" s="57"/>
      <c r="W346" s="63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57"/>
      <c r="AS346" s="23"/>
    </row>
    <row r="347" spans="1:45" x14ac:dyDescent="0.25">
      <c r="A347" s="56">
        <v>0.77083333333333337</v>
      </c>
      <c r="B347" s="5">
        <v>0.79166666666666663</v>
      </c>
      <c r="C347" s="63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57"/>
      <c r="P347" s="63"/>
      <c r="Q347" s="2"/>
      <c r="R347" s="2"/>
      <c r="S347" s="2"/>
      <c r="T347" s="2"/>
      <c r="U347" s="2"/>
      <c r="V347" s="57"/>
      <c r="W347" s="63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57"/>
      <c r="AS347" s="23"/>
    </row>
    <row r="348" spans="1:45" x14ac:dyDescent="0.25">
      <c r="A348" s="56">
        <v>0.79166666666666663</v>
      </c>
      <c r="B348" s="5">
        <v>0.8125</v>
      </c>
      <c r="C348" s="63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57"/>
      <c r="P348" s="63"/>
      <c r="Q348" s="2"/>
      <c r="R348" s="2"/>
      <c r="S348" s="2"/>
      <c r="T348" s="2"/>
      <c r="U348" s="2"/>
      <c r="V348" s="57"/>
      <c r="W348" s="63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57"/>
      <c r="AS348" s="23"/>
    </row>
    <row r="349" spans="1:45" x14ac:dyDescent="0.25">
      <c r="A349" s="56">
        <v>0.8125</v>
      </c>
      <c r="B349" s="5">
        <v>0.83333333333333337</v>
      </c>
      <c r="C349" s="63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57"/>
      <c r="P349" s="63"/>
      <c r="Q349" s="2"/>
      <c r="R349" s="2"/>
      <c r="S349" s="2"/>
      <c r="T349" s="2"/>
      <c r="U349" s="2"/>
      <c r="V349" s="57"/>
      <c r="W349" s="63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57"/>
      <c r="AS349" s="23"/>
    </row>
    <row r="350" spans="1:45" x14ac:dyDescent="0.25">
      <c r="A350" s="56">
        <v>0.83333333333333337</v>
      </c>
      <c r="B350" s="5">
        <v>0.85416666666666663</v>
      </c>
      <c r="C350" s="63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57"/>
      <c r="P350" s="63"/>
      <c r="Q350" s="2"/>
      <c r="R350" s="2"/>
      <c r="S350" s="2"/>
      <c r="T350" s="2"/>
      <c r="U350" s="2"/>
      <c r="V350" s="57"/>
      <c r="W350" s="63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57"/>
      <c r="AS350" s="23"/>
    </row>
    <row r="351" spans="1:45" x14ac:dyDescent="0.25">
      <c r="A351" s="56">
        <v>0.85416666666666663</v>
      </c>
      <c r="B351" s="5">
        <v>0.875</v>
      </c>
      <c r="C351" s="63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57"/>
      <c r="P351" s="63"/>
      <c r="Q351" s="2"/>
      <c r="R351" s="2"/>
      <c r="S351" s="2"/>
      <c r="T351" s="2"/>
      <c r="U351" s="2"/>
      <c r="V351" s="57"/>
      <c r="W351" s="63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57"/>
      <c r="AS351" s="23"/>
    </row>
    <row r="352" spans="1:45" x14ac:dyDescent="0.25">
      <c r="A352" s="56">
        <v>0.875</v>
      </c>
      <c r="B352" s="5">
        <v>0.89583333333333337</v>
      </c>
      <c r="C352" s="63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57"/>
      <c r="P352" s="63"/>
      <c r="Q352" s="2"/>
      <c r="R352" s="2"/>
      <c r="S352" s="2"/>
      <c r="T352" s="2"/>
      <c r="U352" s="2"/>
      <c r="V352" s="57"/>
      <c r="W352" s="63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57"/>
      <c r="AS352" s="23"/>
    </row>
    <row r="353" spans="1:45" x14ac:dyDescent="0.25">
      <c r="A353" s="56">
        <v>0.89583333333333337</v>
      </c>
      <c r="B353" s="5">
        <v>0.91666666666666663</v>
      </c>
      <c r="C353" s="63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57"/>
      <c r="P353" s="63"/>
      <c r="Q353" s="2"/>
      <c r="R353" s="2"/>
      <c r="S353" s="2"/>
      <c r="T353" s="2"/>
      <c r="U353" s="2"/>
      <c r="V353" s="57"/>
      <c r="W353" s="63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57"/>
      <c r="AS353" s="23"/>
    </row>
    <row r="354" spans="1:45" x14ac:dyDescent="0.25">
      <c r="A354" s="56">
        <v>0.91666666666666663</v>
      </c>
      <c r="B354" s="5">
        <v>0.9375</v>
      </c>
      <c r="C354" s="63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57"/>
      <c r="P354" s="63"/>
      <c r="Q354" s="2"/>
      <c r="R354" s="2"/>
      <c r="S354" s="2"/>
      <c r="T354" s="2"/>
      <c r="U354" s="2"/>
      <c r="V354" s="57"/>
      <c r="W354" s="63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57"/>
      <c r="AS354" s="23"/>
    </row>
    <row r="355" spans="1:45" x14ac:dyDescent="0.25">
      <c r="A355" s="56">
        <v>0.9375</v>
      </c>
      <c r="B355" s="5">
        <v>0.95833333333333337</v>
      </c>
      <c r="C355" s="63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57"/>
      <c r="P355" s="63"/>
      <c r="Q355" s="2"/>
      <c r="R355" s="2"/>
      <c r="S355" s="2"/>
      <c r="T355" s="2"/>
      <c r="U355" s="2"/>
      <c r="V355" s="57"/>
      <c r="W355" s="63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57"/>
      <c r="AS355" s="23"/>
    </row>
    <row r="356" spans="1:45" x14ac:dyDescent="0.25">
      <c r="A356" s="56">
        <v>0.95833333333333337</v>
      </c>
      <c r="B356" s="5">
        <v>0.97916666666666663</v>
      </c>
      <c r="C356" s="63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57"/>
      <c r="P356" s="63"/>
      <c r="Q356" s="2"/>
      <c r="R356" s="2"/>
      <c r="S356" s="2"/>
      <c r="T356" s="2"/>
      <c r="U356" s="2"/>
      <c r="V356" s="57"/>
      <c r="W356" s="63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57"/>
      <c r="AS356" s="23"/>
    </row>
    <row r="357" spans="1:45" ht="15.75" thickBot="1" x14ac:dyDescent="0.3">
      <c r="A357" s="58">
        <v>0.97916666666666663</v>
      </c>
      <c r="B357" s="59">
        <v>0</v>
      </c>
      <c r="C357" s="64"/>
      <c r="D357" s="60"/>
      <c r="E357" s="60"/>
      <c r="F357" s="60"/>
      <c r="G357" s="60"/>
      <c r="H357" s="60"/>
      <c r="I357" s="60"/>
      <c r="J357" s="60"/>
      <c r="K357" s="60"/>
      <c r="L357" s="60"/>
      <c r="M357" s="60"/>
      <c r="N357" s="60"/>
      <c r="O357" s="61"/>
      <c r="P357" s="64"/>
      <c r="Q357" s="60"/>
      <c r="R357" s="60"/>
      <c r="S357" s="60"/>
      <c r="T357" s="60"/>
      <c r="U357" s="60"/>
      <c r="V357" s="61"/>
      <c r="W357" s="64"/>
      <c r="X357" s="60"/>
      <c r="Y357" s="60"/>
      <c r="Z357" s="60"/>
      <c r="AA357" s="60"/>
      <c r="AB357" s="60"/>
      <c r="AC357" s="60"/>
      <c r="AD357" s="60"/>
      <c r="AE357" s="60"/>
      <c r="AF357" s="60"/>
      <c r="AG357" s="60"/>
      <c r="AH357" s="60"/>
      <c r="AI357" s="60"/>
      <c r="AJ357" s="60"/>
      <c r="AK357" s="60"/>
      <c r="AL357" s="60"/>
      <c r="AM357" s="60"/>
      <c r="AN357" s="60"/>
      <c r="AO357" s="60"/>
      <c r="AP357" s="60"/>
      <c r="AQ357" s="60"/>
      <c r="AR357" s="61"/>
      <c r="AS357" s="23"/>
    </row>
  </sheetData>
  <mergeCells count="35">
    <mergeCell ref="C2:O2"/>
    <mergeCell ref="P2:V2"/>
    <mergeCell ref="W2:AR2"/>
    <mergeCell ref="A2:B3"/>
    <mergeCell ref="A1:AR1"/>
    <mergeCell ref="A155:B156"/>
    <mergeCell ref="C155:O155"/>
    <mergeCell ref="P155:V155"/>
    <mergeCell ref="W155:AR155"/>
    <mergeCell ref="A52:AR52"/>
    <mergeCell ref="A53:B54"/>
    <mergeCell ref="C53:O53"/>
    <mergeCell ref="P53:V53"/>
    <mergeCell ref="W53:AR53"/>
    <mergeCell ref="A103:AR103"/>
    <mergeCell ref="A104:B105"/>
    <mergeCell ref="C104:O104"/>
    <mergeCell ref="P104:V104"/>
    <mergeCell ref="W104:AR104"/>
    <mergeCell ref="A154:AR154"/>
    <mergeCell ref="A308:B309"/>
    <mergeCell ref="C308:O308"/>
    <mergeCell ref="P308:V308"/>
    <mergeCell ref="W308:AR308"/>
    <mergeCell ref="A205:AR205"/>
    <mergeCell ref="A206:B207"/>
    <mergeCell ref="C206:O206"/>
    <mergeCell ref="P206:V206"/>
    <mergeCell ref="W206:AR206"/>
    <mergeCell ref="A256:AR256"/>
    <mergeCell ref="A257:B258"/>
    <mergeCell ref="C257:O257"/>
    <mergeCell ref="P257:V257"/>
    <mergeCell ref="W257:AR257"/>
    <mergeCell ref="A307:AR30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U65"/>
  <sheetViews>
    <sheetView zoomScale="70" zoomScaleNormal="70" workbookViewId="0">
      <selection activeCell="T2" sqref="T2:T4"/>
    </sheetView>
  </sheetViews>
  <sheetFormatPr defaultRowHeight="15" x14ac:dyDescent="0.25"/>
  <cols>
    <col min="1" max="2" width="16.85546875" customWidth="1"/>
    <col min="3" max="3" width="13.85546875" customWidth="1"/>
    <col min="4" max="4" width="13.85546875" style="23" customWidth="1"/>
    <col min="5" max="5" width="13.85546875" customWidth="1"/>
    <col min="6" max="8" width="13.85546875" style="23" customWidth="1"/>
    <col min="9" max="9" width="13.85546875" customWidth="1"/>
    <col min="10" max="10" width="16.140625" customWidth="1"/>
    <col min="12" max="12" width="10.28515625" bestFit="1" customWidth="1"/>
    <col min="13" max="13" width="12.85546875" bestFit="1" customWidth="1"/>
    <col min="14" max="16" width="10.28515625" bestFit="1" customWidth="1"/>
    <col min="17" max="17" width="12.5703125" bestFit="1" customWidth="1"/>
    <col min="18" max="18" width="13" bestFit="1" customWidth="1"/>
    <col min="19" max="19" width="12.5703125" bestFit="1" customWidth="1"/>
    <col min="20" max="20" width="11.140625" bestFit="1" customWidth="1"/>
    <col min="21" max="21" width="16.42578125" customWidth="1"/>
  </cols>
  <sheetData>
    <row r="1" spans="1:21" s="23" customFormat="1" ht="60.75" thickBot="1" x14ac:dyDescent="0.3">
      <c r="A1" s="371" t="s">
        <v>71</v>
      </c>
      <c r="B1" s="372"/>
      <c r="C1" s="358" t="s">
        <v>24</v>
      </c>
      <c r="D1" s="359"/>
      <c r="E1" s="359"/>
      <c r="F1" s="359"/>
      <c r="G1" s="359"/>
      <c r="H1" s="359"/>
      <c r="I1" s="360"/>
      <c r="L1" s="30"/>
      <c r="M1" s="30" t="s">
        <v>30</v>
      </c>
      <c r="N1" s="30" t="s">
        <v>27</v>
      </c>
      <c r="O1" s="30" t="s">
        <v>33</v>
      </c>
      <c r="P1" s="30" t="s">
        <v>31</v>
      </c>
      <c r="Q1" s="30" t="s">
        <v>34</v>
      </c>
      <c r="R1" s="30" t="s">
        <v>40</v>
      </c>
      <c r="S1" s="30" t="s">
        <v>36</v>
      </c>
      <c r="T1" s="30" t="s">
        <v>32</v>
      </c>
      <c r="U1" s="30" t="s">
        <v>35</v>
      </c>
    </row>
    <row r="2" spans="1:21" s="23" customFormat="1" ht="30.75" thickBot="1" x14ac:dyDescent="0.3">
      <c r="A2" s="373"/>
      <c r="B2" s="374"/>
      <c r="C2" s="11" t="s">
        <v>0</v>
      </c>
      <c r="D2" s="12" t="s">
        <v>1</v>
      </c>
      <c r="E2" s="12" t="s">
        <v>2</v>
      </c>
      <c r="F2" s="12" t="s">
        <v>3</v>
      </c>
      <c r="G2" s="12" t="s">
        <v>4</v>
      </c>
      <c r="H2" s="12" t="s">
        <v>5</v>
      </c>
      <c r="I2" s="13" t="s">
        <v>6</v>
      </c>
      <c r="L2" s="87" t="s">
        <v>41</v>
      </c>
      <c r="M2" s="88">
        <f>C6+D7+E8+F9+G10+H11+I12</f>
        <v>10</v>
      </c>
      <c r="N2" s="88">
        <f>C13+D14+E15+F16+G17+H18+I19</f>
        <v>0</v>
      </c>
      <c r="O2" s="88">
        <f>C3*2</f>
        <v>0</v>
      </c>
      <c r="P2" s="88">
        <v>0</v>
      </c>
      <c r="Q2" s="88">
        <f>SUM(M2:P2)</f>
        <v>10</v>
      </c>
      <c r="R2" s="89">
        <f>M2+O2+P2+N2/2</f>
        <v>10</v>
      </c>
      <c r="S2" s="88">
        <f>M2+N2+O2/2</f>
        <v>10</v>
      </c>
      <c r="T2" s="90">
        <v>30000</v>
      </c>
      <c r="U2" s="91">
        <f t="shared" ref="U2" si="0">M2*T2+N2*(T2/2)+SUM(O2:P2)*T2</f>
        <v>300000</v>
      </c>
    </row>
    <row r="3" spans="1:21" s="23" customFormat="1" x14ac:dyDescent="0.25">
      <c r="A3" s="365" t="s">
        <v>16</v>
      </c>
      <c r="B3" s="366"/>
      <c r="C3" s="14">
        <f>B43</f>
        <v>0</v>
      </c>
      <c r="D3" s="15">
        <f>C43</f>
        <v>0</v>
      </c>
      <c r="E3" s="15"/>
      <c r="F3" s="15"/>
      <c r="G3" s="15">
        <f t="shared" ref="G3:H3" si="1">F43</f>
        <v>0</v>
      </c>
      <c r="H3" s="15">
        <f t="shared" si="1"/>
        <v>0</v>
      </c>
      <c r="I3" s="15"/>
      <c r="L3" s="87" t="s">
        <v>38</v>
      </c>
      <c r="M3" s="88"/>
      <c r="N3" s="88"/>
      <c r="O3" s="88"/>
      <c r="P3" s="88"/>
      <c r="Q3" s="88">
        <f>SUM(M3:P3)</f>
        <v>0</v>
      </c>
      <c r="R3" s="88">
        <f>M3+O3+P3+N3/2</f>
        <v>0</v>
      </c>
      <c r="S3" s="89">
        <f t="shared" ref="S3:S4" si="2">M3+N3+O3/2</f>
        <v>0</v>
      </c>
      <c r="T3" s="90">
        <v>30000</v>
      </c>
      <c r="U3" s="91">
        <f t="shared" ref="U3" si="3">M3*T3+N3*(T3/2)+SUM(O3:P3)*T3</f>
        <v>0</v>
      </c>
    </row>
    <row r="4" spans="1:21" s="23" customFormat="1" ht="30.75" thickBot="1" x14ac:dyDescent="0.3">
      <c r="A4" s="367"/>
      <c r="B4" s="368"/>
      <c r="C4" s="191"/>
      <c r="D4" s="191"/>
      <c r="E4" s="191">
        <f>D43</f>
        <v>0</v>
      </c>
      <c r="F4" s="191">
        <f t="shared" ref="F4:I4" si="4">E43</f>
        <v>0</v>
      </c>
      <c r="G4" s="191"/>
      <c r="H4" s="191"/>
      <c r="I4" s="191">
        <f t="shared" si="4"/>
        <v>0</v>
      </c>
      <c r="L4" s="28" t="s">
        <v>39</v>
      </c>
      <c r="M4" s="92"/>
      <c r="N4" s="92"/>
      <c r="O4" s="92"/>
      <c r="P4" s="92"/>
      <c r="Q4" s="92">
        <f>SUM(M4:P4)</f>
        <v>0</v>
      </c>
      <c r="R4" s="88">
        <f>M4+O4+P4+N4/2</f>
        <v>0</v>
      </c>
      <c r="S4" s="93">
        <f t="shared" si="2"/>
        <v>0</v>
      </c>
      <c r="T4" s="90">
        <v>30000</v>
      </c>
      <c r="U4" s="94">
        <f t="shared" ref="U4" si="5">M4*T4+N4*(T4/2)+SUM(O4:P4)*T4</f>
        <v>0</v>
      </c>
    </row>
    <row r="5" spans="1:21" s="23" customFormat="1" ht="15.75" thickBot="1" x14ac:dyDescent="0.3">
      <c r="A5" s="369" t="s">
        <v>17</v>
      </c>
      <c r="B5" s="370"/>
      <c r="C5" s="11">
        <v>0</v>
      </c>
      <c r="D5" s="12">
        <v>0</v>
      </c>
      <c r="E5" s="12">
        <v>0</v>
      </c>
      <c r="F5" s="12">
        <v>0</v>
      </c>
      <c r="G5" s="12">
        <v>0</v>
      </c>
      <c r="H5" s="12">
        <v>0</v>
      </c>
      <c r="I5" s="13">
        <v>0</v>
      </c>
    </row>
    <row r="6" spans="1:21" s="23" customFormat="1" x14ac:dyDescent="0.25">
      <c r="A6" s="378" t="s">
        <v>18</v>
      </c>
      <c r="B6" s="379"/>
      <c r="C6" s="192">
        <f>$A30*B30+1</f>
        <v>4</v>
      </c>
      <c r="D6" s="193">
        <f>$A30*C30+1</f>
        <v>4</v>
      </c>
      <c r="E6" s="193">
        <f>$A30*D30+1</f>
        <v>4</v>
      </c>
      <c r="F6" s="193">
        <f>$A30*E30+1</f>
        <v>4</v>
      </c>
      <c r="G6" s="193">
        <f>$A30*F30+1</f>
        <v>4</v>
      </c>
      <c r="H6" s="193">
        <f t="shared" ref="H6:I12" si="6">$A30*G30</f>
        <v>0</v>
      </c>
      <c r="I6" s="194">
        <f t="shared" si="6"/>
        <v>0</v>
      </c>
    </row>
    <row r="7" spans="1:21" s="23" customFormat="1" x14ac:dyDescent="0.25">
      <c r="A7" s="380"/>
      <c r="B7" s="381"/>
      <c r="C7" s="20">
        <f t="shared" ref="C7:G12" si="7">$A31*B31</f>
        <v>0</v>
      </c>
      <c r="D7" s="21">
        <f t="shared" si="7"/>
        <v>2</v>
      </c>
      <c r="E7" s="21">
        <f t="shared" si="7"/>
        <v>2</v>
      </c>
      <c r="F7" s="21">
        <f t="shared" si="7"/>
        <v>2</v>
      </c>
      <c r="G7" s="21">
        <f t="shared" si="7"/>
        <v>2</v>
      </c>
      <c r="H7" s="21">
        <f t="shared" si="6"/>
        <v>2</v>
      </c>
      <c r="I7" s="22">
        <f t="shared" si="6"/>
        <v>0</v>
      </c>
    </row>
    <row r="8" spans="1:21" s="23" customFormat="1" x14ac:dyDescent="0.25">
      <c r="A8" s="380"/>
      <c r="B8" s="381"/>
      <c r="C8" s="20">
        <f t="shared" si="7"/>
        <v>0</v>
      </c>
      <c r="D8" s="21">
        <f t="shared" si="7"/>
        <v>0</v>
      </c>
      <c r="E8" s="21">
        <f t="shared" si="7"/>
        <v>1</v>
      </c>
      <c r="F8" s="21">
        <f t="shared" si="7"/>
        <v>1</v>
      </c>
      <c r="G8" s="21">
        <f t="shared" si="7"/>
        <v>1</v>
      </c>
      <c r="H8" s="21">
        <f t="shared" si="6"/>
        <v>1</v>
      </c>
      <c r="I8" s="22">
        <f t="shared" si="6"/>
        <v>1</v>
      </c>
    </row>
    <row r="9" spans="1:21" s="23" customFormat="1" x14ac:dyDescent="0.25">
      <c r="A9" s="380"/>
      <c r="B9" s="381"/>
      <c r="C9" s="20">
        <f t="shared" si="7"/>
        <v>0</v>
      </c>
      <c r="D9" s="21">
        <f t="shared" si="7"/>
        <v>0</v>
      </c>
      <c r="E9" s="21">
        <f t="shared" si="7"/>
        <v>0</v>
      </c>
      <c r="F9" s="21">
        <f t="shared" si="7"/>
        <v>0</v>
      </c>
      <c r="G9" s="21">
        <f t="shared" si="7"/>
        <v>0</v>
      </c>
      <c r="H9" s="21">
        <f t="shared" si="6"/>
        <v>0</v>
      </c>
      <c r="I9" s="22">
        <f t="shared" si="6"/>
        <v>0</v>
      </c>
    </row>
    <row r="10" spans="1:21" s="23" customFormat="1" x14ac:dyDescent="0.25">
      <c r="A10" s="380"/>
      <c r="B10" s="381"/>
      <c r="C10" s="20">
        <f t="shared" si="7"/>
        <v>2</v>
      </c>
      <c r="D10" s="21">
        <f t="shared" si="7"/>
        <v>2</v>
      </c>
      <c r="E10" s="21">
        <f t="shared" si="7"/>
        <v>0</v>
      </c>
      <c r="F10" s="21">
        <f t="shared" si="7"/>
        <v>0</v>
      </c>
      <c r="G10" s="21">
        <f t="shared" si="7"/>
        <v>2</v>
      </c>
      <c r="H10" s="21">
        <f t="shared" si="6"/>
        <v>2</v>
      </c>
      <c r="I10" s="22">
        <f t="shared" si="6"/>
        <v>2</v>
      </c>
    </row>
    <row r="11" spans="1:21" s="23" customFormat="1" x14ac:dyDescent="0.25">
      <c r="A11" s="380"/>
      <c r="B11" s="381"/>
      <c r="C11" s="20">
        <f t="shared" si="7"/>
        <v>0</v>
      </c>
      <c r="D11" s="21">
        <f t="shared" si="7"/>
        <v>0</v>
      </c>
      <c r="E11" s="21">
        <f t="shared" si="7"/>
        <v>0</v>
      </c>
      <c r="F11" s="21">
        <f t="shared" si="7"/>
        <v>0</v>
      </c>
      <c r="G11" s="21">
        <f t="shared" si="7"/>
        <v>0</v>
      </c>
      <c r="H11" s="21">
        <f t="shared" si="6"/>
        <v>0</v>
      </c>
      <c r="I11" s="22">
        <f t="shared" si="6"/>
        <v>0</v>
      </c>
    </row>
    <row r="12" spans="1:21" s="23" customFormat="1" ht="15.75" thickBot="1" x14ac:dyDescent="0.3">
      <c r="A12" s="382"/>
      <c r="B12" s="383"/>
      <c r="C12" s="195">
        <f t="shared" si="7"/>
        <v>1</v>
      </c>
      <c r="D12" s="196">
        <f t="shared" si="7"/>
        <v>1</v>
      </c>
      <c r="E12" s="196">
        <f t="shared" si="7"/>
        <v>1</v>
      </c>
      <c r="F12" s="196">
        <f t="shared" si="7"/>
        <v>1</v>
      </c>
      <c r="G12" s="196">
        <f t="shared" si="7"/>
        <v>0</v>
      </c>
      <c r="H12" s="196">
        <f t="shared" si="6"/>
        <v>0</v>
      </c>
      <c r="I12" s="197">
        <f t="shared" si="6"/>
        <v>1</v>
      </c>
    </row>
    <row r="13" spans="1:21" s="23" customFormat="1" ht="30" customHeight="1" x14ac:dyDescent="0.25">
      <c r="A13" s="384" t="s">
        <v>27</v>
      </c>
      <c r="B13" s="385"/>
      <c r="C13" s="198">
        <f t="shared" ref="C13:I19" si="8">$A57*B57</f>
        <v>0</v>
      </c>
      <c r="D13" s="199">
        <f t="shared" si="8"/>
        <v>0</v>
      </c>
      <c r="E13" s="199">
        <f t="shared" si="8"/>
        <v>0</v>
      </c>
      <c r="F13" s="199">
        <f t="shared" si="8"/>
        <v>0</v>
      </c>
      <c r="G13" s="199">
        <f t="shared" si="8"/>
        <v>0</v>
      </c>
      <c r="H13" s="199">
        <f t="shared" si="8"/>
        <v>0</v>
      </c>
      <c r="I13" s="200">
        <f t="shared" si="8"/>
        <v>0</v>
      </c>
    </row>
    <row r="14" spans="1:21" s="23" customFormat="1" ht="30" customHeight="1" x14ac:dyDescent="0.25">
      <c r="A14" s="386"/>
      <c r="B14" s="387"/>
      <c r="C14" s="25">
        <f t="shared" si="8"/>
        <v>0</v>
      </c>
      <c r="D14" s="26">
        <f t="shared" si="8"/>
        <v>0</v>
      </c>
      <c r="E14" s="26">
        <f t="shared" si="8"/>
        <v>0</v>
      </c>
      <c r="F14" s="26">
        <f t="shared" si="8"/>
        <v>0</v>
      </c>
      <c r="G14" s="26">
        <f t="shared" si="8"/>
        <v>0</v>
      </c>
      <c r="H14" s="26">
        <f t="shared" si="8"/>
        <v>0</v>
      </c>
      <c r="I14" s="27">
        <f t="shared" si="8"/>
        <v>0</v>
      </c>
    </row>
    <row r="15" spans="1:21" s="23" customFormat="1" x14ac:dyDescent="0.25">
      <c r="A15" s="386"/>
      <c r="B15" s="387"/>
      <c r="C15" s="25">
        <f t="shared" si="8"/>
        <v>0</v>
      </c>
      <c r="D15" s="26">
        <f t="shared" si="8"/>
        <v>0</v>
      </c>
      <c r="E15" s="26">
        <f t="shared" si="8"/>
        <v>0</v>
      </c>
      <c r="F15" s="26">
        <f t="shared" si="8"/>
        <v>0</v>
      </c>
      <c r="G15" s="26">
        <f t="shared" si="8"/>
        <v>0</v>
      </c>
      <c r="H15" s="26">
        <f t="shared" si="8"/>
        <v>0</v>
      </c>
      <c r="I15" s="27">
        <f t="shared" si="8"/>
        <v>0</v>
      </c>
    </row>
    <row r="16" spans="1:21" s="23" customFormat="1" ht="30" customHeight="1" x14ac:dyDescent="0.25">
      <c r="A16" s="386"/>
      <c r="B16" s="387"/>
      <c r="C16" s="25">
        <f t="shared" si="8"/>
        <v>0</v>
      </c>
      <c r="D16" s="26">
        <f t="shared" si="8"/>
        <v>0</v>
      </c>
      <c r="E16" s="26">
        <f t="shared" si="8"/>
        <v>0</v>
      </c>
      <c r="F16" s="26">
        <f t="shared" si="8"/>
        <v>0</v>
      </c>
      <c r="G16" s="26">
        <f t="shared" si="8"/>
        <v>0</v>
      </c>
      <c r="H16" s="26">
        <f t="shared" si="8"/>
        <v>0</v>
      </c>
      <c r="I16" s="27">
        <f t="shared" si="8"/>
        <v>0</v>
      </c>
      <c r="O16" s="19"/>
      <c r="P16" s="19"/>
      <c r="Q16" s="19"/>
      <c r="R16" s="19"/>
    </row>
    <row r="17" spans="1:9" s="23" customFormat="1" ht="30" customHeight="1" x14ac:dyDescent="0.25">
      <c r="A17" s="386"/>
      <c r="B17" s="387"/>
      <c r="C17" s="25">
        <f t="shared" si="8"/>
        <v>0</v>
      </c>
      <c r="D17" s="26">
        <f t="shared" si="8"/>
        <v>0</v>
      </c>
      <c r="E17" s="26">
        <f t="shared" si="8"/>
        <v>0</v>
      </c>
      <c r="F17" s="26">
        <f t="shared" si="8"/>
        <v>0</v>
      </c>
      <c r="G17" s="26">
        <f t="shared" si="8"/>
        <v>0</v>
      </c>
      <c r="H17" s="26">
        <f t="shared" si="8"/>
        <v>0</v>
      </c>
      <c r="I17" s="27">
        <f t="shared" si="8"/>
        <v>0</v>
      </c>
    </row>
    <row r="18" spans="1:9" s="23" customFormat="1" x14ac:dyDescent="0.25">
      <c r="A18" s="386"/>
      <c r="B18" s="387"/>
      <c r="C18" s="25">
        <f t="shared" si="8"/>
        <v>0</v>
      </c>
      <c r="D18" s="26">
        <f t="shared" si="8"/>
        <v>0</v>
      </c>
      <c r="E18" s="26">
        <f t="shared" si="8"/>
        <v>0</v>
      </c>
      <c r="F18" s="26">
        <f t="shared" si="8"/>
        <v>0</v>
      </c>
      <c r="G18" s="26">
        <f t="shared" si="8"/>
        <v>0</v>
      </c>
      <c r="H18" s="26">
        <f t="shared" si="8"/>
        <v>0</v>
      </c>
      <c r="I18" s="27">
        <f t="shared" si="8"/>
        <v>0</v>
      </c>
    </row>
    <row r="19" spans="1:9" s="23" customFormat="1" ht="15.75" thickBot="1" x14ac:dyDescent="0.3">
      <c r="A19" s="388"/>
      <c r="B19" s="389"/>
      <c r="C19" s="201">
        <f t="shared" si="8"/>
        <v>0</v>
      </c>
      <c r="D19" s="202">
        <f t="shared" si="8"/>
        <v>0</v>
      </c>
      <c r="E19" s="202">
        <f t="shared" si="8"/>
        <v>0</v>
      </c>
      <c r="F19" s="202">
        <f t="shared" si="8"/>
        <v>0</v>
      </c>
      <c r="G19" s="202">
        <f t="shared" si="8"/>
        <v>0</v>
      </c>
      <c r="H19" s="202">
        <f t="shared" si="8"/>
        <v>0</v>
      </c>
      <c r="I19" s="203">
        <f t="shared" si="8"/>
        <v>0</v>
      </c>
    </row>
    <row r="20" spans="1:9" s="23" customFormat="1" ht="30.75" customHeight="1" x14ac:dyDescent="0.25">
      <c r="A20" s="390" t="s">
        <v>19</v>
      </c>
      <c r="B20" s="391"/>
      <c r="C20" s="16">
        <f>SUM(C3:C19)</f>
        <v>7</v>
      </c>
      <c r="D20" s="17">
        <f t="shared" ref="D20:I20" si="9">SUM(D3:D19)</f>
        <v>9</v>
      </c>
      <c r="E20" s="17">
        <f>SUM(E3:E19)</f>
        <v>8</v>
      </c>
      <c r="F20" s="17">
        <f t="shared" si="9"/>
        <v>8</v>
      </c>
      <c r="G20" s="17">
        <f t="shared" si="9"/>
        <v>9</v>
      </c>
      <c r="H20" s="17">
        <f t="shared" si="9"/>
        <v>5</v>
      </c>
      <c r="I20" s="18">
        <f t="shared" si="9"/>
        <v>4</v>
      </c>
    </row>
    <row r="21" spans="1:9" s="23" customFormat="1" ht="30.75" customHeight="1" thickBot="1" x14ac:dyDescent="0.3">
      <c r="A21" s="392" t="s">
        <v>20</v>
      </c>
      <c r="B21" s="393"/>
      <c r="C21" s="204">
        <f t="shared" ref="C21:I21" si="10">C5*2</f>
        <v>0</v>
      </c>
      <c r="D21" s="205">
        <f t="shared" si="10"/>
        <v>0</v>
      </c>
      <c r="E21" s="205">
        <f t="shared" si="10"/>
        <v>0</v>
      </c>
      <c r="F21" s="205">
        <f t="shared" si="10"/>
        <v>0</v>
      </c>
      <c r="G21" s="205">
        <f t="shared" si="10"/>
        <v>0</v>
      </c>
      <c r="H21" s="205">
        <f>H5*2</f>
        <v>0</v>
      </c>
      <c r="I21" s="206">
        <f t="shared" si="10"/>
        <v>0</v>
      </c>
    </row>
    <row r="22" spans="1:9" s="23" customFormat="1" ht="15.75" thickBot="1" x14ac:dyDescent="0.3">
      <c r="A22" s="394" t="s">
        <v>21</v>
      </c>
      <c r="B22" s="395"/>
      <c r="C22" s="207">
        <f>SUM(C20:C21)*0.15</f>
        <v>1.05</v>
      </c>
      <c r="D22" s="208">
        <f>SUM(D20:D21)*0.15</f>
        <v>1.3499999999999999</v>
      </c>
      <c r="E22" s="208">
        <f t="shared" ref="E22:I22" si="11">SUM(E20:E21)*0.15</f>
        <v>1.2</v>
      </c>
      <c r="F22" s="208">
        <f t="shared" si="11"/>
        <v>1.2</v>
      </c>
      <c r="G22" s="208">
        <f t="shared" si="11"/>
        <v>1.3499999999999999</v>
      </c>
      <c r="H22" s="208">
        <f t="shared" si="11"/>
        <v>0.75</v>
      </c>
      <c r="I22" s="209">
        <f t="shared" si="11"/>
        <v>0.6</v>
      </c>
    </row>
    <row r="23" spans="1:9" s="23" customFormat="1" ht="31.5" customHeight="1" thickBot="1" x14ac:dyDescent="0.3">
      <c r="A23" s="396" t="s">
        <v>22</v>
      </c>
      <c r="B23" s="397"/>
      <c r="C23" s="375">
        <f>C6+D7+E8+F9+G10+H11+I12+C13+D14+E15+F16+G17+H18+I19+SUM(C3:C4)*2+MAX(C5:I5)*2</f>
        <v>10</v>
      </c>
      <c r="D23" s="376"/>
      <c r="E23" s="376"/>
      <c r="F23" s="376"/>
      <c r="G23" s="376"/>
      <c r="H23" s="376"/>
      <c r="I23" s="377"/>
    </row>
    <row r="24" spans="1:9" ht="15.75" thickBot="1" x14ac:dyDescent="0.3"/>
    <row r="25" spans="1:9" ht="15.75" thickBot="1" x14ac:dyDescent="0.3">
      <c r="A25" s="23"/>
      <c r="B25" s="361" t="s">
        <v>28</v>
      </c>
      <c r="C25" s="362"/>
      <c r="D25" s="362"/>
      <c r="E25" s="362"/>
      <c r="F25" s="362"/>
      <c r="G25" s="362"/>
      <c r="H25" s="362"/>
      <c r="I25" s="363"/>
    </row>
    <row r="26" spans="1:9" ht="15.75" thickBot="1" x14ac:dyDescent="0.3">
      <c r="A26" s="23"/>
      <c r="B26" s="82" t="s">
        <v>0</v>
      </c>
      <c r="C26" s="83" t="s">
        <v>1</v>
      </c>
      <c r="D26" s="83" t="s">
        <v>2</v>
      </c>
      <c r="E26" s="83" t="s">
        <v>3</v>
      </c>
      <c r="F26" s="83" t="s">
        <v>4</v>
      </c>
      <c r="G26" s="83" t="s">
        <v>5</v>
      </c>
      <c r="H26" s="84" t="s">
        <v>6</v>
      </c>
      <c r="I26" s="85"/>
    </row>
    <row r="27" spans="1:9" s="1" customFormat="1" x14ac:dyDescent="0.25">
      <c r="A27" s="23"/>
      <c r="B27" s="215">
        <f>SUM('Распределение по графикам'!$C$3:$O$3)</f>
        <v>0</v>
      </c>
      <c r="C27" s="216">
        <f>SUM('Распределение по графикам'!$C$54:$O$54)</f>
        <v>0</v>
      </c>
      <c r="D27" s="216">
        <f>SUM('Распределение по графикам'!$C$105:$O$105)</f>
        <v>0</v>
      </c>
      <c r="E27" s="216">
        <f>SUM('Распределение по графикам'!$C$156:$O$156)</f>
        <v>0</v>
      </c>
      <c r="F27" s="216">
        <f>SUM('Распределение по графикам'!$C$207:$O$207)</f>
        <v>0</v>
      </c>
      <c r="G27" s="216">
        <f>SUM('Распределение по графикам'!$C$258:$O$258)</f>
        <v>0</v>
      </c>
      <c r="H27" s="217">
        <f>SUM('Распределение по графикам'!$C$309:$O$309)</f>
        <v>0</v>
      </c>
      <c r="I27" s="78">
        <f>SUM(B27:H27)</f>
        <v>0</v>
      </c>
    </row>
    <row r="28" spans="1:9" s="23" customFormat="1" ht="15.75" thickBot="1" x14ac:dyDescent="0.3">
      <c r="B28" s="218">
        <f t="shared" ref="B28:H28" si="12">SUMPRODUCT($A$30:$A$36,B30:B36)</f>
        <v>6</v>
      </c>
      <c r="C28" s="219">
        <f t="shared" si="12"/>
        <v>8</v>
      </c>
      <c r="D28" s="219">
        <f t="shared" si="12"/>
        <v>7</v>
      </c>
      <c r="E28" s="219">
        <f t="shared" si="12"/>
        <v>7</v>
      </c>
      <c r="F28" s="219">
        <f t="shared" si="12"/>
        <v>8</v>
      </c>
      <c r="G28" s="219">
        <f t="shared" si="12"/>
        <v>5</v>
      </c>
      <c r="H28" s="220">
        <f t="shared" si="12"/>
        <v>4</v>
      </c>
      <c r="I28" s="86">
        <f>SUM(B28:H28)</f>
        <v>45</v>
      </c>
    </row>
    <row r="29" spans="1:9" ht="15.75" thickBot="1" x14ac:dyDescent="0.3">
      <c r="A29" s="23"/>
      <c r="B29" s="23"/>
      <c r="C29" s="23"/>
      <c r="E29" s="23"/>
      <c r="I29" s="23"/>
    </row>
    <row r="30" spans="1:9" x14ac:dyDescent="0.25">
      <c r="A30" s="213">
        <v>3</v>
      </c>
      <c r="B30" s="79">
        <v>1</v>
      </c>
      <c r="C30" s="80">
        <v>1</v>
      </c>
      <c r="D30" s="80">
        <v>1</v>
      </c>
      <c r="E30" s="80">
        <v>1</v>
      </c>
      <c r="F30" s="80">
        <v>1</v>
      </c>
      <c r="G30" s="80"/>
      <c r="H30" s="81"/>
      <c r="I30" s="23"/>
    </row>
    <row r="31" spans="1:9" x14ac:dyDescent="0.25">
      <c r="A31" s="214">
        <v>2</v>
      </c>
      <c r="B31" s="63"/>
      <c r="C31" s="2">
        <v>1</v>
      </c>
      <c r="D31" s="2">
        <v>1</v>
      </c>
      <c r="E31" s="2">
        <v>1</v>
      </c>
      <c r="F31" s="2">
        <v>1</v>
      </c>
      <c r="G31" s="2">
        <v>1</v>
      </c>
      <c r="H31" s="57"/>
      <c r="I31" s="23"/>
    </row>
    <row r="32" spans="1:9" x14ac:dyDescent="0.25">
      <c r="A32" s="214">
        <v>1</v>
      </c>
      <c r="B32" s="63"/>
      <c r="C32" s="2"/>
      <c r="D32" s="2">
        <v>1</v>
      </c>
      <c r="E32" s="2">
        <v>1</v>
      </c>
      <c r="F32" s="2">
        <v>1</v>
      </c>
      <c r="G32" s="2">
        <v>1</v>
      </c>
      <c r="H32" s="57">
        <v>1</v>
      </c>
      <c r="I32" s="23"/>
    </row>
    <row r="33" spans="1:9" x14ac:dyDescent="0.25">
      <c r="A33" s="214">
        <v>0</v>
      </c>
      <c r="B33" s="63">
        <v>1</v>
      </c>
      <c r="C33" s="2"/>
      <c r="D33" s="2"/>
      <c r="E33" s="2">
        <v>1</v>
      </c>
      <c r="F33" s="2">
        <v>1</v>
      </c>
      <c r="G33" s="2">
        <v>1</v>
      </c>
      <c r="H33" s="57">
        <v>1</v>
      </c>
      <c r="I33" s="23"/>
    </row>
    <row r="34" spans="1:9" x14ac:dyDescent="0.25">
      <c r="A34" s="214">
        <v>2</v>
      </c>
      <c r="B34" s="63">
        <v>1</v>
      </c>
      <c r="C34" s="2">
        <v>1</v>
      </c>
      <c r="D34" s="2"/>
      <c r="E34" s="2"/>
      <c r="F34" s="2">
        <v>1</v>
      </c>
      <c r="G34" s="2">
        <v>1</v>
      </c>
      <c r="H34" s="57">
        <v>1</v>
      </c>
      <c r="I34" s="23"/>
    </row>
    <row r="35" spans="1:9" x14ac:dyDescent="0.25">
      <c r="A35" s="214">
        <v>0</v>
      </c>
      <c r="B35" s="63">
        <v>1</v>
      </c>
      <c r="C35" s="2">
        <v>1</v>
      </c>
      <c r="D35" s="2">
        <v>1</v>
      </c>
      <c r="E35" s="2"/>
      <c r="F35" s="2"/>
      <c r="G35" s="2">
        <v>1</v>
      </c>
      <c r="H35" s="57">
        <v>1</v>
      </c>
      <c r="I35" s="23"/>
    </row>
    <row r="36" spans="1:9" ht="15.75" thickBot="1" x14ac:dyDescent="0.3">
      <c r="A36" s="86">
        <v>1</v>
      </c>
      <c r="B36" s="64">
        <v>1</v>
      </c>
      <c r="C36" s="60">
        <v>1</v>
      </c>
      <c r="D36" s="60">
        <v>1</v>
      </c>
      <c r="E36" s="60">
        <v>1</v>
      </c>
      <c r="F36" s="60"/>
      <c r="G36" s="60"/>
      <c r="H36" s="61">
        <v>1</v>
      </c>
      <c r="I36" s="23"/>
    </row>
    <row r="37" spans="1:9" x14ac:dyDescent="0.25">
      <c r="A37" s="23"/>
      <c r="B37" s="23"/>
      <c r="C37" s="23"/>
      <c r="E37" s="23"/>
      <c r="I37" s="23"/>
    </row>
    <row r="38" spans="1:9" x14ac:dyDescent="0.25">
      <c r="A38" s="23"/>
      <c r="B38" s="2">
        <f>B27*0.85</f>
        <v>0</v>
      </c>
      <c r="C38" s="2">
        <f t="shared" ref="C38:H38" si="13">C27*0.85</f>
        <v>0</v>
      </c>
      <c r="D38" s="2">
        <f t="shared" si="13"/>
        <v>0</v>
      </c>
      <c r="E38" s="2">
        <f t="shared" si="13"/>
        <v>0</v>
      </c>
      <c r="F38" s="2">
        <f t="shared" si="13"/>
        <v>0</v>
      </c>
      <c r="G38" s="2">
        <f t="shared" si="13"/>
        <v>0</v>
      </c>
      <c r="H38" s="2">
        <f t="shared" si="13"/>
        <v>0</v>
      </c>
      <c r="I38" s="23"/>
    </row>
    <row r="40" spans="1:9" ht="15.75" thickBot="1" x14ac:dyDescent="0.3"/>
    <row r="41" spans="1:9" ht="15.75" thickBot="1" x14ac:dyDescent="0.3">
      <c r="A41" s="23"/>
      <c r="B41" s="364" t="s">
        <v>29</v>
      </c>
      <c r="C41" s="362"/>
      <c r="D41" s="362"/>
      <c r="E41" s="362"/>
      <c r="F41" s="362"/>
      <c r="G41" s="362"/>
      <c r="H41" s="362"/>
      <c r="I41" s="363"/>
    </row>
    <row r="42" spans="1:9" ht="15.75" thickBot="1" x14ac:dyDescent="0.3">
      <c r="A42" s="23"/>
      <c r="B42" s="82" t="s">
        <v>0</v>
      </c>
      <c r="C42" s="83" t="s">
        <v>1</v>
      </c>
      <c r="D42" s="83" t="s">
        <v>2</v>
      </c>
      <c r="E42" s="83" t="s">
        <v>3</v>
      </c>
      <c r="F42" s="83" t="s">
        <v>4</v>
      </c>
      <c r="G42" s="83" t="s">
        <v>5</v>
      </c>
      <c r="H42" s="84" t="s">
        <v>6</v>
      </c>
      <c r="I42" s="85"/>
    </row>
    <row r="43" spans="1:9" x14ac:dyDescent="0.25">
      <c r="A43" s="23"/>
      <c r="B43" s="215">
        <f>SUM('Распределение по графикам'!$P$3:$V$3)</f>
        <v>0</v>
      </c>
      <c r="C43" s="216">
        <f>SUM('Распределение по графикам'!$P$54:$V$54)</f>
        <v>0</v>
      </c>
      <c r="D43" s="216">
        <f>SUM('Распределение по графикам'!$P$105:$V$105)</f>
        <v>0</v>
      </c>
      <c r="E43" s="216">
        <f>SUM('Распределение по графикам'!$P$156:$V$156)</f>
        <v>0</v>
      </c>
      <c r="F43" s="216">
        <f>SUM('Распределение по графикам'!$P$207:$V$207)</f>
        <v>0</v>
      </c>
      <c r="G43" s="216">
        <f>SUM('Распределение по графикам'!$P$258:$V$258)</f>
        <v>0</v>
      </c>
      <c r="H43" s="217">
        <f>SUM('Распределение по графикам'!$P$309:$V$309)</f>
        <v>0</v>
      </c>
      <c r="I43" s="78">
        <f>SUM(B43:H43)</f>
        <v>0</v>
      </c>
    </row>
    <row r="44" spans="1:9" ht="15.75" thickBot="1" x14ac:dyDescent="0.3">
      <c r="A44" s="23"/>
      <c r="B44" s="218">
        <f t="shared" ref="B44:H44" si="14">SUMPRODUCT($A$46:$A$47,B46:B47)</f>
        <v>5</v>
      </c>
      <c r="C44" s="219">
        <f t="shared" si="14"/>
        <v>5</v>
      </c>
      <c r="D44" s="219">
        <f t="shared" si="14"/>
        <v>5</v>
      </c>
      <c r="E44" s="219">
        <f t="shared" si="14"/>
        <v>5</v>
      </c>
      <c r="F44" s="219">
        <f t="shared" si="14"/>
        <v>5</v>
      </c>
      <c r="G44" s="219">
        <f t="shared" si="14"/>
        <v>5</v>
      </c>
      <c r="H44" s="220">
        <f t="shared" si="14"/>
        <v>5</v>
      </c>
      <c r="I44" s="86">
        <f>SUM(B44:H44)</f>
        <v>35</v>
      </c>
    </row>
    <row r="45" spans="1:9" ht="15.75" thickBot="1" x14ac:dyDescent="0.3">
      <c r="A45" s="23"/>
      <c r="B45" s="23"/>
      <c r="C45" s="23"/>
      <c r="E45" s="23"/>
      <c r="I45" s="23"/>
    </row>
    <row r="46" spans="1:9" x14ac:dyDescent="0.25">
      <c r="A46" s="213">
        <v>5</v>
      </c>
      <c r="B46" s="79">
        <v>1</v>
      </c>
      <c r="C46" s="80">
        <v>1</v>
      </c>
      <c r="D46" s="80"/>
      <c r="E46" s="80"/>
      <c r="F46" s="80">
        <v>1</v>
      </c>
      <c r="G46" s="80">
        <v>1</v>
      </c>
      <c r="H46" s="81"/>
      <c r="I46" s="23"/>
    </row>
    <row r="47" spans="1:9" ht="15.75" thickBot="1" x14ac:dyDescent="0.3">
      <c r="A47" s="86">
        <v>5</v>
      </c>
      <c r="B47" s="64"/>
      <c r="C47" s="60"/>
      <c r="D47" s="60">
        <v>1</v>
      </c>
      <c r="E47" s="60">
        <v>1</v>
      </c>
      <c r="F47" s="60"/>
      <c r="G47" s="60"/>
      <c r="H47" s="61">
        <v>1</v>
      </c>
      <c r="I47" s="23"/>
    </row>
    <row r="48" spans="1:9" x14ac:dyDescent="0.25">
      <c r="A48" s="23"/>
      <c r="B48" s="23"/>
      <c r="C48" s="23"/>
      <c r="E48" s="23"/>
      <c r="I48" s="23"/>
    </row>
    <row r="49" spans="1:9" x14ac:dyDescent="0.25">
      <c r="A49" s="23"/>
      <c r="B49" s="2">
        <f t="shared" ref="B49:H49" si="15">B43*0.85</f>
        <v>0</v>
      </c>
      <c r="C49" s="2">
        <f t="shared" si="15"/>
        <v>0</v>
      </c>
      <c r="D49" s="2">
        <f t="shared" si="15"/>
        <v>0</v>
      </c>
      <c r="E49" s="2">
        <f t="shared" si="15"/>
        <v>0</v>
      </c>
      <c r="F49" s="2">
        <f t="shared" si="15"/>
        <v>0</v>
      </c>
      <c r="G49" s="2">
        <f t="shared" si="15"/>
        <v>0</v>
      </c>
      <c r="H49" s="2">
        <f t="shared" si="15"/>
        <v>0</v>
      </c>
      <c r="I49" s="23"/>
    </row>
    <row r="51" spans="1:9" ht="15.75" thickBot="1" x14ac:dyDescent="0.3"/>
    <row r="52" spans="1:9" ht="15.75" thickBot="1" x14ac:dyDescent="0.3">
      <c r="A52" s="23"/>
      <c r="B52" s="364" t="s">
        <v>27</v>
      </c>
      <c r="C52" s="362"/>
      <c r="D52" s="362"/>
      <c r="E52" s="362"/>
      <c r="F52" s="362"/>
      <c r="G52" s="362"/>
      <c r="H52" s="362"/>
      <c r="I52" s="363"/>
    </row>
    <row r="53" spans="1:9" ht="15.75" thickBot="1" x14ac:dyDescent="0.3">
      <c r="A53" s="23"/>
      <c r="B53" s="82" t="s">
        <v>0</v>
      </c>
      <c r="C53" s="83" t="s">
        <v>1</v>
      </c>
      <c r="D53" s="83" t="s">
        <v>2</v>
      </c>
      <c r="E53" s="83" t="s">
        <v>3</v>
      </c>
      <c r="F53" s="83" t="s">
        <v>4</v>
      </c>
      <c r="G53" s="83" t="s">
        <v>5</v>
      </c>
      <c r="H53" s="84" t="s">
        <v>6</v>
      </c>
      <c r="I53" s="85"/>
    </row>
    <row r="54" spans="1:9" x14ac:dyDescent="0.25">
      <c r="A54" s="23"/>
      <c r="B54" s="215">
        <f>SUM('Распределение по графикам'!$W$3:$AR$3)</f>
        <v>0</v>
      </c>
      <c r="C54" s="216">
        <f>SUM('Распределение по графикам'!$W$54:$AR$54)</f>
        <v>0</v>
      </c>
      <c r="D54" s="216">
        <f>SUM('Распределение по графикам'!$W$105:$AR$105)</f>
        <v>0</v>
      </c>
      <c r="E54" s="216">
        <f>SUM('Распределение по графикам'!$W$156:$AR$156)</f>
        <v>0</v>
      </c>
      <c r="F54" s="216">
        <f>SUM('Распределение по графикам'!$W$207:$AR$207)</f>
        <v>0</v>
      </c>
      <c r="G54" s="216">
        <f>SUM('Распределение по графикам'!$W$258:$AR$258)</f>
        <v>0</v>
      </c>
      <c r="H54" s="217">
        <f>SUM('Распределение по графикам'!$W$309:$AR$309)</f>
        <v>0</v>
      </c>
      <c r="I54" s="78">
        <f>SUM(B54:H54)</f>
        <v>0</v>
      </c>
    </row>
    <row r="55" spans="1:9" ht="15.75" thickBot="1" x14ac:dyDescent="0.3">
      <c r="A55" s="23"/>
      <c r="B55" s="218">
        <f t="shared" ref="B55:H55" si="16">SUMPRODUCT($A$57:$A$63,B57:B63)</f>
        <v>0</v>
      </c>
      <c r="C55" s="219">
        <f t="shared" si="16"/>
        <v>0</v>
      </c>
      <c r="D55" s="219">
        <f t="shared" si="16"/>
        <v>0</v>
      </c>
      <c r="E55" s="219">
        <f t="shared" si="16"/>
        <v>0</v>
      </c>
      <c r="F55" s="219">
        <f t="shared" si="16"/>
        <v>0</v>
      </c>
      <c r="G55" s="219">
        <f t="shared" si="16"/>
        <v>0</v>
      </c>
      <c r="H55" s="220">
        <f t="shared" si="16"/>
        <v>0</v>
      </c>
      <c r="I55" s="86">
        <f>SUM(B55:H55)</f>
        <v>0</v>
      </c>
    </row>
    <row r="56" spans="1:9" ht="15.75" thickBot="1" x14ac:dyDescent="0.3">
      <c r="A56" s="23"/>
      <c r="B56" s="23"/>
      <c r="C56" s="23"/>
      <c r="E56" s="23"/>
      <c r="I56" s="23"/>
    </row>
    <row r="57" spans="1:9" x14ac:dyDescent="0.25">
      <c r="A57" s="213">
        <v>0</v>
      </c>
      <c r="B57" s="79">
        <v>1</v>
      </c>
      <c r="C57" s="80">
        <v>1</v>
      </c>
      <c r="D57" s="80">
        <v>1</v>
      </c>
      <c r="E57" s="80">
        <v>1</v>
      </c>
      <c r="F57" s="80">
        <v>1</v>
      </c>
      <c r="G57" s="80"/>
      <c r="H57" s="81"/>
      <c r="I57" s="23"/>
    </row>
    <row r="58" spans="1:9" x14ac:dyDescent="0.25">
      <c r="A58" s="214">
        <v>0</v>
      </c>
      <c r="B58" s="63"/>
      <c r="C58" s="2">
        <v>1</v>
      </c>
      <c r="D58" s="2">
        <v>1</v>
      </c>
      <c r="E58" s="2">
        <v>1</v>
      </c>
      <c r="F58" s="2">
        <v>1</v>
      </c>
      <c r="G58" s="2">
        <v>1</v>
      </c>
      <c r="H58" s="57"/>
      <c r="I58" s="23"/>
    </row>
    <row r="59" spans="1:9" x14ac:dyDescent="0.25">
      <c r="A59" s="214">
        <v>0</v>
      </c>
      <c r="B59" s="63"/>
      <c r="C59" s="2"/>
      <c r="D59" s="2">
        <v>1</v>
      </c>
      <c r="E59" s="2">
        <v>1</v>
      </c>
      <c r="F59" s="2">
        <v>1</v>
      </c>
      <c r="G59" s="2">
        <v>1</v>
      </c>
      <c r="H59" s="57">
        <v>1</v>
      </c>
      <c r="I59" s="23"/>
    </row>
    <row r="60" spans="1:9" x14ac:dyDescent="0.25">
      <c r="A60" s="214">
        <v>0</v>
      </c>
      <c r="B60" s="63">
        <v>1</v>
      </c>
      <c r="C60" s="2"/>
      <c r="D60" s="2"/>
      <c r="E60" s="2">
        <v>1</v>
      </c>
      <c r="F60" s="2">
        <v>1</v>
      </c>
      <c r="G60" s="2">
        <v>1</v>
      </c>
      <c r="H60" s="57">
        <v>1</v>
      </c>
      <c r="I60" s="23"/>
    </row>
    <row r="61" spans="1:9" x14ac:dyDescent="0.25">
      <c r="A61" s="214">
        <v>0</v>
      </c>
      <c r="B61" s="63">
        <v>1</v>
      </c>
      <c r="C61" s="2">
        <v>1</v>
      </c>
      <c r="D61" s="2"/>
      <c r="E61" s="2"/>
      <c r="F61" s="2">
        <v>1</v>
      </c>
      <c r="G61" s="2">
        <v>1</v>
      </c>
      <c r="H61" s="57">
        <v>1</v>
      </c>
      <c r="I61" s="23"/>
    </row>
    <row r="62" spans="1:9" x14ac:dyDescent="0.25">
      <c r="A62" s="214">
        <v>0</v>
      </c>
      <c r="B62" s="63">
        <v>1</v>
      </c>
      <c r="C62" s="2">
        <v>1</v>
      </c>
      <c r="D62" s="2">
        <v>1</v>
      </c>
      <c r="E62" s="2"/>
      <c r="F62" s="2"/>
      <c r="G62" s="2">
        <v>1</v>
      </c>
      <c r="H62" s="57">
        <v>1</v>
      </c>
      <c r="I62" s="23"/>
    </row>
    <row r="63" spans="1:9" ht="15.75" thickBot="1" x14ac:dyDescent="0.3">
      <c r="A63" s="86">
        <v>0</v>
      </c>
      <c r="B63" s="64">
        <v>1</v>
      </c>
      <c r="C63" s="60">
        <v>1</v>
      </c>
      <c r="D63" s="60">
        <v>1</v>
      </c>
      <c r="E63" s="60">
        <v>1</v>
      </c>
      <c r="F63" s="60"/>
      <c r="G63" s="60"/>
      <c r="H63" s="61">
        <v>1</v>
      </c>
      <c r="I63" s="23"/>
    </row>
    <row r="64" spans="1:9" x14ac:dyDescent="0.25">
      <c r="A64" s="23"/>
      <c r="B64" s="23"/>
      <c r="C64" s="23"/>
      <c r="E64" s="23"/>
      <c r="I64" s="23"/>
    </row>
    <row r="65" spans="1:9" x14ac:dyDescent="0.25">
      <c r="A65" s="23"/>
      <c r="B65" s="2">
        <f t="shared" ref="B65:H65" si="17">B54*0.85</f>
        <v>0</v>
      </c>
      <c r="C65" s="2">
        <f t="shared" si="17"/>
        <v>0</v>
      </c>
      <c r="D65" s="2">
        <f t="shared" si="17"/>
        <v>0</v>
      </c>
      <c r="E65" s="2">
        <f t="shared" si="17"/>
        <v>0</v>
      </c>
      <c r="F65" s="2">
        <f t="shared" si="17"/>
        <v>0</v>
      </c>
      <c r="G65" s="2">
        <f t="shared" si="17"/>
        <v>0</v>
      </c>
      <c r="H65" s="2">
        <f t="shared" si="17"/>
        <v>0</v>
      </c>
      <c r="I65" s="23"/>
    </row>
  </sheetData>
  <mergeCells count="14">
    <mergeCell ref="C1:I1"/>
    <mergeCell ref="B25:I25"/>
    <mergeCell ref="B41:I41"/>
    <mergeCell ref="B52:I52"/>
    <mergeCell ref="A3:B4"/>
    <mergeCell ref="A5:B5"/>
    <mergeCell ref="A1:B2"/>
    <mergeCell ref="C23:I23"/>
    <mergeCell ref="A6:B12"/>
    <mergeCell ref="A13:B19"/>
    <mergeCell ref="A20:B20"/>
    <mergeCell ref="A21:B21"/>
    <mergeCell ref="A22:B22"/>
    <mergeCell ref="A23:B23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C00000"/>
  </sheetPr>
  <dimension ref="A1:Q84"/>
  <sheetViews>
    <sheetView topLeftCell="A55" workbookViewId="0">
      <selection activeCell="A30" sqref="A30:Q59"/>
    </sheetView>
  </sheetViews>
  <sheetFormatPr defaultRowHeight="15" x14ac:dyDescent="0.25"/>
  <cols>
    <col min="1" max="16384" width="9.140625" style="221"/>
  </cols>
  <sheetData>
    <row r="1" spans="1:17" ht="15" customHeight="1" x14ac:dyDescent="0.25">
      <c r="A1" s="398" t="s">
        <v>72</v>
      </c>
      <c r="B1" s="398"/>
      <c r="C1" s="398"/>
      <c r="D1" s="398"/>
      <c r="E1" s="398"/>
      <c r="F1" s="398"/>
      <c r="G1" s="398"/>
      <c r="H1" s="398"/>
      <c r="I1" s="398"/>
      <c r="J1" s="398"/>
      <c r="K1" s="398"/>
      <c r="L1" s="398"/>
      <c r="M1" s="398"/>
      <c r="N1" s="398"/>
      <c r="O1" s="398"/>
      <c r="P1" s="398"/>
      <c r="Q1" s="398"/>
    </row>
    <row r="2" spans="1:17" ht="15" customHeight="1" x14ac:dyDescent="0.25">
      <c r="A2" s="402" t="s">
        <v>73</v>
      </c>
      <c r="B2" s="403"/>
      <c r="C2" s="403"/>
      <c r="D2" s="403"/>
      <c r="E2" s="403"/>
      <c r="F2" s="403"/>
      <c r="G2" s="403"/>
      <c r="H2" s="403"/>
      <c r="I2" s="403"/>
      <c r="J2" s="403"/>
      <c r="K2" s="403"/>
      <c r="L2" s="403"/>
      <c r="M2" s="403"/>
      <c r="N2" s="403"/>
      <c r="O2" s="403"/>
      <c r="P2" s="403"/>
      <c r="Q2" s="404"/>
    </row>
    <row r="3" spans="1:17" x14ac:dyDescent="0.25">
      <c r="A3" s="405"/>
      <c r="B3" s="406"/>
      <c r="C3" s="406"/>
      <c r="D3" s="406"/>
      <c r="E3" s="406"/>
      <c r="F3" s="406"/>
      <c r="G3" s="406"/>
      <c r="H3" s="406"/>
      <c r="I3" s="406"/>
      <c r="J3" s="406"/>
      <c r="K3" s="406"/>
      <c r="L3" s="406"/>
      <c r="M3" s="406"/>
      <c r="N3" s="406"/>
      <c r="O3" s="406"/>
      <c r="P3" s="406"/>
      <c r="Q3" s="407"/>
    </row>
    <row r="4" spans="1:17" x14ac:dyDescent="0.25">
      <c r="A4" s="405"/>
      <c r="B4" s="406"/>
      <c r="C4" s="406"/>
      <c r="D4" s="406"/>
      <c r="E4" s="406"/>
      <c r="F4" s="406"/>
      <c r="G4" s="406"/>
      <c r="H4" s="406"/>
      <c r="I4" s="406"/>
      <c r="J4" s="406"/>
      <c r="K4" s="406"/>
      <c r="L4" s="406"/>
      <c r="M4" s="406"/>
      <c r="N4" s="406"/>
      <c r="O4" s="406"/>
      <c r="P4" s="406"/>
      <c r="Q4" s="407"/>
    </row>
    <row r="5" spans="1:17" x14ac:dyDescent="0.25">
      <c r="A5" s="405"/>
      <c r="B5" s="406"/>
      <c r="C5" s="406"/>
      <c r="D5" s="406"/>
      <c r="E5" s="406"/>
      <c r="F5" s="406"/>
      <c r="G5" s="406"/>
      <c r="H5" s="406"/>
      <c r="I5" s="406"/>
      <c r="J5" s="406"/>
      <c r="K5" s="406"/>
      <c r="L5" s="406"/>
      <c r="M5" s="406"/>
      <c r="N5" s="406"/>
      <c r="O5" s="406"/>
      <c r="P5" s="406"/>
      <c r="Q5" s="407"/>
    </row>
    <row r="6" spans="1:17" x14ac:dyDescent="0.25">
      <c r="A6" s="405"/>
      <c r="B6" s="406"/>
      <c r="C6" s="406"/>
      <c r="D6" s="406"/>
      <c r="E6" s="406"/>
      <c r="F6" s="406"/>
      <c r="G6" s="406"/>
      <c r="H6" s="406"/>
      <c r="I6" s="406"/>
      <c r="J6" s="406"/>
      <c r="K6" s="406"/>
      <c r="L6" s="406"/>
      <c r="M6" s="406"/>
      <c r="N6" s="406"/>
      <c r="O6" s="406"/>
      <c r="P6" s="406"/>
      <c r="Q6" s="407"/>
    </row>
    <row r="7" spans="1:17" x14ac:dyDescent="0.25">
      <c r="A7" s="405"/>
      <c r="B7" s="406"/>
      <c r="C7" s="406"/>
      <c r="D7" s="406"/>
      <c r="E7" s="406"/>
      <c r="F7" s="406"/>
      <c r="G7" s="406"/>
      <c r="H7" s="406"/>
      <c r="I7" s="406"/>
      <c r="J7" s="406"/>
      <c r="K7" s="406"/>
      <c r="L7" s="406"/>
      <c r="M7" s="406"/>
      <c r="N7" s="406"/>
      <c r="O7" s="406"/>
      <c r="P7" s="406"/>
      <c r="Q7" s="407"/>
    </row>
    <row r="8" spans="1:17" x14ac:dyDescent="0.25">
      <c r="A8" s="405"/>
      <c r="B8" s="406"/>
      <c r="C8" s="406"/>
      <c r="D8" s="406"/>
      <c r="E8" s="406"/>
      <c r="F8" s="406"/>
      <c r="G8" s="406"/>
      <c r="H8" s="406"/>
      <c r="I8" s="406"/>
      <c r="J8" s="406"/>
      <c r="K8" s="406"/>
      <c r="L8" s="406"/>
      <c r="M8" s="406"/>
      <c r="N8" s="406"/>
      <c r="O8" s="406"/>
      <c r="P8" s="406"/>
      <c r="Q8" s="407"/>
    </row>
    <row r="9" spans="1:17" x14ac:dyDescent="0.25">
      <c r="A9" s="405"/>
      <c r="B9" s="406"/>
      <c r="C9" s="406"/>
      <c r="D9" s="406"/>
      <c r="E9" s="406"/>
      <c r="F9" s="406"/>
      <c r="G9" s="406"/>
      <c r="H9" s="406"/>
      <c r="I9" s="406"/>
      <c r="J9" s="406"/>
      <c r="K9" s="406"/>
      <c r="L9" s="406"/>
      <c r="M9" s="406"/>
      <c r="N9" s="406"/>
      <c r="O9" s="406"/>
      <c r="P9" s="406"/>
      <c r="Q9" s="407"/>
    </row>
    <row r="10" spans="1:17" x14ac:dyDescent="0.25">
      <c r="A10" s="408"/>
      <c r="B10" s="409"/>
      <c r="C10" s="409"/>
      <c r="D10" s="409"/>
      <c r="E10" s="409"/>
      <c r="F10" s="409"/>
      <c r="G10" s="409"/>
      <c r="H10" s="409"/>
      <c r="I10" s="409"/>
      <c r="J10" s="409"/>
      <c r="K10" s="409"/>
      <c r="L10" s="409"/>
      <c r="M10" s="409"/>
      <c r="N10" s="409"/>
      <c r="O10" s="409"/>
      <c r="P10" s="409"/>
      <c r="Q10" s="410"/>
    </row>
    <row r="11" spans="1:17" x14ac:dyDescent="0.25">
      <c r="A11" s="398" t="s">
        <v>74</v>
      </c>
      <c r="B11" s="398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8"/>
    </row>
    <row r="12" spans="1:17" ht="15" customHeight="1" x14ac:dyDescent="0.25">
      <c r="A12" s="399" t="s">
        <v>75</v>
      </c>
      <c r="B12" s="399"/>
      <c r="C12" s="399"/>
      <c r="D12" s="399"/>
      <c r="E12" s="399"/>
      <c r="F12" s="399"/>
      <c r="G12" s="399"/>
      <c r="H12" s="399"/>
      <c r="I12" s="399"/>
      <c r="J12" s="399"/>
      <c r="K12" s="399"/>
      <c r="L12" s="399"/>
      <c r="M12" s="399"/>
      <c r="N12" s="399"/>
      <c r="O12" s="399"/>
      <c r="P12" s="399"/>
      <c r="Q12" s="399"/>
    </row>
    <row r="13" spans="1:17" x14ac:dyDescent="0.25">
      <c r="A13" s="399"/>
      <c r="B13" s="399"/>
      <c r="C13" s="399"/>
      <c r="D13" s="399"/>
      <c r="E13" s="399"/>
      <c r="F13" s="399"/>
      <c r="G13" s="399"/>
      <c r="H13" s="399"/>
      <c r="I13" s="399"/>
      <c r="J13" s="399"/>
      <c r="K13" s="399"/>
      <c r="L13" s="399"/>
      <c r="M13" s="399"/>
      <c r="N13" s="399"/>
      <c r="O13" s="399"/>
      <c r="P13" s="399"/>
      <c r="Q13" s="399"/>
    </row>
    <row r="14" spans="1:17" x14ac:dyDescent="0.25">
      <c r="A14" s="399"/>
      <c r="B14" s="399"/>
      <c r="C14" s="399"/>
      <c r="D14" s="399"/>
      <c r="E14" s="399"/>
      <c r="F14" s="399"/>
      <c r="G14" s="399"/>
      <c r="H14" s="399"/>
      <c r="I14" s="399"/>
      <c r="J14" s="399"/>
      <c r="K14" s="399"/>
      <c r="L14" s="399"/>
      <c r="M14" s="399"/>
      <c r="N14" s="399"/>
      <c r="O14" s="399"/>
      <c r="P14" s="399"/>
      <c r="Q14" s="399"/>
    </row>
    <row r="15" spans="1:17" x14ac:dyDescent="0.25">
      <c r="A15" s="399"/>
      <c r="B15" s="399"/>
      <c r="C15" s="399"/>
      <c r="D15" s="399"/>
      <c r="E15" s="399"/>
      <c r="F15" s="399"/>
      <c r="G15" s="399"/>
      <c r="H15" s="399"/>
      <c r="I15" s="399"/>
      <c r="J15" s="399"/>
      <c r="K15" s="399"/>
      <c r="L15" s="399"/>
      <c r="M15" s="399"/>
      <c r="N15" s="399"/>
      <c r="O15" s="399"/>
      <c r="P15" s="399"/>
      <c r="Q15" s="399"/>
    </row>
    <row r="16" spans="1:17" x14ac:dyDescent="0.25">
      <c r="A16" s="399"/>
      <c r="B16" s="399"/>
      <c r="C16" s="399"/>
      <c r="D16" s="399"/>
      <c r="E16" s="399"/>
      <c r="F16" s="399"/>
      <c r="G16" s="399"/>
      <c r="H16" s="399"/>
      <c r="I16" s="399"/>
      <c r="J16" s="399"/>
      <c r="K16" s="399"/>
      <c r="L16" s="399"/>
      <c r="M16" s="399"/>
      <c r="N16" s="399"/>
      <c r="O16" s="399"/>
      <c r="P16" s="399"/>
      <c r="Q16" s="399"/>
    </row>
    <row r="17" spans="1:17" x14ac:dyDescent="0.25">
      <c r="A17" s="399"/>
      <c r="B17" s="399"/>
      <c r="C17" s="399"/>
      <c r="D17" s="399"/>
      <c r="E17" s="399"/>
      <c r="F17" s="399"/>
      <c r="G17" s="399"/>
      <c r="H17" s="399"/>
      <c r="I17" s="399"/>
      <c r="J17" s="399"/>
      <c r="K17" s="399"/>
      <c r="L17" s="399"/>
      <c r="M17" s="399"/>
      <c r="N17" s="399"/>
      <c r="O17" s="399"/>
      <c r="P17" s="399"/>
      <c r="Q17" s="399"/>
    </row>
    <row r="18" spans="1:17" x14ac:dyDescent="0.25">
      <c r="A18" s="399"/>
      <c r="B18" s="399"/>
      <c r="C18" s="399"/>
      <c r="D18" s="399"/>
      <c r="E18" s="399"/>
      <c r="F18" s="399"/>
      <c r="G18" s="399"/>
      <c r="H18" s="399"/>
      <c r="I18" s="399"/>
      <c r="J18" s="399"/>
      <c r="K18" s="399"/>
      <c r="L18" s="399"/>
      <c r="M18" s="399"/>
      <c r="N18" s="399"/>
      <c r="O18" s="399"/>
      <c r="P18" s="399"/>
      <c r="Q18" s="399"/>
    </row>
    <row r="19" spans="1:17" x14ac:dyDescent="0.25">
      <c r="A19" s="399"/>
      <c r="B19" s="399"/>
      <c r="C19" s="399"/>
      <c r="D19" s="399"/>
      <c r="E19" s="399"/>
      <c r="F19" s="399"/>
      <c r="G19" s="399"/>
      <c r="H19" s="399"/>
      <c r="I19" s="399"/>
      <c r="J19" s="399"/>
      <c r="K19" s="399"/>
      <c r="L19" s="399"/>
      <c r="M19" s="399"/>
      <c r="N19" s="399"/>
      <c r="O19" s="399"/>
      <c r="P19" s="399"/>
      <c r="Q19" s="399"/>
    </row>
    <row r="20" spans="1:17" x14ac:dyDescent="0.25">
      <c r="A20" s="399"/>
      <c r="B20" s="399"/>
      <c r="C20" s="399"/>
      <c r="D20" s="399"/>
      <c r="E20" s="399"/>
      <c r="F20" s="399"/>
      <c r="G20" s="399"/>
      <c r="H20" s="399"/>
      <c r="I20" s="399"/>
      <c r="J20" s="399"/>
      <c r="K20" s="399"/>
      <c r="L20" s="399"/>
      <c r="M20" s="399"/>
      <c r="N20" s="399"/>
      <c r="O20" s="399"/>
      <c r="P20" s="399"/>
      <c r="Q20" s="399"/>
    </row>
    <row r="21" spans="1:17" x14ac:dyDescent="0.25">
      <c r="A21" s="399"/>
      <c r="B21" s="399"/>
      <c r="C21" s="399"/>
      <c r="D21" s="399"/>
      <c r="E21" s="399"/>
      <c r="F21" s="399"/>
      <c r="G21" s="399"/>
      <c r="H21" s="399"/>
      <c r="I21" s="399"/>
      <c r="J21" s="399"/>
      <c r="K21" s="399"/>
      <c r="L21" s="399"/>
      <c r="M21" s="399"/>
      <c r="N21" s="399"/>
      <c r="O21" s="399"/>
      <c r="P21" s="399"/>
      <c r="Q21" s="399"/>
    </row>
    <row r="22" spans="1:17" x14ac:dyDescent="0.25">
      <c r="A22" s="399"/>
      <c r="B22" s="399"/>
      <c r="C22" s="399"/>
      <c r="D22" s="399"/>
      <c r="E22" s="399"/>
      <c r="F22" s="399"/>
      <c r="G22" s="399"/>
      <c r="H22" s="399"/>
      <c r="I22" s="399"/>
      <c r="J22" s="399"/>
      <c r="K22" s="399"/>
      <c r="L22" s="399"/>
      <c r="M22" s="399"/>
      <c r="N22" s="399"/>
      <c r="O22" s="399"/>
      <c r="P22" s="399"/>
      <c r="Q22" s="399"/>
    </row>
    <row r="23" spans="1:17" x14ac:dyDescent="0.25">
      <c r="A23" s="399"/>
      <c r="B23" s="399"/>
      <c r="C23" s="399"/>
      <c r="D23" s="399"/>
      <c r="E23" s="399"/>
      <c r="F23" s="399"/>
      <c r="G23" s="399"/>
      <c r="H23" s="399"/>
      <c r="I23" s="399"/>
      <c r="J23" s="399"/>
      <c r="K23" s="399"/>
      <c r="L23" s="399"/>
      <c r="M23" s="399"/>
      <c r="N23" s="399"/>
      <c r="O23" s="399"/>
      <c r="P23" s="399"/>
      <c r="Q23" s="399"/>
    </row>
    <row r="24" spans="1:17" x14ac:dyDescent="0.25">
      <c r="A24" s="399"/>
      <c r="B24" s="399"/>
      <c r="C24" s="399"/>
      <c r="D24" s="399"/>
      <c r="E24" s="399"/>
      <c r="F24" s="399"/>
      <c r="G24" s="399"/>
      <c r="H24" s="399"/>
      <c r="I24" s="399"/>
      <c r="J24" s="399"/>
      <c r="K24" s="399"/>
      <c r="L24" s="399"/>
      <c r="M24" s="399"/>
      <c r="N24" s="399"/>
      <c r="O24" s="399"/>
      <c r="P24" s="399"/>
      <c r="Q24" s="399"/>
    </row>
    <row r="25" spans="1:17" x14ac:dyDescent="0.25">
      <c r="A25" s="399"/>
      <c r="B25" s="399"/>
      <c r="C25" s="399"/>
      <c r="D25" s="399"/>
      <c r="E25" s="399"/>
      <c r="F25" s="399"/>
      <c r="G25" s="399"/>
      <c r="H25" s="399"/>
      <c r="I25" s="399"/>
      <c r="J25" s="399"/>
      <c r="K25" s="399"/>
      <c r="L25" s="399"/>
      <c r="M25" s="399"/>
      <c r="N25" s="399"/>
      <c r="O25" s="399"/>
      <c r="P25" s="399"/>
      <c r="Q25" s="399"/>
    </row>
    <row r="26" spans="1:17" x14ac:dyDescent="0.25">
      <c r="A26" s="399"/>
      <c r="B26" s="399"/>
      <c r="C26" s="399"/>
      <c r="D26" s="399"/>
      <c r="E26" s="399"/>
      <c r="F26" s="399"/>
      <c r="G26" s="399"/>
      <c r="H26" s="399"/>
      <c r="I26" s="399"/>
      <c r="J26" s="399"/>
      <c r="K26" s="399"/>
      <c r="L26" s="399"/>
      <c r="M26" s="399"/>
      <c r="N26" s="399"/>
      <c r="O26" s="399"/>
      <c r="P26" s="399"/>
      <c r="Q26" s="399"/>
    </row>
    <row r="27" spans="1:17" x14ac:dyDescent="0.25">
      <c r="A27" s="399"/>
      <c r="B27" s="399"/>
      <c r="C27" s="399"/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</row>
    <row r="28" spans="1:17" x14ac:dyDescent="0.25">
      <c r="A28" s="399"/>
      <c r="B28" s="399"/>
      <c r="C28" s="399"/>
      <c r="D28" s="399"/>
      <c r="E28" s="399"/>
      <c r="F28" s="399"/>
      <c r="G28" s="399"/>
      <c r="H28" s="399"/>
      <c r="I28" s="399"/>
      <c r="J28" s="399"/>
      <c r="K28" s="399"/>
      <c r="L28" s="399"/>
      <c r="M28" s="399"/>
      <c r="N28" s="399"/>
      <c r="O28" s="399"/>
      <c r="P28" s="399"/>
      <c r="Q28" s="399"/>
    </row>
    <row r="29" spans="1:17" x14ac:dyDescent="0.25">
      <c r="A29" s="398" t="s">
        <v>76</v>
      </c>
      <c r="B29" s="398"/>
      <c r="C29" s="398"/>
      <c r="D29" s="398"/>
      <c r="E29" s="398"/>
      <c r="F29" s="398"/>
      <c r="G29" s="398"/>
      <c r="H29" s="398"/>
      <c r="I29" s="398"/>
      <c r="J29" s="398"/>
      <c r="K29" s="398"/>
      <c r="L29" s="398"/>
      <c r="M29" s="398"/>
      <c r="N29" s="398"/>
      <c r="O29" s="398"/>
      <c r="P29" s="398"/>
      <c r="Q29" s="398"/>
    </row>
    <row r="30" spans="1:17" ht="15" customHeight="1" x14ac:dyDescent="0.25">
      <c r="A30" s="399" t="s">
        <v>77</v>
      </c>
      <c r="B30" s="399"/>
      <c r="C30" s="399"/>
      <c r="D30" s="399"/>
      <c r="E30" s="399"/>
      <c r="F30" s="399"/>
      <c r="G30" s="399"/>
      <c r="H30" s="399"/>
      <c r="I30" s="399"/>
      <c r="J30" s="399"/>
      <c r="K30" s="399"/>
      <c r="L30" s="399"/>
      <c r="M30" s="399"/>
      <c r="N30" s="399"/>
      <c r="O30" s="399"/>
      <c r="P30" s="399"/>
      <c r="Q30" s="399"/>
    </row>
    <row r="31" spans="1:17" x14ac:dyDescent="0.25">
      <c r="A31" s="399"/>
      <c r="B31" s="399"/>
      <c r="C31" s="399"/>
      <c r="D31" s="399"/>
      <c r="E31" s="399"/>
      <c r="F31" s="399"/>
      <c r="G31" s="399"/>
      <c r="H31" s="399"/>
      <c r="I31" s="399"/>
      <c r="J31" s="399"/>
      <c r="K31" s="399"/>
      <c r="L31" s="399"/>
      <c r="M31" s="399"/>
      <c r="N31" s="399"/>
      <c r="O31" s="399"/>
      <c r="P31" s="399"/>
      <c r="Q31" s="399"/>
    </row>
    <row r="32" spans="1:17" x14ac:dyDescent="0.25">
      <c r="A32" s="399"/>
      <c r="B32" s="399"/>
      <c r="C32" s="399"/>
      <c r="D32" s="399"/>
      <c r="E32" s="399"/>
      <c r="F32" s="399"/>
      <c r="G32" s="399"/>
      <c r="H32" s="399"/>
      <c r="I32" s="399"/>
      <c r="J32" s="399"/>
      <c r="K32" s="399"/>
      <c r="L32" s="399"/>
      <c r="M32" s="399"/>
      <c r="N32" s="399"/>
      <c r="O32" s="399"/>
      <c r="P32" s="399"/>
      <c r="Q32" s="399"/>
    </row>
    <row r="33" spans="1:17" x14ac:dyDescent="0.25">
      <c r="A33" s="399"/>
      <c r="B33" s="399"/>
      <c r="C33" s="399"/>
      <c r="D33" s="399"/>
      <c r="E33" s="399"/>
      <c r="F33" s="399"/>
      <c r="G33" s="399"/>
      <c r="H33" s="399"/>
      <c r="I33" s="399"/>
      <c r="J33" s="399"/>
      <c r="K33" s="399"/>
      <c r="L33" s="399"/>
      <c r="M33" s="399"/>
      <c r="N33" s="399"/>
      <c r="O33" s="399"/>
      <c r="P33" s="399"/>
      <c r="Q33" s="399"/>
    </row>
    <row r="34" spans="1:17" x14ac:dyDescent="0.25">
      <c r="A34" s="399"/>
      <c r="B34" s="399"/>
      <c r="C34" s="399"/>
      <c r="D34" s="399"/>
      <c r="E34" s="399"/>
      <c r="F34" s="399"/>
      <c r="G34" s="399"/>
      <c r="H34" s="399"/>
      <c r="I34" s="399"/>
      <c r="J34" s="399"/>
      <c r="K34" s="399"/>
      <c r="L34" s="399"/>
      <c r="M34" s="399"/>
      <c r="N34" s="399"/>
      <c r="O34" s="399"/>
      <c r="P34" s="399"/>
      <c r="Q34" s="399"/>
    </row>
    <row r="35" spans="1:17" x14ac:dyDescent="0.25">
      <c r="A35" s="399"/>
      <c r="B35" s="399"/>
      <c r="C35" s="399"/>
      <c r="D35" s="399"/>
      <c r="E35" s="399"/>
      <c r="F35" s="399"/>
      <c r="G35" s="399"/>
      <c r="H35" s="399"/>
      <c r="I35" s="399"/>
      <c r="J35" s="399"/>
      <c r="K35" s="399"/>
      <c r="L35" s="399"/>
      <c r="M35" s="399"/>
      <c r="N35" s="399"/>
      <c r="O35" s="399"/>
      <c r="P35" s="399"/>
      <c r="Q35" s="399"/>
    </row>
    <row r="36" spans="1:17" x14ac:dyDescent="0.25">
      <c r="A36" s="399"/>
      <c r="B36" s="399"/>
      <c r="C36" s="399"/>
      <c r="D36" s="399"/>
      <c r="E36" s="399"/>
      <c r="F36" s="399"/>
      <c r="G36" s="399"/>
      <c r="H36" s="399"/>
      <c r="I36" s="399"/>
      <c r="J36" s="399"/>
      <c r="K36" s="399"/>
      <c r="L36" s="399"/>
      <c r="M36" s="399"/>
      <c r="N36" s="399"/>
      <c r="O36" s="399"/>
      <c r="P36" s="399"/>
      <c r="Q36" s="399"/>
    </row>
    <row r="37" spans="1:17" x14ac:dyDescent="0.25">
      <c r="A37" s="399"/>
      <c r="B37" s="399"/>
      <c r="C37" s="399"/>
      <c r="D37" s="399"/>
      <c r="E37" s="399"/>
      <c r="F37" s="399"/>
      <c r="G37" s="399"/>
      <c r="H37" s="399"/>
      <c r="I37" s="399"/>
      <c r="J37" s="399"/>
      <c r="K37" s="399"/>
      <c r="L37" s="399"/>
      <c r="M37" s="399"/>
      <c r="N37" s="399"/>
      <c r="O37" s="399"/>
      <c r="P37" s="399"/>
      <c r="Q37" s="399"/>
    </row>
    <row r="38" spans="1:17" x14ac:dyDescent="0.25">
      <c r="A38" s="399"/>
      <c r="B38" s="399"/>
      <c r="C38" s="399"/>
      <c r="D38" s="399"/>
      <c r="E38" s="399"/>
      <c r="F38" s="399"/>
      <c r="G38" s="399"/>
      <c r="H38" s="399"/>
      <c r="I38" s="399"/>
      <c r="J38" s="399"/>
      <c r="K38" s="399"/>
      <c r="L38" s="399"/>
      <c r="M38" s="399"/>
      <c r="N38" s="399"/>
      <c r="O38" s="399"/>
      <c r="P38" s="399"/>
      <c r="Q38" s="399"/>
    </row>
    <row r="39" spans="1:17" x14ac:dyDescent="0.25">
      <c r="A39" s="399"/>
      <c r="B39" s="399"/>
      <c r="C39" s="399"/>
      <c r="D39" s="399"/>
      <c r="E39" s="399"/>
      <c r="F39" s="399"/>
      <c r="G39" s="399"/>
      <c r="H39" s="399"/>
      <c r="I39" s="399"/>
      <c r="J39" s="399"/>
      <c r="K39" s="399"/>
      <c r="L39" s="399"/>
      <c r="M39" s="399"/>
      <c r="N39" s="399"/>
      <c r="O39" s="399"/>
      <c r="P39" s="399"/>
      <c r="Q39" s="399"/>
    </row>
    <row r="40" spans="1:17" x14ac:dyDescent="0.25">
      <c r="A40" s="399"/>
      <c r="B40" s="399"/>
      <c r="C40" s="399"/>
      <c r="D40" s="399"/>
      <c r="E40" s="399"/>
      <c r="F40" s="399"/>
      <c r="G40" s="399"/>
      <c r="H40" s="399"/>
      <c r="I40" s="399"/>
      <c r="J40" s="399"/>
      <c r="K40" s="399"/>
      <c r="L40" s="399"/>
      <c r="M40" s="399"/>
      <c r="N40" s="399"/>
      <c r="O40" s="399"/>
      <c r="P40" s="399"/>
      <c r="Q40" s="399"/>
    </row>
    <row r="41" spans="1:17" x14ac:dyDescent="0.25">
      <c r="A41" s="399"/>
      <c r="B41" s="399"/>
      <c r="C41" s="399"/>
      <c r="D41" s="399"/>
      <c r="E41" s="399"/>
      <c r="F41" s="399"/>
      <c r="G41" s="399"/>
      <c r="H41" s="399"/>
      <c r="I41" s="399"/>
      <c r="J41" s="399"/>
      <c r="K41" s="399"/>
      <c r="L41" s="399"/>
      <c r="M41" s="399"/>
      <c r="N41" s="399"/>
      <c r="O41" s="399"/>
      <c r="P41" s="399"/>
      <c r="Q41" s="399"/>
    </row>
    <row r="42" spans="1:17" x14ac:dyDescent="0.25">
      <c r="A42" s="399"/>
      <c r="B42" s="399"/>
      <c r="C42" s="399"/>
      <c r="D42" s="399"/>
      <c r="E42" s="399"/>
      <c r="F42" s="399"/>
      <c r="G42" s="399"/>
      <c r="H42" s="399"/>
      <c r="I42" s="399"/>
      <c r="J42" s="399"/>
      <c r="K42" s="399"/>
      <c r="L42" s="399"/>
      <c r="M42" s="399"/>
      <c r="N42" s="399"/>
      <c r="O42" s="399"/>
      <c r="P42" s="399"/>
      <c r="Q42" s="399"/>
    </row>
    <row r="43" spans="1:17" x14ac:dyDescent="0.25">
      <c r="A43" s="399"/>
      <c r="B43" s="399"/>
      <c r="C43" s="399"/>
      <c r="D43" s="399"/>
      <c r="E43" s="399"/>
      <c r="F43" s="399"/>
      <c r="G43" s="399"/>
      <c r="H43" s="399"/>
      <c r="I43" s="399"/>
      <c r="J43" s="399"/>
      <c r="K43" s="399"/>
      <c r="L43" s="399"/>
      <c r="M43" s="399"/>
      <c r="N43" s="399"/>
      <c r="O43" s="399"/>
      <c r="P43" s="399"/>
      <c r="Q43" s="399"/>
    </row>
    <row r="44" spans="1:17" x14ac:dyDescent="0.25">
      <c r="A44" s="399"/>
      <c r="B44" s="399"/>
      <c r="C44" s="399"/>
      <c r="D44" s="399"/>
      <c r="E44" s="399"/>
      <c r="F44" s="399"/>
      <c r="G44" s="399"/>
      <c r="H44" s="399"/>
      <c r="I44" s="399"/>
      <c r="J44" s="399"/>
      <c r="K44" s="399"/>
      <c r="L44" s="399"/>
      <c r="M44" s="399"/>
      <c r="N44" s="399"/>
      <c r="O44" s="399"/>
      <c r="P44" s="399"/>
      <c r="Q44" s="399"/>
    </row>
    <row r="45" spans="1:17" x14ac:dyDescent="0.25">
      <c r="A45" s="399"/>
      <c r="B45" s="399"/>
      <c r="C45" s="399"/>
      <c r="D45" s="399"/>
      <c r="E45" s="399"/>
      <c r="F45" s="399"/>
      <c r="G45" s="399"/>
      <c r="H45" s="399"/>
      <c r="I45" s="399"/>
      <c r="J45" s="399"/>
      <c r="K45" s="399"/>
      <c r="L45" s="399"/>
      <c r="M45" s="399"/>
      <c r="N45" s="399"/>
      <c r="O45" s="399"/>
      <c r="P45" s="399"/>
      <c r="Q45" s="399"/>
    </row>
    <row r="46" spans="1:17" x14ac:dyDescent="0.25">
      <c r="A46" s="399"/>
      <c r="B46" s="399"/>
      <c r="C46" s="399"/>
      <c r="D46" s="399"/>
      <c r="E46" s="399"/>
      <c r="F46" s="399"/>
      <c r="G46" s="399"/>
      <c r="H46" s="399"/>
      <c r="I46" s="399"/>
      <c r="J46" s="399"/>
      <c r="K46" s="399"/>
      <c r="L46" s="399"/>
      <c r="M46" s="399"/>
      <c r="N46" s="399"/>
      <c r="O46" s="399"/>
      <c r="P46" s="399"/>
      <c r="Q46" s="399"/>
    </row>
    <row r="47" spans="1:17" x14ac:dyDescent="0.25">
      <c r="A47" s="399"/>
      <c r="B47" s="399"/>
      <c r="C47" s="399"/>
      <c r="D47" s="399"/>
      <c r="E47" s="399"/>
      <c r="F47" s="399"/>
      <c r="G47" s="399"/>
      <c r="H47" s="399"/>
      <c r="I47" s="399"/>
      <c r="J47" s="399"/>
      <c r="K47" s="399"/>
      <c r="L47" s="399"/>
      <c r="M47" s="399"/>
      <c r="N47" s="399"/>
      <c r="O47" s="399"/>
      <c r="P47" s="399"/>
      <c r="Q47" s="399"/>
    </row>
    <row r="48" spans="1:17" x14ac:dyDescent="0.25">
      <c r="A48" s="399"/>
      <c r="B48" s="399"/>
      <c r="C48" s="399"/>
      <c r="D48" s="399"/>
      <c r="E48" s="399"/>
      <c r="F48" s="399"/>
      <c r="G48" s="399"/>
      <c r="H48" s="399"/>
      <c r="I48" s="399"/>
      <c r="J48" s="399"/>
      <c r="K48" s="399"/>
      <c r="L48" s="399"/>
      <c r="M48" s="399"/>
      <c r="N48" s="399"/>
      <c r="O48" s="399"/>
      <c r="P48" s="399"/>
      <c r="Q48" s="399"/>
    </row>
    <row r="49" spans="1:17" x14ac:dyDescent="0.25">
      <c r="A49" s="399"/>
      <c r="B49" s="399"/>
      <c r="C49" s="399"/>
      <c r="D49" s="399"/>
      <c r="E49" s="399"/>
      <c r="F49" s="399"/>
      <c r="G49" s="399"/>
      <c r="H49" s="399"/>
      <c r="I49" s="399"/>
      <c r="J49" s="399"/>
      <c r="K49" s="399"/>
      <c r="L49" s="399"/>
      <c r="M49" s="399"/>
      <c r="N49" s="399"/>
      <c r="O49" s="399"/>
      <c r="P49" s="399"/>
      <c r="Q49" s="399"/>
    </row>
    <row r="50" spans="1:17" x14ac:dyDescent="0.25">
      <c r="A50" s="399"/>
      <c r="B50" s="399"/>
      <c r="C50" s="399"/>
      <c r="D50" s="399"/>
      <c r="E50" s="399"/>
      <c r="F50" s="399"/>
      <c r="G50" s="399"/>
      <c r="H50" s="399"/>
      <c r="I50" s="399"/>
      <c r="J50" s="399"/>
      <c r="K50" s="399"/>
      <c r="L50" s="399"/>
      <c r="M50" s="399"/>
      <c r="N50" s="399"/>
      <c r="O50" s="399"/>
      <c r="P50" s="399"/>
      <c r="Q50" s="399"/>
    </row>
    <row r="51" spans="1:17" x14ac:dyDescent="0.25">
      <c r="A51" s="399"/>
      <c r="B51" s="399"/>
      <c r="C51" s="399"/>
      <c r="D51" s="399"/>
      <c r="E51" s="399"/>
      <c r="F51" s="399"/>
      <c r="G51" s="399"/>
      <c r="H51" s="399"/>
      <c r="I51" s="399"/>
      <c r="J51" s="399"/>
      <c r="K51" s="399"/>
      <c r="L51" s="399"/>
      <c r="M51" s="399"/>
      <c r="N51" s="399"/>
      <c r="O51" s="399"/>
      <c r="P51" s="399"/>
      <c r="Q51" s="399"/>
    </row>
    <row r="52" spans="1:17" x14ac:dyDescent="0.25">
      <c r="A52" s="399"/>
      <c r="B52" s="399"/>
      <c r="C52" s="399"/>
      <c r="D52" s="399"/>
      <c r="E52" s="399"/>
      <c r="F52" s="399"/>
      <c r="G52" s="399"/>
      <c r="H52" s="399"/>
      <c r="I52" s="399"/>
      <c r="J52" s="399"/>
      <c r="K52" s="399"/>
      <c r="L52" s="399"/>
      <c r="M52" s="399"/>
      <c r="N52" s="399"/>
      <c r="O52" s="399"/>
      <c r="P52" s="399"/>
      <c r="Q52" s="399"/>
    </row>
    <row r="53" spans="1:17" x14ac:dyDescent="0.25">
      <c r="A53" s="399"/>
      <c r="B53" s="399"/>
      <c r="C53" s="399"/>
      <c r="D53" s="399"/>
      <c r="E53" s="399"/>
      <c r="F53" s="399"/>
      <c r="G53" s="399"/>
      <c r="H53" s="399"/>
      <c r="I53" s="399"/>
      <c r="J53" s="399"/>
      <c r="K53" s="399"/>
      <c r="L53" s="399"/>
      <c r="M53" s="399"/>
      <c r="N53" s="399"/>
      <c r="O53" s="399"/>
      <c r="P53" s="399"/>
      <c r="Q53" s="399"/>
    </row>
    <row r="54" spans="1:17" x14ac:dyDescent="0.25">
      <c r="A54" s="399"/>
      <c r="B54" s="399"/>
      <c r="C54" s="399"/>
      <c r="D54" s="399"/>
      <c r="E54" s="399"/>
      <c r="F54" s="399"/>
      <c r="G54" s="399"/>
      <c r="H54" s="399"/>
      <c r="I54" s="399"/>
      <c r="J54" s="399"/>
      <c r="K54" s="399"/>
      <c r="L54" s="399"/>
      <c r="M54" s="399"/>
      <c r="N54" s="399"/>
      <c r="O54" s="399"/>
      <c r="P54" s="399"/>
      <c r="Q54" s="399"/>
    </row>
    <row r="55" spans="1:17" x14ac:dyDescent="0.25">
      <c r="A55" s="399"/>
      <c r="B55" s="399"/>
      <c r="C55" s="399"/>
      <c r="D55" s="399"/>
      <c r="E55" s="399"/>
      <c r="F55" s="399"/>
      <c r="G55" s="399"/>
      <c r="H55" s="399"/>
      <c r="I55" s="399"/>
      <c r="J55" s="399"/>
      <c r="K55" s="399"/>
      <c r="L55" s="399"/>
      <c r="M55" s="399"/>
      <c r="N55" s="399"/>
      <c r="O55" s="399"/>
      <c r="P55" s="399"/>
      <c r="Q55" s="399"/>
    </row>
    <row r="56" spans="1:17" x14ac:dyDescent="0.25">
      <c r="A56" s="399"/>
      <c r="B56" s="399"/>
      <c r="C56" s="399"/>
      <c r="D56" s="399"/>
      <c r="E56" s="399"/>
      <c r="F56" s="399"/>
      <c r="G56" s="399"/>
      <c r="H56" s="399"/>
      <c r="I56" s="399"/>
      <c r="J56" s="399"/>
      <c r="K56" s="399"/>
      <c r="L56" s="399"/>
      <c r="M56" s="399"/>
      <c r="N56" s="399"/>
      <c r="O56" s="399"/>
      <c r="P56" s="399"/>
      <c r="Q56" s="399"/>
    </row>
    <row r="57" spans="1:17" x14ac:dyDescent="0.25">
      <c r="A57" s="399"/>
      <c r="B57" s="399"/>
      <c r="C57" s="399"/>
      <c r="D57" s="399"/>
      <c r="E57" s="399"/>
      <c r="F57" s="399"/>
      <c r="G57" s="399"/>
      <c r="H57" s="399"/>
      <c r="I57" s="399"/>
      <c r="J57" s="399"/>
      <c r="K57" s="399"/>
      <c r="L57" s="399"/>
      <c r="M57" s="399"/>
      <c r="N57" s="399"/>
      <c r="O57" s="399"/>
      <c r="P57" s="399"/>
      <c r="Q57" s="399"/>
    </row>
    <row r="58" spans="1:17" x14ac:dyDescent="0.25">
      <c r="A58" s="399"/>
      <c r="B58" s="399"/>
      <c r="C58" s="399"/>
      <c r="D58" s="399"/>
      <c r="E58" s="399"/>
      <c r="F58" s="399"/>
      <c r="G58" s="399"/>
      <c r="H58" s="399"/>
      <c r="I58" s="399"/>
      <c r="J58" s="399"/>
      <c r="K58" s="399"/>
      <c r="L58" s="399"/>
      <c r="M58" s="399"/>
      <c r="N58" s="399"/>
      <c r="O58" s="399"/>
      <c r="P58" s="399"/>
      <c r="Q58" s="399"/>
    </row>
    <row r="59" spans="1:17" x14ac:dyDescent="0.25">
      <c r="A59" s="399"/>
      <c r="B59" s="399"/>
      <c r="C59" s="399"/>
      <c r="D59" s="399"/>
      <c r="E59" s="399"/>
      <c r="F59" s="399"/>
      <c r="G59" s="399"/>
      <c r="H59" s="399"/>
      <c r="I59" s="399"/>
      <c r="J59" s="399"/>
      <c r="K59" s="399"/>
      <c r="L59" s="399"/>
      <c r="M59" s="399"/>
      <c r="N59" s="399"/>
      <c r="O59" s="399"/>
      <c r="P59" s="399"/>
      <c r="Q59" s="399"/>
    </row>
    <row r="60" spans="1:17" x14ac:dyDescent="0.25">
      <c r="A60" s="398" t="s">
        <v>78</v>
      </c>
      <c r="B60" s="398"/>
      <c r="C60" s="398"/>
      <c r="D60" s="398"/>
      <c r="E60" s="398"/>
      <c r="F60" s="398"/>
      <c r="G60" s="398"/>
      <c r="H60" s="398"/>
      <c r="I60" s="398"/>
      <c r="J60" s="398"/>
      <c r="K60" s="398"/>
      <c r="L60" s="398"/>
      <c r="M60" s="398"/>
      <c r="N60" s="398"/>
      <c r="O60" s="398"/>
      <c r="P60" s="398"/>
      <c r="Q60" s="398"/>
    </row>
    <row r="61" spans="1:17" x14ac:dyDescent="0.25">
      <c r="A61" s="400" t="s">
        <v>79</v>
      </c>
      <c r="B61" s="400"/>
      <c r="C61" s="400"/>
      <c r="D61" s="400"/>
      <c r="E61" s="400"/>
      <c r="F61" s="400"/>
      <c r="G61" s="400"/>
      <c r="H61" s="400"/>
      <c r="I61" s="400"/>
      <c r="J61" s="400"/>
      <c r="K61" s="400"/>
      <c r="L61" s="400"/>
      <c r="M61" s="400"/>
      <c r="N61" s="400"/>
      <c r="O61" s="400"/>
      <c r="P61" s="400"/>
      <c r="Q61" s="400"/>
    </row>
    <row r="62" spans="1:17" x14ac:dyDescent="0.25">
      <c r="A62" s="401"/>
      <c r="B62" s="401"/>
      <c r="C62" s="401"/>
      <c r="D62" s="401"/>
      <c r="E62" s="401"/>
      <c r="F62" s="401"/>
      <c r="G62" s="401"/>
      <c r="H62" s="401"/>
      <c r="I62" s="401"/>
      <c r="J62" s="401"/>
      <c r="K62" s="401"/>
      <c r="L62" s="401"/>
      <c r="M62" s="401"/>
      <c r="N62" s="401"/>
      <c r="O62" s="401"/>
      <c r="P62" s="401"/>
      <c r="Q62" s="401"/>
    </row>
    <row r="63" spans="1:17" x14ac:dyDescent="0.25">
      <c r="A63" s="401"/>
      <c r="B63" s="401"/>
      <c r="C63" s="401"/>
      <c r="D63" s="401"/>
      <c r="E63" s="401"/>
      <c r="F63" s="401"/>
      <c r="G63" s="401"/>
      <c r="H63" s="401"/>
      <c r="I63" s="401"/>
      <c r="J63" s="401"/>
      <c r="K63" s="401"/>
      <c r="L63" s="401"/>
      <c r="M63" s="401"/>
      <c r="N63" s="401"/>
      <c r="O63" s="401"/>
      <c r="P63" s="401"/>
      <c r="Q63" s="401"/>
    </row>
    <row r="64" spans="1:17" x14ac:dyDescent="0.25">
      <c r="A64" s="401"/>
      <c r="B64" s="401"/>
      <c r="C64" s="401"/>
      <c r="D64" s="401"/>
      <c r="E64" s="401"/>
      <c r="F64" s="401"/>
      <c r="G64" s="401"/>
      <c r="H64" s="401"/>
      <c r="I64" s="401"/>
      <c r="J64" s="401"/>
      <c r="K64" s="401"/>
      <c r="L64" s="401"/>
      <c r="M64" s="401"/>
      <c r="N64" s="401"/>
      <c r="O64" s="401"/>
      <c r="P64" s="401"/>
      <c r="Q64" s="401"/>
    </row>
    <row r="65" spans="1:17" x14ac:dyDescent="0.25">
      <c r="A65" s="401"/>
      <c r="B65" s="401"/>
      <c r="C65" s="401"/>
      <c r="D65" s="401"/>
      <c r="E65" s="401"/>
      <c r="F65" s="401"/>
      <c r="G65" s="401"/>
      <c r="H65" s="401"/>
      <c r="I65" s="401"/>
      <c r="J65" s="401"/>
      <c r="K65" s="401"/>
      <c r="L65" s="401"/>
      <c r="M65" s="401"/>
      <c r="N65" s="401"/>
      <c r="O65" s="401"/>
      <c r="P65" s="401"/>
      <c r="Q65" s="401"/>
    </row>
    <row r="66" spans="1:17" x14ac:dyDescent="0.25">
      <c r="A66" s="401"/>
      <c r="B66" s="401"/>
      <c r="C66" s="401"/>
      <c r="D66" s="401"/>
      <c r="E66" s="401"/>
      <c r="F66" s="401"/>
      <c r="G66" s="401"/>
      <c r="H66" s="401"/>
      <c r="I66" s="401"/>
      <c r="J66" s="401"/>
      <c r="K66" s="401"/>
      <c r="L66" s="401"/>
      <c r="M66" s="401"/>
      <c r="N66" s="401"/>
      <c r="O66" s="401"/>
      <c r="P66" s="401"/>
      <c r="Q66" s="401"/>
    </row>
    <row r="67" spans="1:17" x14ac:dyDescent="0.25">
      <c r="A67" s="401"/>
      <c r="B67" s="401"/>
      <c r="C67" s="401"/>
      <c r="D67" s="401"/>
      <c r="E67" s="401"/>
      <c r="F67" s="401"/>
      <c r="G67" s="401"/>
      <c r="H67" s="401"/>
      <c r="I67" s="401"/>
      <c r="J67" s="401"/>
      <c r="K67" s="401"/>
      <c r="L67" s="401"/>
      <c r="M67" s="401"/>
      <c r="N67" s="401"/>
      <c r="O67" s="401"/>
      <c r="P67" s="401"/>
      <c r="Q67" s="401"/>
    </row>
    <row r="68" spans="1:17" x14ac:dyDescent="0.25">
      <c r="A68" s="401"/>
      <c r="B68" s="401"/>
      <c r="C68" s="401"/>
      <c r="D68" s="401"/>
      <c r="E68" s="401"/>
      <c r="F68" s="401"/>
      <c r="G68" s="401"/>
      <c r="H68" s="401"/>
      <c r="I68" s="401"/>
      <c r="J68" s="401"/>
      <c r="K68" s="401"/>
      <c r="L68" s="401"/>
      <c r="M68" s="401"/>
      <c r="N68" s="401"/>
      <c r="O68" s="401"/>
      <c r="P68" s="401"/>
      <c r="Q68" s="401"/>
    </row>
    <row r="69" spans="1:17" x14ac:dyDescent="0.25">
      <c r="A69" s="401"/>
      <c r="B69" s="401"/>
      <c r="C69" s="401"/>
      <c r="D69" s="401"/>
      <c r="E69" s="401"/>
      <c r="F69" s="401"/>
      <c r="G69" s="401"/>
      <c r="H69" s="401"/>
      <c r="I69" s="401"/>
      <c r="J69" s="401"/>
      <c r="K69" s="401"/>
      <c r="L69" s="401"/>
      <c r="M69" s="401"/>
      <c r="N69" s="401"/>
      <c r="O69" s="401"/>
      <c r="P69" s="401"/>
      <c r="Q69" s="401"/>
    </row>
    <row r="70" spans="1:17" x14ac:dyDescent="0.25">
      <c r="A70" s="401"/>
      <c r="B70" s="401"/>
      <c r="C70" s="401"/>
      <c r="D70" s="401"/>
      <c r="E70" s="401"/>
      <c r="F70" s="401"/>
      <c r="G70" s="401"/>
      <c r="H70" s="401"/>
      <c r="I70" s="401"/>
      <c r="J70" s="401"/>
      <c r="K70" s="401"/>
      <c r="L70" s="401"/>
      <c r="M70" s="401"/>
      <c r="N70" s="401"/>
      <c r="O70" s="401"/>
      <c r="P70" s="401"/>
      <c r="Q70" s="401"/>
    </row>
    <row r="71" spans="1:17" x14ac:dyDescent="0.25">
      <c r="A71" s="401"/>
      <c r="B71" s="401"/>
      <c r="C71" s="401"/>
      <c r="D71" s="401"/>
      <c r="E71" s="401"/>
      <c r="F71" s="401"/>
      <c r="G71" s="401"/>
      <c r="H71" s="401"/>
      <c r="I71" s="401"/>
      <c r="J71" s="401"/>
      <c r="K71" s="401"/>
      <c r="L71" s="401"/>
      <c r="M71" s="401"/>
      <c r="N71" s="401"/>
      <c r="O71" s="401"/>
      <c r="P71" s="401"/>
      <c r="Q71" s="401"/>
    </row>
    <row r="72" spans="1:17" x14ac:dyDescent="0.25">
      <c r="A72" s="401"/>
      <c r="B72" s="401"/>
      <c r="C72" s="401"/>
      <c r="D72" s="401"/>
      <c r="E72" s="401"/>
      <c r="F72" s="401"/>
      <c r="G72" s="401"/>
      <c r="H72" s="401"/>
      <c r="I72" s="401"/>
      <c r="J72" s="401"/>
      <c r="K72" s="401"/>
      <c r="L72" s="401"/>
      <c r="M72" s="401"/>
      <c r="N72" s="401"/>
      <c r="O72" s="401"/>
      <c r="P72" s="401"/>
      <c r="Q72" s="401"/>
    </row>
    <row r="73" spans="1:17" x14ac:dyDescent="0.25">
      <c r="A73" s="401"/>
      <c r="B73" s="401"/>
      <c r="C73" s="401"/>
      <c r="D73" s="401"/>
      <c r="E73" s="401"/>
      <c r="F73" s="401"/>
      <c r="G73" s="401"/>
      <c r="H73" s="401"/>
      <c r="I73" s="401"/>
      <c r="J73" s="401"/>
      <c r="K73" s="401"/>
      <c r="L73" s="401"/>
      <c r="M73" s="401"/>
      <c r="N73" s="401"/>
      <c r="O73" s="401"/>
      <c r="P73" s="401"/>
      <c r="Q73" s="401"/>
    </row>
    <row r="74" spans="1:17" x14ac:dyDescent="0.25">
      <c r="A74" s="401"/>
      <c r="B74" s="401"/>
      <c r="C74" s="401"/>
      <c r="D74" s="401"/>
      <c r="E74" s="401"/>
      <c r="F74" s="401"/>
      <c r="G74" s="401"/>
      <c r="H74" s="401"/>
      <c r="I74" s="401"/>
      <c r="J74" s="401"/>
      <c r="K74" s="401"/>
      <c r="L74" s="401"/>
      <c r="M74" s="401"/>
      <c r="N74" s="401"/>
      <c r="O74" s="401"/>
      <c r="P74" s="401"/>
      <c r="Q74" s="401"/>
    </row>
    <row r="75" spans="1:17" x14ac:dyDescent="0.25">
      <c r="A75" s="401"/>
      <c r="B75" s="401"/>
      <c r="C75" s="401"/>
      <c r="D75" s="401"/>
      <c r="E75" s="401"/>
      <c r="F75" s="401"/>
      <c r="G75" s="401"/>
      <c r="H75" s="401"/>
      <c r="I75" s="401"/>
      <c r="J75" s="401"/>
      <c r="K75" s="401"/>
      <c r="L75" s="401"/>
      <c r="M75" s="401"/>
      <c r="N75" s="401"/>
      <c r="O75" s="401"/>
      <c r="P75" s="401"/>
      <c r="Q75" s="401"/>
    </row>
    <row r="76" spans="1:17" x14ac:dyDescent="0.25">
      <c r="A76" s="401"/>
      <c r="B76" s="401"/>
      <c r="C76" s="401"/>
      <c r="D76" s="401"/>
      <c r="E76" s="401"/>
      <c r="F76" s="401"/>
      <c r="G76" s="401"/>
      <c r="H76" s="401"/>
      <c r="I76" s="401"/>
      <c r="J76" s="401"/>
      <c r="K76" s="401"/>
      <c r="L76" s="401"/>
      <c r="M76" s="401"/>
      <c r="N76" s="401"/>
      <c r="O76" s="401"/>
      <c r="P76" s="401"/>
      <c r="Q76" s="401"/>
    </row>
    <row r="77" spans="1:17" x14ac:dyDescent="0.25">
      <c r="A77" s="401"/>
      <c r="B77" s="401"/>
      <c r="C77" s="401"/>
      <c r="D77" s="401"/>
      <c r="E77" s="401"/>
      <c r="F77" s="401"/>
      <c r="G77" s="401"/>
      <c r="H77" s="401"/>
      <c r="I77" s="401"/>
      <c r="J77" s="401"/>
      <c r="K77" s="401"/>
      <c r="L77" s="401"/>
      <c r="M77" s="401"/>
      <c r="N77" s="401"/>
      <c r="O77" s="401"/>
      <c r="P77" s="401"/>
      <c r="Q77" s="401"/>
    </row>
    <row r="78" spans="1:17" x14ac:dyDescent="0.25">
      <c r="A78" s="401"/>
      <c r="B78" s="401"/>
      <c r="C78" s="401"/>
      <c r="D78" s="401"/>
      <c r="E78" s="401"/>
      <c r="F78" s="401"/>
      <c r="G78" s="401"/>
      <c r="H78" s="401"/>
      <c r="I78" s="401"/>
      <c r="J78" s="401"/>
      <c r="K78" s="401"/>
      <c r="L78" s="401"/>
      <c r="M78" s="401"/>
      <c r="N78" s="401"/>
      <c r="O78" s="401"/>
      <c r="P78" s="401"/>
      <c r="Q78" s="401"/>
    </row>
    <row r="79" spans="1:17" x14ac:dyDescent="0.25">
      <c r="A79" s="401"/>
      <c r="B79" s="401"/>
      <c r="C79" s="401"/>
      <c r="D79" s="401"/>
      <c r="E79" s="401"/>
      <c r="F79" s="401"/>
      <c r="G79" s="401"/>
      <c r="H79" s="401"/>
      <c r="I79" s="401"/>
      <c r="J79" s="401"/>
      <c r="K79" s="401"/>
      <c r="L79" s="401"/>
      <c r="M79" s="401"/>
      <c r="N79" s="401"/>
      <c r="O79" s="401"/>
      <c r="P79" s="401"/>
      <c r="Q79" s="401"/>
    </row>
    <row r="80" spans="1:17" x14ac:dyDescent="0.25">
      <c r="A80" s="401"/>
      <c r="B80" s="401"/>
      <c r="C80" s="401"/>
      <c r="D80" s="401"/>
      <c r="E80" s="401"/>
      <c r="F80" s="401"/>
      <c r="G80" s="401"/>
      <c r="H80" s="401"/>
      <c r="I80" s="401"/>
      <c r="J80" s="401"/>
      <c r="K80" s="401"/>
      <c r="L80" s="401"/>
      <c r="M80" s="401"/>
      <c r="N80" s="401"/>
      <c r="O80" s="401"/>
      <c r="P80" s="401"/>
      <c r="Q80" s="401"/>
    </row>
    <row r="81" spans="1:17" x14ac:dyDescent="0.25">
      <c r="A81" s="401"/>
      <c r="B81" s="401"/>
      <c r="C81" s="401"/>
      <c r="D81" s="401"/>
      <c r="E81" s="401"/>
      <c r="F81" s="401"/>
      <c r="G81" s="401"/>
      <c r="H81" s="401"/>
      <c r="I81" s="401"/>
      <c r="J81" s="401"/>
      <c r="K81" s="401"/>
      <c r="L81" s="401"/>
      <c r="M81" s="401"/>
      <c r="N81" s="401"/>
      <c r="O81" s="401"/>
      <c r="P81" s="401"/>
      <c r="Q81" s="401"/>
    </row>
    <row r="82" spans="1:17" x14ac:dyDescent="0.25">
      <c r="A82" s="401"/>
      <c r="B82" s="401"/>
      <c r="C82" s="401"/>
      <c r="D82" s="401"/>
      <c r="E82" s="401"/>
      <c r="F82" s="401"/>
      <c r="G82" s="401"/>
      <c r="H82" s="401"/>
      <c r="I82" s="401"/>
      <c r="J82" s="401"/>
      <c r="K82" s="401"/>
      <c r="L82" s="401"/>
      <c r="M82" s="401"/>
      <c r="N82" s="401"/>
      <c r="O82" s="401"/>
      <c r="P82" s="401"/>
      <c r="Q82" s="401"/>
    </row>
    <row r="83" spans="1:17" x14ac:dyDescent="0.25">
      <c r="A83" s="401"/>
      <c r="B83" s="401"/>
      <c r="C83" s="401"/>
      <c r="D83" s="401"/>
      <c r="E83" s="401"/>
      <c r="F83" s="401"/>
      <c r="G83" s="401"/>
      <c r="H83" s="401"/>
      <c r="I83" s="401"/>
      <c r="J83" s="401"/>
      <c r="K83" s="401"/>
      <c r="L83" s="401"/>
      <c r="M83" s="401"/>
      <c r="N83" s="401"/>
      <c r="O83" s="401"/>
      <c r="P83" s="401"/>
      <c r="Q83" s="401"/>
    </row>
    <row r="84" spans="1:17" x14ac:dyDescent="0.25">
      <c r="A84" s="401"/>
      <c r="B84" s="401"/>
      <c r="C84" s="401"/>
      <c r="D84" s="401"/>
      <c r="E84" s="401"/>
      <c r="F84" s="401"/>
      <c r="G84" s="401"/>
      <c r="H84" s="401"/>
      <c r="I84" s="401"/>
      <c r="J84" s="401"/>
      <c r="K84" s="401"/>
      <c r="L84" s="401"/>
      <c r="M84" s="401"/>
      <c r="N84" s="401"/>
      <c r="O84" s="401"/>
      <c r="P84" s="401"/>
      <c r="Q84" s="401"/>
    </row>
  </sheetData>
  <mergeCells count="8">
    <mergeCell ref="A1:Q1"/>
    <mergeCell ref="A29:Q29"/>
    <mergeCell ref="A30:Q59"/>
    <mergeCell ref="A60:Q60"/>
    <mergeCell ref="A61:Q84"/>
    <mergeCell ref="A11:Q11"/>
    <mergeCell ref="A2:Q10"/>
    <mergeCell ref="A12:Q28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workbookViewId="0">
      <selection activeCell="A2" sqref="A2"/>
    </sheetView>
  </sheetViews>
  <sheetFormatPr defaultRowHeight="15" x14ac:dyDescent="0.25"/>
  <cols>
    <col min="1" max="1" width="15.28515625" bestFit="1" customWidth="1"/>
  </cols>
  <sheetData>
    <row r="1" spans="1:1" x14ac:dyDescent="0.25">
      <c r="A1" s="45">
        <f ca="1">NOW()</f>
        <v>44636.112750578701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Парамметры расчета</vt:lpstr>
      <vt:lpstr>Исход</vt:lpstr>
      <vt:lpstr>Расчеты</vt:lpstr>
      <vt:lpstr>Расчет графиков</vt:lpstr>
      <vt:lpstr>Формула</vt:lpstr>
      <vt:lpstr>Распределение по графикам</vt:lpstr>
      <vt:lpstr>Свод по нагрузке</vt:lpstr>
      <vt:lpstr>Инструкция</vt:lpstr>
      <vt:lpstr>дата</vt:lpstr>
    </vt:vector>
  </TitlesOfParts>
  <Company>Svyaznoy Logistics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Алексей Тологонов</dc:creator>
  <cp:lastModifiedBy>Тологонов Алексей Болотбекович</cp:lastModifiedBy>
  <dcterms:created xsi:type="dcterms:W3CDTF">2015-07-08T13:51:39Z</dcterms:created>
  <dcterms:modified xsi:type="dcterms:W3CDTF">2022-03-15T23:42:21Z</dcterms:modified>
</cp:coreProperties>
</file>